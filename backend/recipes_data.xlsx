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28" yWindow="540" windowWidth="5436" windowHeight="4452"/>
  </bookViews>
  <sheets>
    <sheet name="Ask Data" sheetId="1" r:id="rId1"/>
    <sheet name="ِAbout" sheetId="2" r:id="rId2"/>
  </sheets>
  <definedNames>
    <definedName name="Z_B7C02389_6B3E_4C03_AAD1_3EA19B65B692_.wvu.PrintArea" localSheetId="0">'Ask Data'!$C$1:$K$21</definedName>
    <definedName name="Z_B7C02389_6B3E_4C03_AAD1_3EA19B65B692_.wvu.PrintTitles" localSheetId="0">'Ask Data'!$1:$1</definedName>
  </definedNames>
  <calcPr calcId="144525"/>
  <fileRecoveryPr repairLoad="1"/>
</workbook>
</file>

<file path=xl/calcChain.xml><?xml version="1.0" encoding="utf-8"?>
<calcChain xmlns="http://schemas.openxmlformats.org/spreadsheetml/2006/main">
  <c r="O76" i="1" l="1"/>
  <c r="AC75" i="1"/>
  <c r="O75" i="1"/>
  <c r="AC74" i="1"/>
  <c r="O74" i="1"/>
  <c r="AC73" i="1"/>
  <c r="O73" i="1"/>
  <c r="AC72" i="1"/>
  <c r="O72" i="1"/>
  <c r="AC71" i="1"/>
  <c r="O71" i="1"/>
  <c r="AC70" i="1"/>
  <c r="O70" i="1"/>
  <c r="AC69" i="1"/>
  <c r="O69" i="1"/>
  <c r="AC68" i="1"/>
  <c r="O68" i="1"/>
  <c r="AC67" i="1"/>
  <c r="O67" i="1"/>
  <c r="AC66" i="1"/>
  <c r="O66" i="1"/>
  <c r="AC65" i="1"/>
  <c r="O65" i="1"/>
  <c r="AC64" i="1"/>
  <c r="O64" i="1"/>
  <c r="AC63" i="1"/>
  <c r="O63" i="1"/>
  <c r="AC62" i="1"/>
  <c r="O62" i="1"/>
  <c r="AC61" i="1"/>
  <c r="O61" i="1"/>
  <c r="AC60" i="1"/>
  <c r="O60" i="1"/>
  <c r="AC59" i="1"/>
  <c r="O59" i="1"/>
  <c r="AC58" i="1"/>
  <c r="O58" i="1"/>
  <c r="AC57" i="1"/>
  <c r="O57" i="1"/>
  <c r="AC56" i="1"/>
  <c r="O56" i="1"/>
  <c r="AC55" i="1"/>
  <c r="O55" i="1"/>
  <c r="AC54" i="1"/>
  <c r="O54" i="1"/>
  <c r="AC53" i="1"/>
  <c r="O53" i="1"/>
  <c r="AC52" i="1"/>
  <c r="O52" i="1"/>
  <c r="AC51" i="1"/>
  <c r="O51" i="1"/>
  <c r="AC50" i="1"/>
  <c r="O50" i="1"/>
  <c r="AC49" i="1"/>
  <c r="O49" i="1"/>
  <c r="AC48" i="1"/>
  <c r="O48" i="1"/>
  <c r="AC47" i="1"/>
  <c r="O47" i="1"/>
  <c r="AC46" i="1"/>
  <c r="O46" i="1"/>
  <c r="AC45" i="1"/>
  <c r="O45" i="1"/>
  <c r="AC44" i="1"/>
  <c r="O44" i="1"/>
  <c r="AC43" i="1"/>
  <c r="O43" i="1"/>
  <c r="AC42" i="1"/>
  <c r="O42" i="1"/>
  <c r="AC41" i="1"/>
  <c r="O41" i="1"/>
  <c r="AC40" i="1"/>
  <c r="O40" i="1"/>
  <c r="AC39" i="1"/>
  <c r="O39" i="1"/>
  <c r="AC38" i="1"/>
  <c r="O38" i="1"/>
  <c r="AC37" i="1"/>
  <c r="O37" i="1"/>
  <c r="AC36" i="1"/>
  <c r="O36" i="1"/>
  <c r="AC35" i="1"/>
  <c r="O35" i="1"/>
  <c r="AC34" i="1"/>
  <c r="O34" i="1"/>
  <c r="AC33" i="1"/>
  <c r="O33" i="1"/>
  <c r="AC32" i="1"/>
  <c r="O32" i="1"/>
  <c r="AC31" i="1"/>
  <c r="O31" i="1"/>
  <c r="AC30" i="1"/>
  <c r="O30" i="1"/>
  <c r="AC29" i="1"/>
  <c r="O29" i="1"/>
  <c r="AC28" i="1"/>
  <c r="O28" i="1"/>
  <c r="AC27" i="1"/>
  <c r="O27" i="1"/>
  <c r="AC26" i="1"/>
  <c r="O26" i="1"/>
  <c r="AC25" i="1"/>
  <c r="O25" i="1"/>
  <c r="AC24" i="1"/>
  <c r="O24" i="1"/>
  <c r="AC23" i="1"/>
  <c r="O23" i="1"/>
  <c r="AC22" i="1"/>
  <c r="O22" i="1"/>
  <c r="AC21" i="1"/>
  <c r="O21" i="1"/>
  <c r="AC20" i="1"/>
  <c r="O20" i="1"/>
  <c r="AC19" i="1"/>
  <c r="O19" i="1"/>
  <c r="AC18" i="1"/>
  <c r="O18" i="1"/>
  <c r="AC17" i="1"/>
  <c r="O17" i="1"/>
  <c r="AC16" i="1"/>
  <c r="O16" i="1"/>
  <c r="AC15" i="1"/>
  <c r="O15" i="1"/>
  <c r="AC14" i="1"/>
  <c r="O14" i="1"/>
  <c r="AC13" i="1"/>
  <c r="O13" i="1"/>
  <c r="AC12" i="1"/>
  <c r="O12" i="1"/>
  <c r="AC11" i="1"/>
  <c r="O11" i="1"/>
  <c r="AC10" i="1"/>
  <c r="O10" i="1"/>
  <c r="AC9" i="1"/>
  <c r="O9" i="1"/>
  <c r="AC8" i="1"/>
  <c r="O8" i="1"/>
  <c r="AC7" i="1"/>
  <c r="O7" i="1"/>
  <c r="AC6" i="1"/>
  <c r="O6" i="1"/>
  <c r="AC5" i="1"/>
  <c r="O5" i="1"/>
  <c r="AC4" i="1"/>
  <c r="O4" i="1"/>
  <c r="AC3" i="1"/>
  <c r="O3" i="1"/>
  <c r="AC2" i="1"/>
  <c r="O2" i="1"/>
  <c r="AA76" i="1"/>
  <c r="AE75" i="1"/>
  <c r="S75" i="1"/>
  <c r="AI74" i="1"/>
  <c r="W74" i="1"/>
  <c r="AM73" i="1"/>
  <c r="AA73" i="1"/>
  <c r="W76" i="1"/>
  <c r="AM75" i="1"/>
  <c r="AA75" i="1"/>
  <c r="AE74" i="1"/>
  <c r="S74" i="1"/>
  <c r="AI73" i="1"/>
  <c r="W73" i="1"/>
  <c r="AM72" i="1"/>
  <c r="AA72" i="1"/>
  <c r="AE71" i="1"/>
  <c r="U76" i="1"/>
  <c r="S76" i="1"/>
  <c r="AI75" i="1"/>
  <c r="W75" i="1"/>
  <c r="AM74" i="1"/>
  <c r="AA74" i="1"/>
  <c r="AE73" i="1"/>
  <c r="S73" i="1"/>
  <c r="AI72" i="1"/>
  <c r="W72" i="1"/>
  <c r="AM71" i="1"/>
  <c r="AA71" i="1"/>
  <c r="AE70" i="1"/>
  <c r="S70" i="1"/>
  <c r="AI69" i="1"/>
  <c r="W69" i="1"/>
  <c r="AM68" i="1"/>
  <c r="AA68" i="1"/>
  <c r="AE67" i="1"/>
  <c r="S67" i="1"/>
  <c r="AI66" i="1"/>
  <c r="W66" i="1"/>
  <c r="AM65" i="1"/>
  <c r="AA65" i="1"/>
  <c r="AE64" i="1"/>
  <c r="S64" i="1"/>
  <c r="AI63" i="1"/>
  <c r="W63" i="1"/>
  <c r="AM62" i="1"/>
  <c r="AA62" i="1"/>
  <c r="AE61" i="1"/>
  <c r="S61" i="1"/>
  <c r="AI60" i="1"/>
  <c r="W60" i="1"/>
  <c r="AM59" i="1"/>
  <c r="AA59" i="1"/>
  <c r="AE58" i="1"/>
  <c r="S58" i="1"/>
  <c r="AI57" i="1"/>
  <c r="W57" i="1"/>
  <c r="AM56" i="1"/>
  <c r="AA56" i="1"/>
  <c r="AE55" i="1"/>
  <c r="S55" i="1"/>
  <c r="AI54" i="1"/>
  <c r="W54" i="1"/>
  <c r="AM53" i="1"/>
  <c r="AA53" i="1"/>
  <c r="AE52" i="1"/>
  <c r="S52" i="1"/>
  <c r="AI51" i="1"/>
  <c r="W51" i="1"/>
  <c r="AM50" i="1"/>
  <c r="AA50" i="1"/>
  <c r="AE49" i="1"/>
  <c r="S49" i="1"/>
  <c r="AI48" i="1"/>
  <c r="W48" i="1"/>
  <c r="AM47" i="1"/>
  <c r="AA47" i="1"/>
  <c r="AE46" i="1"/>
  <c r="S46" i="1"/>
  <c r="AI45" i="1"/>
  <c r="W45" i="1"/>
  <c r="AM44" i="1"/>
  <c r="AA44" i="1"/>
  <c r="AE43" i="1"/>
  <c r="S43" i="1"/>
  <c r="AI42" i="1"/>
  <c r="W42" i="1"/>
  <c r="AM41" i="1"/>
  <c r="AA41" i="1"/>
  <c r="AE40" i="1"/>
  <c r="S40" i="1"/>
  <c r="AI39" i="1"/>
  <c r="W39" i="1"/>
  <c r="AM38" i="1"/>
  <c r="AA38" i="1"/>
  <c r="AE37" i="1"/>
  <c r="S37" i="1"/>
  <c r="AI36" i="1"/>
  <c r="W36" i="1"/>
  <c r="AM35" i="1"/>
  <c r="AA35" i="1"/>
  <c r="AE34" i="1"/>
  <c r="S34" i="1"/>
  <c r="AI33" i="1"/>
  <c r="W33" i="1"/>
  <c r="AM32" i="1"/>
  <c r="AA32" i="1"/>
  <c r="AE31" i="1"/>
  <c r="S31" i="1"/>
  <c r="AI30" i="1"/>
  <c r="W30" i="1"/>
  <c r="AM29" i="1"/>
  <c r="AA29" i="1"/>
  <c r="AE28" i="1"/>
  <c r="S28" i="1"/>
  <c r="AI27" i="1"/>
  <c r="W27" i="1"/>
  <c r="AM26" i="1"/>
  <c r="AA26" i="1"/>
  <c r="AE25" i="1"/>
  <c r="S25" i="1"/>
  <c r="AI24" i="1"/>
  <c r="W24" i="1"/>
  <c r="AM23" i="1"/>
  <c r="AA23" i="1"/>
  <c r="AE22" i="1"/>
  <c r="S22" i="1"/>
  <c r="AI21" i="1"/>
  <c r="W21" i="1"/>
  <c r="AM20" i="1"/>
  <c r="AA20" i="1"/>
  <c r="AE19" i="1"/>
  <c r="S19" i="1"/>
  <c r="AI18" i="1"/>
  <c r="W18" i="1"/>
  <c r="AM17" i="1"/>
  <c r="AA17" i="1"/>
  <c r="AE16" i="1"/>
  <c r="S16" i="1"/>
  <c r="AI15" i="1"/>
  <c r="W15" i="1"/>
  <c r="AM14" i="1"/>
  <c r="AA14" i="1"/>
  <c r="AE13" i="1"/>
  <c r="S13" i="1"/>
  <c r="Z76" i="1"/>
  <c r="AL75" i="1"/>
  <c r="V75" i="1"/>
  <c r="AJ74" i="1"/>
  <c r="T74" i="1"/>
  <c r="AG73" i="1"/>
  <c r="Q73" i="1"/>
  <c r="AE72" i="1"/>
  <c r="Q72" i="1"/>
  <c r="AF71" i="1"/>
  <c r="R71" i="1"/>
  <c r="AH70" i="1"/>
  <c r="U70" i="1"/>
  <c r="AJ69" i="1"/>
  <c r="V69" i="1"/>
  <c r="AK68" i="1"/>
  <c r="X68" i="1"/>
  <c r="AN67" i="1"/>
  <c r="AA67" i="1"/>
  <c r="AP66" i="1"/>
  <c r="P66" i="1"/>
  <c r="AE65" i="1"/>
  <c r="R65" i="1"/>
  <c r="AH64" i="1"/>
  <c r="U64" i="1"/>
  <c r="AJ63" i="1"/>
  <c r="V63" i="1"/>
  <c r="AK62" i="1"/>
  <c r="X62" i="1"/>
  <c r="AN61" i="1"/>
  <c r="AA61" i="1"/>
  <c r="AP60" i="1"/>
  <c r="P60" i="1"/>
  <c r="AE59" i="1"/>
  <c r="R59" i="1"/>
  <c r="AH58" i="1"/>
  <c r="U58" i="1"/>
  <c r="AJ57" i="1"/>
  <c r="V57" i="1"/>
  <c r="AK56" i="1"/>
  <c r="X56" i="1"/>
  <c r="AN55" i="1"/>
  <c r="AA55" i="1"/>
  <c r="AP54" i="1"/>
  <c r="P54" i="1"/>
  <c r="AE53" i="1"/>
  <c r="R53" i="1"/>
  <c r="AH52" i="1"/>
  <c r="U52" i="1"/>
  <c r="AJ51" i="1"/>
  <c r="V51" i="1"/>
  <c r="AK50" i="1"/>
  <c r="X50" i="1"/>
  <c r="AN49" i="1"/>
  <c r="AA49" i="1"/>
  <c r="AP48" i="1"/>
  <c r="P48" i="1"/>
  <c r="AE47" i="1"/>
  <c r="R47" i="1"/>
  <c r="AH46" i="1"/>
  <c r="U46" i="1"/>
  <c r="AJ45" i="1"/>
  <c r="V45" i="1"/>
  <c r="AK44" i="1"/>
  <c r="X44" i="1"/>
  <c r="AN43" i="1"/>
  <c r="AA43" i="1"/>
  <c r="AP42" i="1"/>
  <c r="P42" i="1"/>
  <c r="AE41" i="1"/>
  <c r="R41" i="1"/>
  <c r="AH40" i="1"/>
  <c r="U40" i="1"/>
  <c r="AJ39" i="1"/>
  <c r="V39" i="1"/>
  <c r="AK38" i="1"/>
  <c r="X38" i="1"/>
  <c r="AN37" i="1"/>
  <c r="AA37" i="1"/>
  <c r="AP36" i="1"/>
  <c r="P36" i="1"/>
  <c r="AE35" i="1"/>
  <c r="R35" i="1"/>
  <c r="AH34" i="1"/>
  <c r="U34" i="1"/>
  <c r="AJ33" i="1"/>
  <c r="V33" i="1"/>
  <c r="AK32" i="1"/>
  <c r="X32" i="1"/>
  <c r="AN31" i="1"/>
  <c r="AA31" i="1"/>
  <c r="AP30" i="1"/>
  <c r="P30" i="1"/>
  <c r="AE29" i="1"/>
  <c r="R29" i="1"/>
  <c r="AH28" i="1"/>
  <c r="U28" i="1"/>
  <c r="AJ27" i="1"/>
  <c r="V27" i="1"/>
  <c r="AK26" i="1"/>
  <c r="X26" i="1"/>
  <c r="AN25" i="1"/>
  <c r="AA25" i="1"/>
  <c r="AP24" i="1"/>
  <c r="P24" i="1"/>
  <c r="AE23" i="1"/>
  <c r="R23" i="1"/>
  <c r="AH22" i="1"/>
  <c r="U22" i="1"/>
  <c r="AJ21" i="1"/>
  <c r="V21" i="1"/>
  <c r="AK20" i="1"/>
  <c r="X20" i="1"/>
  <c r="AN19" i="1"/>
  <c r="AA19" i="1"/>
  <c r="AP18" i="1"/>
  <c r="P18" i="1"/>
  <c r="AE17" i="1"/>
  <c r="R17" i="1"/>
  <c r="AH16" i="1"/>
  <c r="U16" i="1"/>
  <c r="AJ15" i="1"/>
  <c r="V15" i="1"/>
  <c r="AK14" i="1"/>
  <c r="X14" i="1"/>
  <c r="AN13" i="1"/>
  <c r="AA13" i="1"/>
  <c r="AB76" i="1"/>
  <c r="AK75" i="1"/>
  <c r="T75" i="1"/>
  <c r="AF74" i="1"/>
  <c r="Z73" i="1"/>
  <c r="AL72" i="1"/>
  <c r="V72" i="1"/>
  <c r="AJ71" i="1"/>
  <c r="U71" i="1"/>
  <c r="AJ70" i="1"/>
  <c r="V70" i="1"/>
  <c r="AH69" i="1"/>
  <c r="T69" i="1"/>
  <c r="AH68" i="1"/>
  <c r="T68" i="1"/>
  <c r="AI67" i="1"/>
  <c r="U67" i="1"/>
  <c r="AH66" i="1"/>
  <c r="U66" i="1"/>
  <c r="AI65" i="1"/>
  <c r="U65" i="1"/>
  <c r="AJ64" i="1"/>
  <c r="V64" i="1"/>
  <c r="AH63" i="1"/>
  <c r="T63" i="1"/>
  <c r="AH62" i="1"/>
  <c r="T62" i="1"/>
  <c r="AI61" i="1"/>
  <c r="U61" i="1"/>
  <c r="AH60" i="1"/>
  <c r="U60" i="1"/>
  <c r="AI59" i="1"/>
  <c r="U59" i="1"/>
  <c r="AJ58" i="1"/>
  <c r="V58" i="1"/>
  <c r="AH57" i="1"/>
  <c r="T57" i="1"/>
  <c r="AH56" i="1"/>
  <c r="T56" i="1"/>
  <c r="AI55" i="1"/>
  <c r="U55" i="1"/>
  <c r="AH54" i="1"/>
  <c r="U54" i="1"/>
  <c r="AI53" i="1"/>
  <c r="U53" i="1"/>
  <c r="AJ52" i="1"/>
  <c r="V52" i="1"/>
  <c r="AH51" i="1"/>
  <c r="T51" i="1"/>
  <c r="AH50" i="1"/>
  <c r="T50" i="1"/>
  <c r="AI49" i="1"/>
  <c r="U49" i="1"/>
  <c r="AH48" i="1"/>
  <c r="U48" i="1"/>
  <c r="AI47" i="1"/>
  <c r="U47" i="1"/>
  <c r="AJ46" i="1"/>
  <c r="V46" i="1"/>
  <c r="AH45" i="1"/>
  <c r="T45" i="1"/>
  <c r="AH44" i="1"/>
  <c r="T44" i="1"/>
  <c r="AI43" i="1"/>
  <c r="U43" i="1"/>
  <c r="AH42" i="1"/>
  <c r="U42" i="1"/>
  <c r="AI41" i="1"/>
  <c r="U41" i="1"/>
  <c r="AJ40" i="1"/>
  <c r="V40" i="1"/>
  <c r="AH39" i="1"/>
  <c r="T39" i="1"/>
  <c r="AH38" i="1"/>
  <c r="T38" i="1"/>
  <c r="AI37" i="1"/>
  <c r="U37" i="1"/>
  <c r="AH36" i="1"/>
  <c r="U36" i="1"/>
  <c r="AI35" i="1"/>
  <c r="U35" i="1"/>
  <c r="AJ34" i="1"/>
  <c r="V34" i="1"/>
  <c r="AH33" i="1"/>
  <c r="T33" i="1"/>
  <c r="AH32" i="1"/>
  <c r="T32" i="1"/>
  <c r="AI31" i="1"/>
  <c r="U31" i="1"/>
  <c r="AH30" i="1"/>
  <c r="U30" i="1"/>
  <c r="AI29" i="1"/>
  <c r="U29" i="1"/>
  <c r="AJ28" i="1"/>
  <c r="V28" i="1"/>
  <c r="AH27" i="1"/>
  <c r="T27" i="1"/>
  <c r="AH26" i="1"/>
  <c r="T26" i="1"/>
  <c r="AI25" i="1"/>
  <c r="U25" i="1"/>
  <c r="AH24" i="1"/>
  <c r="U24" i="1"/>
  <c r="AI23" i="1"/>
  <c r="U23" i="1"/>
  <c r="AJ22" i="1"/>
  <c r="V22" i="1"/>
  <c r="AH21" i="1"/>
  <c r="T21" i="1"/>
  <c r="AH20" i="1"/>
  <c r="T20" i="1"/>
  <c r="AI19" i="1"/>
  <c r="U19" i="1"/>
  <c r="AH18" i="1"/>
  <c r="U18" i="1"/>
  <c r="AI17" i="1"/>
  <c r="U17" i="1"/>
  <c r="AJ16" i="1"/>
  <c r="V16" i="1"/>
  <c r="AH15" i="1"/>
  <c r="T15" i="1"/>
  <c r="AH14" i="1"/>
  <c r="T14" i="1"/>
  <c r="AI13" i="1"/>
  <c r="U13" i="1"/>
  <c r="AJ12" i="1"/>
  <c r="X12" i="1"/>
  <c r="Y76" i="1"/>
  <c r="AJ75" i="1"/>
  <c r="R75" i="1"/>
  <c r="AD74" i="1"/>
  <c r="AP73" i="1"/>
  <c r="Y73" i="1"/>
  <c r="AK72" i="1"/>
  <c r="U72" i="1"/>
  <c r="AI71" i="1"/>
  <c r="T71" i="1"/>
  <c r="AI70" i="1"/>
  <c r="T70" i="1"/>
  <c r="AG69" i="1"/>
  <c r="S69" i="1"/>
  <c r="AG68" i="1"/>
  <c r="S68" i="1"/>
  <c r="AH67" i="1"/>
  <c r="T67" i="1"/>
  <c r="AG66" i="1"/>
  <c r="T66" i="1"/>
  <c r="AH65" i="1"/>
  <c r="T65" i="1"/>
  <c r="AI64" i="1"/>
  <c r="T64" i="1"/>
  <c r="AG63" i="1"/>
  <c r="S63" i="1"/>
  <c r="AG62" i="1"/>
  <c r="S62" i="1"/>
  <c r="AH61" i="1"/>
  <c r="T61" i="1"/>
  <c r="AG60" i="1"/>
  <c r="T60" i="1"/>
  <c r="AH59" i="1"/>
  <c r="T59" i="1"/>
  <c r="AI58" i="1"/>
  <c r="T58" i="1"/>
  <c r="AG57" i="1"/>
  <c r="S57" i="1"/>
  <c r="AG56" i="1"/>
  <c r="S56" i="1"/>
  <c r="AH55" i="1"/>
  <c r="T55" i="1"/>
  <c r="AG54" i="1"/>
  <c r="T54" i="1"/>
  <c r="AH53" i="1"/>
  <c r="T53" i="1"/>
  <c r="AI52" i="1"/>
  <c r="T52" i="1"/>
  <c r="AG51" i="1"/>
  <c r="S51" i="1"/>
  <c r="AG50" i="1"/>
  <c r="S50" i="1"/>
  <c r="AH49" i="1"/>
  <c r="T49" i="1"/>
  <c r="AG48" i="1"/>
  <c r="T48" i="1"/>
  <c r="AH47" i="1"/>
  <c r="T47" i="1"/>
  <c r="AI46" i="1"/>
  <c r="T46" i="1"/>
  <c r="AG45" i="1"/>
  <c r="S45" i="1"/>
  <c r="AG44" i="1"/>
  <c r="S44" i="1"/>
  <c r="AH43" i="1"/>
  <c r="T43" i="1"/>
  <c r="AG42" i="1"/>
  <c r="T42" i="1"/>
  <c r="AH41" i="1"/>
  <c r="T41" i="1"/>
  <c r="AI40" i="1"/>
  <c r="T40" i="1"/>
  <c r="AG39" i="1"/>
  <c r="S39" i="1"/>
  <c r="AG38" i="1"/>
  <c r="S38" i="1"/>
  <c r="AH37" i="1"/>
  <c r="T37" i="1"/>
  <c r="AG36" i="1"/>
  <c r="T36" i="1"/>
  <c r="AH35" i="1"/>
  <c r="T35" i="1"/>
  <c r="AI34" i="1"/>
  <c r="T34" i="1"/>
  <c r="AG33" i="1"/>
  <c r="S33" i="1"/>
  <c r="AG32" i="1"/>
  <c r="S32" i="1"/>
  <c r="AH31" i="1"/>
  <c r="T31" i="1"/>
  <c r="AG30" i="1"/>
  <c r="T30" i="1"/>
  <c r="AH29" i="1"/>
  <c r="T29" i="1"/>
  <c r="AI28" i="1"/>
  <c r="T28" i="1"/>
  <c r="AG27" i="1"/>
  <c r="S27" i="1"/>
  <c r="AG26" i="1"/>
  <c r="S26" i="1"/>
  <c r="AH25" i="1"/>
  <c r="T25" i="1"/>
  <c r="AG24" i="1"/>
  <c r="T24" i="1"/>
  <c r="AH23" i="1"/>
  <c r="T23" i="1"/>
  <c r="AI22" i="1"/>
  <c r="T22" i="1"/>
  <c r="AG21" i="1"/>
  <c r="S21" i="1"/>
  <c r="AG20" i="1"/>
  <c r="S20" i="1"/>
  <c r="AH19" i="1"/>
  <c r="T19" i="1"/>
  <c r="AG18" i="1"/>
  <c r="T18" i="1"/>
  <c r="AH17" i="1"/>
  <c r="X76" i="1"/>
  <c r="AF75" i="1"/>
  <c r="AO74" i="1"/>
  <c r="U74" i="1"/>
  <c r="AD73" i="1"/>
  <c r="AN72" i="1"/>
  <c r="S72" i="1"/>
  <c r="AO70" i="1"/>
  <c r="Y70" i="1"/>
  <c r="AK69" i="1"/>
  <c r="Q69" i="1"/>
  <c r="AO67" i="1"/>
  <c r="X67" i="1"/>
  <c r="AJ66" i="1"/>
  <c r="R66" i="1"/>
  <c r="AO64" i="1"/>
  <c r="Y64" i="1"/>
  <c r="AK63" i="1"/>
  <c r="Q63" i="1"/>
  <c r="AO61" i="1"/>
  <c r="X61" i="1"/>
  <c r="AJ60" i="1"/>
  <c r="R60" i="1"/>
  <c r="AO58" i="1"/>
  <c r="Y58" i="1"/>
  <c r="AK57" i="1"/>
  <c r="Q57" i="1"/>
  <c r="AO55" i="1"/>
  <c r="X55" i="1"/>
  <c r="AJ54" i="1"/>
  <c r="R54" i="1"/>
  <c r="AO52" i="1"/>
  <c r="Y52" i="1"/>
  <c r="AK51" i="1"/>
  <c r="Q51" i="1"/>
  <c r="AO49" i="1"/>
  <c r="X49" i="1"/>
  <c r="AJ48" i="1"/>
  <c r="R48" i="1"/>
  <c r="AO46" i="1"/>
  <c r="Y46" i="1"/>
  <c r="AK45" i="1"/>
  <c r="Q45" i="1"/>
  <c r="AO43" i="1"/>
  <c r="X43" i="1"/>
  <c r="AJ42" i="1"/>
  <c r="R42" i="1"/>
  <c r="AO40" i="1"/>
  <c r="Y40" i="1"/>
  <c r="AK39" i="1"/>
  <c r="Q39" i="1"/>
  <c r="AO37" i="1"/>
  <c r="X37" i="1"/>
  <c r="AJ36" i="1"/>
  <c r="R36" i="1"/>
  <c r="AO34" i="1"/>
  <c r="Y34" i="1"/>
  <c r="AK33" i="1"/>
  <c r="Q33" i="1"/>
  <c r="AO31" i="1"/>
  <c r="X31" i="1"/>
  <c r="AJ30" i="1"/>
  <c r="R30" i="1"/>
  <c r="AO28" i="1"/>
  <c r="Y28" i="1"/>
  <c r="AK27" i="1"/>
  <c r="Q27" i="1"/>
  <c r="AO25" i="1"/>
  <c r="X25" i="1"/>
  <c r="AJ24" i="1"/>
  <c r="R24" i="1"/>
  <c r="AO22" i="1"/>
  <c r="Y22" i="1"/>
  <c r="AK21" i="1"/>
  <c r="Q21" i="1"/>
  <c r="AO19" i="1"/>
  <c r="X19" i="1"/>
  <c r="AJ18" i="1"/>
  <c r="R18" i="1"/>
  <c r="AP16" i="1"/>
  <c r="AA16" i="1"/>
  <c r="AN15" i="1"/>
  <c r="Y15" i="1"/>
  <c r="AJ14" i="1"/>
  <c r="U14" i="1"/>
  <c r="AH13" i="1"/>
  <c r="R13" i="1"/>
  <c r="AG12" i="1"/>
  <c r="T12" i="1"/>
  <c r="AJ11" i="1"/>
  <c r="X11" i="1"/>
  <c r="AN10" i="1"/>
  <c r="AB10" i="1"/>
  <c r="P10" i="1"/>
  <c r="AF9" i="1"/>
  <c r="T9" i="1"/>
  <c r="AJ8" i="1"/>
  <c r="X8" i="1"/>
  <c r="AN7" i="1"/>
  <c r="AB7" i="1"/>
  <c r="P7" i="1"/>
  <c r="AF6" i="1"/>
  <c r="T6" i="1"/>
  <c r="AJ5" i="1"/>
  <c r="X5" i="1"/>
  <c r="AN4" i="1"/>
  <c r="AB4" i="1"/>
  <c r="P4" i="1"/>
  <c r="AF3" i="1"/>
  <c r="T3" i="1"/>
  <c r="AJ2" i="1"/>
  <c r="X2" i="1"/>
  <c r="AN1" i="1"/>
  <c r="S3" i="1"/>
  <c r="V31" i="1"/>
  <c r="P13" i="1"/>
  <c r="Z7" i="1"/>
  <c r="AD3" i="1"/>
  <c r="AB75" i="1"/>
  <c r="AK74" i="1"/>
  <c r="P74" i="1"/>
  <c r="X73" i="1"/>
  <c r="AG72" i="1"/>
  <c r="Y71" i="1"/>
  <c r="AL70" i="1"/>
  <c r="R70" i="1"/>
  <c r="AD69" i="1"/>
  <c r="AP68" i="1"/>
  <c r="Y68" i="1"/>
  <c r="AK67" i="1"/>
  <c r="R67" i="1"/>
  <c r="AD66" i="1"/>
  <c r="AP65" i="1"/>
  <c r="Y65" i="1"/>
  <c r="AL64" i="1"/>
  <c r="R64" i="1"/>
  <c r="AD63" i="1"/>
  <c r="AP62" i="1"/>
  <c r="Y62" i="1"/>
  <c r="AK61" i="1"/>
  <c r="R61" i="1"/>
  <c r="AD60" i="1"/>
  <c r="AP59" i="1"/>
  <c r="Y59" i="1"/>
  <c r="AL58" i="1"/>
  <c r="R58" i="1"/>
  <c r="AD57" i="1"/>
  <c r="AP56" i="1"/>
  <c r="Y56" i="1"/>
  <c r="AK55" i="1"/>
  <c r="R55" i="1"/>
  <c r="AD54" i="1"/>
  <c r="AP53" i="1"/>
  <c r="Y53" i="1"/>
  <c r="AL52" i="1"/>
  <c r="R52" i="1"/>
  <c r="AD51" i="1"/>
  <c r="AP50" i="1"/>
  <c r="Y50" i="1"/>
  <c r="AK49" i="1"/>
  <c r="R49" i="1"/>
  <c r="AD48" i="1"/>
  <c r="AP47" i="1"/>
  <c r="Y47" i="1"/>
  <c r="AL46" i="1"/>
  <c r="R46" i="1"/>
  <c r="AD45" i="1"/>
  <c r="AP44" i="1"/>
  <c r="Y44" i="1"/>
  <c r="AK43" i="1"/>
  <c r="R43" i="1"/>
  <c r="AD42" i="1"/>
  <c r="AP41" i="1"/>
  <c r="Y41" i="1"/>
  <c r="AL40" i="1"/>
  <c r="R40" i="1"/>
  <c r="AD39" i="1"/>
  <c r="AP38" i="1"/>
  <c r="Y38" i="1"/>
  <c r="AK37" i="1"/>
  <c r="R37" i="1"/>
  <c r="AD36" i="1"/>
  <c r="AP35" i="1"/>
  <c r="Y35" i="1"/>
  <c r="AL34" i="1"/>
  <c r="R34" i="1"/>
  <c r="AD33" i="1"/>
  <c r="AP32" i="1"/>
  <c r="Y32" i="1"/>
  <c r="AK31" i="1"/>
  <c r="R31" i="1"/>
  <c r="AD30" i="1"/>
  <c r="AP29" i="1"/>
  <c r="Y29" i="1"/>
  <c r="AL28" i="1"/>
  <c r="R28" i="1"/>
  <c r="AD27" i="1"/>
  <c r="Y26" i="1"/>
  <c r="AK25" i="1"/>
  <c r="R25" i="1"/>
  <c r="AD24" i="1"/>
  <c r="AP23" i="1"/>
  <c r="Y23" i="1"/>
  <c r="AL22" i="1"/>
  <c r="R22" i="1"/>
  <c r="AD21" i="1"/>
  <c r="AP20" i="1"/>
  <c r="Y20" i="1"/>
  <c r="AK19" i="1"/>
  <c r="AD18" i="1"/>
  <c r="AP17" i="1"/>
  <c r="Y17" i="1"/>
  <c r="AM16" i="1"/>
  <c r="X16" i="1"/>
  <c r="S15" i="1"/>
  <c r="AF14" i="1"/>
  <c r="Q14" i="1"/>
  <c r="Q12" i="1"/>
  <c r="AG11" i="1"/>
  <c r="Y10" i="1"/>
  <c r="Q9" i="1"/>
  <c r="AG8" i="1"/>
  <c r="AK7" i="1"/>
  <c r="Y7" i="1"/>
  <c r="AO6" i="1"/>
  <c r="AG5" i="1"/>
  <c r="U5" i="1"/>
  <c r="AK4" i="1"/>
  <c r="Y4" i="1"/>
  <c r="AO3" i="1"/>
  <c r="Q3" i="1"/>
  <c r="AG2" i="1"/>
  <c r="U2" i="1"/>
  <c r="AK1" i="1"/>
  <c r="V76" i="1"/>
  <c r="AD75" i="1"/>
  <c r="AN74" i="1"/>
  <c r="R74" i="1"/>
  <c r="AJ72" i="1"/>
  <c r="R72" i="1"/>
  <c r="AB71" i="1"/>
  <c r="AN70" i="1"/>
  <c r="X70" i="1"/>
  <c r="AF69" i="1"/>
  <c r="P69" i="1"/>
  <c r="AB68" i="1"/>
  <c r="AM67" i="1"/>
  <c r="W67" i="1"/>
  <c r="AF66" i="1"/>
  <c r="Q66" i="1"/>
  <c r="AB65" i="1"/>
  <c r="AN64" i="1"/>
  <c r="X64" i="1"/>
  <c r="AF63" i="1"/>
  <c r="P63" i="1"/>
  <c r="AB62" i="1"/>
  <c r="AM61" i="1"/>
  <c r="W61" i="1"/>
  <c r="AF60" i="1"/>
  <c r="Q60" i="1"/>
  <c r="AB59" i="1"/>
  <c r="AN58" i="1"/>
  <c r="X58" i="1"/>
  <c r="AF57" i="1"/>
  <c r="P57" i="1"/>
  <c r="AB56" i="1"/>
  <c r="AM55" i="1"/>
  <c r="W55" i="1"/>
  <c r="AF54" i="1"/>
  <c r="Q54" i="1"/>
  <c r="AB53" i="1"/>
  <c r="AN52" i="1"/>
  <c r="X52" i="1"/>
  <c r="AF51" i="1"/>
  <c r="P51" i="1"/>
  <c r="AB50" i="1"/>
  <c r="AM49" i="1"/>
  <c r="W49" i="1"/>
  <c r="AF48" i="1"/>
  <c r="Q48" i="1"/>
  <c r="AB47" i="1"/>
  <c r="AN46" i="1"/>
  <c r="X46" i="1"/>
  <c r="AF45" i="1"/>
  <c r="P45" i="1"/>
  <c r="AB44" i="1"/>
  <c r="AM43" i="1"/>
  <c r="W43" i="1"/>
  <c r="AF42" i="1"/>
  <c r="Q42" i="1"/>
  <c r="AB41" i="1"/>
  <c r="AN40" i="1"/>
  <c r="X40" i="1"/>
  <c r="AF39" i="1"/>
  <c r="P39" i="1"/>
  <c r="AB38" i="1"/>
  <c r="AM37" i="1"/>
  <c r="W37" i="1"/>
  <c r="AF36" i="1"/>
  <c r="Q36" i="1"/>
  <c r="AB35" i="1"/>
  <c r="AN34" i="1"/>
  <c r="X34" i="1"/>
  <c r="AF33" i="1"/>
  <c r="P33" i="1"/>
  <c r="AB32" i="1"/>
  <c r="AM31" i="1"/>
  <c r="W31" i="1"/>
  <c r="AF30" i="1"/>
  <c r="Q30" i="1"/>
  <c r="AB29" i="1"/>
  <c r="AN28" i="1"/>
  <c r="X28" i="1"/>
  <c r="AF27" i="1"/>
  <c r="P27" i="1"/>
  <c r="AB26" i="1"/>
  <c r="AM25" i="1"/>
  <c r="W25" i="1"/>
  <c r="AF24" i="1"/>
  <c r="Q24" i="1"/>
  <c r="AB23" i="1"/>
  <c r="AN22" i="1"/>
  <c r="X22" i="1"/>
  <c r="AF21" i="1"/>
  <c r="P21" i="1"/>
  <c r="AB20" i="1"/>
  <c r="AM19" i="1"/>
  <c r="W19" i="1"/>
  <c r="AF18" i="1"/>
  <c r="Q18" i="1"/>
  <c r="AB17" i="1"/>
  <c r="AO16" i="1"/>
  <c r="Z16" i="1"/>
  <c r="AM15" i="1"/>
  <c r="X15" i="1"/>
  <c r="AI14" i="1"/>
  <c r="S14" i="1"/>
  <c r="AG13" i="1"/>
  <c r="Q13" i="1"/>
  <c r="AF12" i="1"/>
  <c r="S12" i="1"/>
  <c r="AI11" i="1"/>
  <c r="W11" i="1"/>
  <c r="AM10" i="1"/>
  <c r="AA10" i="1"/>
  <c r="AE9" i="1"/>
  <c r="S9" i="1"/>
  <c r="AI8" i="1"/>
  <c r="W8" i="1"/>
  <c r="AM7" i="1"/>
  <c r="AA7" i="1"/>
  <c r="AE6" i="1"/>
  <c r="S6" i="1"/>
  <c r="AI5" i="1"/>
  <c r="W5" i="1"/>
  <c r="AM4" i="1"/>
  <c r="AA4" i="1"/>
  <c r="AE3" i="1"/>
  <c r="AI2" i="1"/>
  <c r="W2" i="1"/>
  <c r="AM1" i="1"/>
  <c r="T76" i="1"/>
  <c r="AL74" i="1"/>
  <c r="Q74" i="1"/>
  <c r="AB73" i="1"/>
  <c r="AH72" i="1"/>
  <c r="P72" i="1"/>
  <c r="Z71" i="1"/>
  <c r="AM70" i="1"/>
  <c r="W70" i="1"/>
  <c r="AE69" i="1"/>
  <c r="Z68" i="1"/>
  <c r="AL67" i="1"/>
  <c r="V67" i="1"/>
  <c r="AE66" i="1"/>
  <c r="Z65" i="1"/>
  <c r="AM64" i="1"/>
  <c r="W64" i="1"/>
  <c r="AE63" i="1"/>
  <c r="Z62" i="1"/>
  <c r="AL61" i="1"/>
  <c r="V61" i="1"/>
  <c r="AE60" i="1"/>
  <c r="Z59" i="1"/>
  <c r="AM58" i="1"/>
  <c r="W58" i="1"/>
  <c r="AE57" i="1"/>
  <c r="Z56" i="1"/>
  <c r="AL55" i="1"/>
  <c r="V55" i="1"/>
  <c r="AE54" i="1"/>
  <c r="Z53" i="1"/>
  <c r="AM52" i="1"/>
  <c r="W52" i="1"/>
  <c r="AE51" i="1"/>
  <c r="Z50" i="1"/>
  <c r="AL49" i="1"/>
  <c r="V49" i="1"/>
  <c r="AE48" i="1"/>
  <c r="Z47" i="1"/>
  <c r="AM46" i="1"/>
  <c r="W46" i="1"/>
  <c r="AE45" i="1"/>
  <c r="Z44" i="1"/>
  <c r="AL43" i="1"/>
  <c r="V43" i="1"/>
  <c r="AE42" i="1"/>
  <c r="Z41" i="1"/>
  <c r="AM40" i="1"/>
  <c r="W40" i="1"/>
  <c r="AE39" i="1"/>
  <c r="Z38" i="1"/>
  <c r="AL37" i="1"/>
  <c r="V37" i="1"/>
  <c r="AE36" i="1"/>
  <c r="Z35" i="1"/>
  <c r="AM34" i="1"/>
  <c r="W34" i="1"/>
  <c r="AE33" i="1"/>
  <c r="Z32" i="1"/>
  <c r="AL31" i="1"/>
  <c r="AE30" i="1"/>
  <c r="Z29" i="1"/>
  <c r="AM28" i="1"/>
  <c r="W28" i="1"/>
  <c r="AE27" i="1"/>
  <c r="Z26" i="1"/>
  <c r="AL25" i="1"/>
  <c r="V25" i="1"/>
  <c r="AE24" i="1"/>
  <c r="Z23" i="1"/>
  <c r="AM22" i="1"/>
  <c r="W22" i="1"/>
  <c r="AE21" i="1"/>
  <c r="Z20" i="1"/>
  <c r="AL19" i="1"/>
  <c r="V19" i="1"/>
  <c r="AE18" i="1"/>
  <c r="Z17" i="1"/>
  <c r="AN16" i="1"/>
  <c r="Y16" i="1"/>
  <c r="AL15" i="1"/>
  <c r="U15" i="1"/>
  <c r="AG14" i="1"/>
  <c r="R14" i="1"/>
  <c r="AF13" i="1"/>
  <c r="AE12" i="1"/>
  <c r="R12" i="1"/>
  <c r="AH11" i="1"/>
  <c r="V11" i="1"/>
  <c r="AL10" i="1"/>
  <c r="Z10" i="1"/>
  <c r="AP9" i="1"/>
  <c r="AD9" i="1"/>
  <c r="R9" i="1"/>
  <c r="AH8" i="1"/>
  <c r="V8" i="1"/>
  <c r="AL7" i="1"/>
  <c r="AP6" i="1"/>
  <c r="AD6" i="1"/>
  <c r="R6" i="1"/>
  <c r="AH5" i="1"/>
  <c r="V5" i="1"/>
  <c r="AL4" i="1"/>
  <c r="Z4" i="1"/>
  <c r="AP3" i="1"/>
  <c r="R3" i="1"/>
  <c r="AH2" i="1"/>
  <c r="V2" i="1"/>
  <c r="AL1" i="1"/>
  <c r="R76" i="1"/>
  <c r="AP26" i="1"/>
  <c r="R19" i="1"/>
  <c r="AK15" i="1"/>
  <c r="AD13" i="1"/>
  <c r="AD12" i="1"/>
  <c r="U11" i="1"/>
  <c r="AK10" i="1"/>
  <c r="AO9" i="1"/>
  <c r="U8" i="1"/>
  <c r="Q6" i="1"/>
  <c r="Z75" i="1"/>
  <c r="AH74" i="1"/>
  <c r="V73" i="1"/>
  <c r="AF72" i="1"/>
  <c r="AP71" i="1"/>
  <c r="X71" i="1"/>
  <c r="AK70" i="1"/>
  <c r="Q70" i="1"/>
  <c r="Q76" i="1"/>
  <c r="Q75" i="1"/>
  <c r="AO73" i="1"/>
  <c r="AN71" i="1"/>
  <c r="AO69" i="1"/>
  <c r="U68" i="1"/>
  <c r="Z67" i="1"/>
  <c r="AA66" i="1"/>
  <c r="AG65" i="1"/>
  <c r="AK64" i="1"/>
  <c r="AO63" i="1"/>
  <c r="U62" i="1"/>
  <c r="Z61" i="1"/>
  <c r="AA60" i="1"/>
  <c r="AG59" i="1"/>
  <c r="AK58" i="1"/>
  <c r="AO57" i="1"/>
  <c r="U56" i="1"/>
  <c r="Z55" i="1"/>
  <c r="AA54" i="1"/>
  <c r="AG53" i="1"/>
  <c r="AK52" i="1"/>
  <c r="AO51" i="1"/>
  <c r="U50" i="1"/>
  <c r="Z49" i="1"/>
  <c r="AA48" i="1"/>
  <c r="AG47" i="1"/>
  <c r="AK46" i="1"/>
  <c r="AO45" i="1"/>
  <c r="U44" i="1"/>
  <c r="Z43" i="1"/>
  <c r="AA42" i="1"/>
  <c r="AG41" i="1"/>
  <c r="AK40" i="1"/>
  <c r="AO39" i="1"/>
  <c r="U38" i="1"/>
  <c r="Z37" i="1"/>
  <c r="AA36" i="1"/>
  <c r="AG35" i="1"/>
  <c r="AK34" i="1"/>
  <c r="AO33" i="1"/>
  <c r="U32" i="1"/>
  <c r="Z31" i="1"/>
  <c r="AA30" i="1"/>
  <c r="AG29" i="1"/>
  <c r="AK28" i="1"/>
  <c r="AO27" i="1"/>
  <c r="U26" i="1"/>
  <c r="Z25" i="1"/>
  <c r="AA24" i="1"/>
  <c r="AG23" i="1"/>
  <c r="AK22" i="1"/>
  <c r="AO21" i="1"/>
  <c r="U20" i="1"/>
  <c r="Z19" i="1"/>
  <c r="AA18" i="1"/>
  <c r="AG17" i="1"/>
  <c r="AL16" i="1"/>
  <c r="P16" i="1"/>
  <c r="R15" i="1"/>
  <c r="Z14" i="1"/>
  <c r="AM12" i="1"/>
  <c r="U12" i="1"/>
  <c r="AO10" i="1"/>
  <c r="U10" i="1"/>
  <c r="AH9" i="1"/>
  <c r="AA8" i="1"/>
  <c r="AI7" i="1"/>
  <c r="S7" i="1"/>
  <c r="AO5" i="1"/>
  <c r="Y5" i="1"/>
  <c r="AG4" i="1"/>
  <c r="Q4" i="1"/>
  <c r="AA3" i="1"/>
  <c r="AM2" i="1"/>
  <c r="S2" i="1"/>
  <c r="AE1" i="1"/>
  <c r="V18" i="1"/>
  <c r="X13" i="1"/>
  <c r="Q10" i="1"/>
  <c r="AN6" i="1"/>
  <c r="AH73" i="1"/>
  <c r="AB72" i="1"/>
  <c r="AD71" i="1"/>
  <c r="AB69" i="1"/>
  <c r="AI68" i="1"/>
  <c r="AP67" i="1"/>
  <c r="AO66" i="1"/>
  <c r="S66" i="1"/>
  <c r="W65" i="1"/>
  <c r="AB64" i="1"/>
  <c r="AB63" i="1"/>
  <c r="AI62" i="1"/>
  <c r="AP61" i="1"/>
  <c r="AO60" i="1"/>
  <c r="S60" i="1"/>
  <c r="W59" i="1"/>
  <c r="AB57" i="1"/>
  <c r="AI56" i="1"/>
  <c r="AP55" i="1"/>
  <c r="AO54" i="1"/>
  <c r="W53" i="1"/>
  <c r="AP49" i="1"/>
  <c r="AB46" i="1"/>
  <c r="W41" i="1"/>
  <c r="AB34" i="1"/>
  <c r="W29" i="1"/>
  <c r="AP25" i="1"/>
  <c r="W23" i="1"/>
  <c r="AB21" i="1"/>
  <c r="AP19" i="1"/>
  <c r="S18" i="1"/>
  <c r="AF15" i="1"/>
  <c r="T11" i="1"/>
  <c r="AL8" i="1"/>
  <c r="AM6" i="1"/>
  <c r="P5" i="1"/>
  <c r="AK3" i="1"/>
  <c r="AD2" i="1"/>
  <c r="AP1" i="1"/>
  <c r="AH75" i="1"/>
  <c r="AF73" i="1"/>
  <c r="Z72" i="1"/>
  <c r="AB70" i="1"/>
  <c r="AA69" i="1"/>
  <c r="AF68" i="1"/>
  <c r="AJ67" i="1"/>
  <c r="AN66" i="1"/>
  <c r="V65" i="1"/>
  <c r="AA64" i="1"/>
  <c r="AA63" i="1"/>
  <c r="AF62" i="1"/>
  <c r="AJ61" i="1"/>
  <c r="AN60" i="1"/>
  <c r="V59" i="1"/>
  <c r="AA58" i="1"/>
  <c r="AA57" i="1"/>
  <c r="AF56" i="1"/>
  <c r="AJ55" i="1"/>
  <c r="AN54" i="1"/>
  <c r="V53" i="1"/>
  <c r="AA52" i="1"/>
  <c r="AA51" i="1"/>
  <c r="AF50" i="1"/>
  <c r="AJ49" i="1"/>
  <c r="AN48" i="1"/>
  <c r="V47" i="1"/>
  <c r="AA46" i="1"/>
  <c r="AA45" i="1"/>
  <c r="AJ43" i="1"/>
  <c r="AA40" i="1"/>
  <c r="AA39" i="1"/>
  <c r="AF38" i="1"/>
  <c r="AJ37" i="1"/>
  <c r="AN36" i="1"/>
  <c r="V35" i="1"/>
  <c r="AA34" i="1"/>
  <c r="AA33" i="1"/>
  <c r="AF32" i="1"/>
  <c r="AJ31" i="1"/>
  <c r="AN30" i="1"/>
  <c r="AA28" i="1"/>
  <c r="AA27" i="1"/>
  <c r="AF26" i="1"/>
  <c r="AJ25" i="1"/>
  <c r="AN24" i="1"/>
  <c r="V23" i="1"/>
  <c r="AA22" i="1"/>
  <c r="AA21" i="1"/>
  <c r="AF20" i="1"/>
  <c r="AJ19" i="1"/>
  <c r="AN18" i="1"/>
  <c r="V17" i="1"/>
  <c r="AE15" i="1"/>
  <c r="AN14" i="1"/>
  <c r="AP13" i="1"/>
  <c r="V13" i="1"/>
  <c r="AB12" i="1"/>
  <c r="AM11" i="1"/>
  <c r="AE10" i="1"/>
  <c r="AN9" i="1"/>
  <c r="Y9" i="1"/>
  <c r="AK8" i="1"/>
  <c r="Q8" i="1"/>
  <c r="W6" i="1"/>
  <c r="W4" i="1"/>
  <c r="AG75" i="1"/>
  <c r="Z64" i="1"/>
  <c r="AM60" i="1"/>
  <c r="Z57" i="1"/>
  <c r="AM54" i="1"/>
  <c r="S53" i="1"/>
  <c r="AM48" i="1"/>
  <c r="Z46" i="1"/>
  <c r="AE44" i="1"/>
  <c r="AM42" i="1"/>
  <c r="AO41" i="1"/>
  <c r="S41" i="1"/>
  <c r="Z39" i="1"/>
  <c r="AE38" i="1"/>
  <c r="AM36" i="1"/>
  <c r="S35" i="1"/>
  <c r="AE32" i="1"/>
  <c r="AO29" i="1"/>
  <c r="Z28" i="1"/>
  <c r="Z27" i="1"/>
  <c r="AG25" i="1"/>
  <c r="AO23" i="1"/>
  <c r="Z22" i="1"/>
  <c r="Z21" i="1"/>
  <c r="AE20" i="1"/>
  <c r="AM18" i="1"/>
  <c r="AO17" i="1"/>
  <c r="T17" i="1"/>
  <c r="AD15" i="1"/>
  <c r="AL14" i="1"/>
  <c r="AO13" i="1"/>
  <c r="AA12" i="1"/>
  <c r="AL11" i="1"/>
  <c r="R11" i="1"/>
  <c r="AD10" i="1"/>
  <c r="AM9" i="1"/>
  <c r="AF8" i="1"/>
  <c r="P8" i="1"/>
  <c r="X7" i="1"/>
  <c r="AK6" i="1"/>
  <c r="V6" i="1"/>
  <c r="AP4" i="1"/>
  <c r="V4" i="1"/>
  <c r="AI3" i="1"/>
  <c r="P3" i="1"/>
  <c r="AB2" i="1"/>
  <c r="AJ1" i="1"/>
  <c r="U73" i="1"/>
  <c r="X72" i="1"/>
  <c r="V71" i="1"/>
  <c r="Z70" i="1"/>
  <c r="Y69" i="1"/>
  <c r="AD68" i="1"/>
  <c r="AF67" i="1"/>
  <c r="AL66" i="1"/>
  <c r="AN65" i="1"/>
  <c r="Q65" i="1"/>
  <c r="Q64" i="1"/>
  <c r="Y63" i="1"/>
  <c r="AD62" i="1"/>
  <c r="AF61" i="1"/>
  <c r="AL60" i="1"/>
  <c r="AN59" i="1"/>
  <c r="Q59" i="1"/>
  <c r="Q58" i="1"/>
  <c r="Y57" i="1"/>
  <c r="AD56" i="1"/>
  <c r="AF55" i="1"/>
  <c r="AL54" i="1"/>
  <c r="P76" i="1"/>
  <c r="P75" i="1"/>
  <c r="AN73" i="1"/>
  <c r="AP72" i="1"/>
  <c r="AL71" i="1"/>
  <c r="AP70" i="1"/>
  <c r="AN69" i="1"/>
  <c r="AO68" i="1"/>
  <c r="R68" i="1"/>
  <c r="Y67" i="1"/>
  <c r="Z66" i="1"/>
  <c r="AF65" i="1"/>
  <c r="AG64" i="1"/>
  <c r="AN63" i="1"/>
  <c r="AO62" i="1"/>
  <c r="R62" i="1"/>
  <c r="Y61" i="1"/>
  <c r="Z60" i="1"/>
  <c r="AF59" i="1"/>
  <c r="AG58" i="1"/>
  <c r="AN57" i="1"/>
  <c r="AO56" i="1"/>
  <c r="R56" i="1"/>
  <c r="Y55" i="1"/>
  <c r="Z54" i="1"/>
  <c r="AF53" i="1"/>
  <c r="AG52" i="1"/>
  <c r="AN51" i="1"/>
  <c r="AO50" i="1"/>
  <c r="R50" i="1"/>
  <c r="Y49" i="1"/>
  <c r="Z48" i="1"/>
  <c r="AF47" i="1"/>
  <c r="AG46" i="1"/>
  <c r="AN45" i="1"/>
  <c r="AO44" i="1"/>
  <c r="R44" i="1"/>
  <c r="Y43" i="1"/>
  <c r="Z42" i="1"/>
  <c r="AF41" i="1"/>
  <c r="AG40" i="1"/>
  <c r="AN39" i="1"/>
  <c r="AO38" i="1"/>
  <c r="R38" i="1"/>
  <c r="Y37" i="1"/>
  <c r="Z36" i="1"/>
  <c r="AF35" i="1"/>
  <c r="AG34" i="1"/>
  <c r="AN33" i="1"/>
  <c r="AO32" i="1"/>
  <c r="R32" i="1"/>
  <c r="Y31" i="1"/>
  <c r="Z30" i="1"/>
  <c r="AF29" i="1"/>
  <c r="AG28" i="1"/>
  <c r="AN27" i="1"/>
  <c r="AO26" i="1"/>
  <c r="R26" i="1"/>
  <c r="Y25" i="1"/>
  <c r="Z24" i="1"/>
  <c r="AF23" i="1"/>
  <c r="AG22" i="1"/>
  <c r="AN21" i="1"/>
  <c r="AO20" i="1"/>
  <c r="R20" i="1"/>
  <c r="Y19" i="1"/>
  <c r="Z18" i="1"/>
  <c r="AF17" i="1"/>
  <c r="AK16" i="1"/>
  <c r="Q15" i="1"/>
  <c r="Y14" i="1"/>
  <c r="AB13" i="1"/>
  <c r="AL12" i="1"/>
  <c r="P12" i="1"/>
  <c r="AB11" i="1"/>
  <c r="AJ10" i="1"/>
  <c r="T10" i="1"/>
  <c r="AG9" i="1"/>
  <c r="AP8" i="1"/>
  <c r="Z8" i="1"/>
  <c r="AH7" i="1"/>
  <c r="R7" i="1"/>
  <c r="AB6" i="1"/>
  <c r="AN5" i="1"/>
  <c r="T5" i="1"/>
  <c r="AF4" i="1"/>
  <c r="Z3" i="1"/>
  <c r="AL2" i="1"/>
  <c r="R2" i="1"/>
  <c r="AD1" i="1"/>
  <c r="AL73" i="1"/>
  <c r="AO72" i="1"/>
  <c r="AK71" i="1"/>
  <c r="AG70" i="1"/>
  <c r="AM69" i="1"/>
  <c r="AN68" i="1"/>
  <c r="Q68" i="1"/>
  <c r="Q67" i="1"/>
  <c r="Y66" i="1"/>
  <c r="AD65" i="1"/>
  <c r="AF64" i="1"/>
  <c r="AM63" i="1"/>
  <c r="AN62" i="1"/>
  <c r="Q62" i="1"/>
  <c r="Q61" i="1"/>
  <c r="Y60" i="1"/>
  <c r="AD59" i="1"/>
  <c r="AF58" i="1"/>
  <c r="AM57" i="1"/>
  <c r="AN56" i="1"/>
  <c r="Q56" i="1"/>
  <c r="Q55" i="1"/>
  <c r="Y54" i="1"/>
  <c r="AD53" i="1"/>
  <c r="AF52" i="1"/>
  <c r="AM51" i="1"/>
  <c r="AN50" i="1"/>
  <c r="Q50" i="1"/>
  <c r="Q49" i="1"/>
  <c r="Y48" i="1"/>
  <c r="AD47" i="1"/>
  <c r="AF46" i="1"/>
  <c r="AM45" i="1"/>
  <c r="AN44" i="1"/>
  <c r="Q44" i="1"/>
  <c r="Q43" i="1"/>
  <c r="Y42" i="1"/>
  <c r="AD41" i="1"/>
  <c r="AF40" i="1"/>
  <c r="AM39" i="1"/>
  <c r="AN38" i="1"/>
  <c r="Q38" i="1"/>
  <c r="Q37" i="1"/>
  <c r="Y36" i="1"/>
  <c r="AD35" i="1"/>
  <c r="AF34" i="1"/>
  <c r="AM33" i="1"/>
  <c r="AN32" i="1"/>
  <c r="Q32" i="1"/>
  <c r="Q31" i="1"/>
  <c r="Y30" i="1"/>
  <c r="AD29" i="1"/>
  <c r="AF28" i="1"/>
  <c r="AM27" i="1"/>
  <c r="AN26" i="1"/>
  <c r="Q26" i="1"/>
  <c r="Q25" i="1"/>
  <c r="Y24" i="1"/>
  <c r="AD23" i="1"/>
  <c r="AF22" i="1"/>
  <c r="AM21" i="1"/>
  <c r="AN20" i="1"/>
  <c r="Q20" i="1"/>
  <c r="Q19" i="1"/>
  <c r="Y18" i="1"/>
  <c r="AD17" i="1"/>
  <c r="AI16" i="1"/>
  <c r="AP15" i="1"/>
  <c r="P15" i="1"/>
  <c r="W14" i="1"/>
  <c r="Z13" i="1"/>
  <c r="AK12" i="1"/>
  <c r="AA11" i="1"/>
  <c r="AI10" i="1"/>
  <c r="S10" i="1"/>
  <c r="AO8" i="1"/>
  <c r="Y8" i="1"/>
  <c r="AG7" i="1"/>
  <c r="Q7" i="1"/>
  <c r="AA6" i="1"/>
  <c r="AM5" i="1"/>
  <c r="S5" i="1"/>
  <c r="AE4" i="1"/>
  <c r="AN3" i="1"/>
  <c r="Y3" i="1"/>
  <c r="AK2" i="1"/>
  <c r="Q2" i="1"/>
  <c r="AC1" i="1"/>
  <c r="AP75" i="1"/>
  <c r="AP74" i="1"/>
  <c r="AK73" i="1"/>
  <c r="AD72" i="1"/>
  <c r="AH71" i="1"/>
  <c r="AF70" i="1"/>
  <c r="AL69" i="1"/>
  <c r="AL68" i="1"/>
  <c r="P68" i="1"/>
  <c r="P67" i="1"/>
  <c r="X66" i="1"/>
  <c r="AD64" i="1"/>
  <c r="AL63" i="1"/>
  <c r="AL62" i="1"/>
  <c r="P62" i="1"/>
  <c r="P61" i="1"/>
  <c r="X60" i="1"/>
  <c r="AD58" i="1"/>
  <c r="AL57" i="1"/>
  <c r="AL56" i="1"/>
  <c r="P56" i="1"/>
  <c r="P55" i="1"/>
  <c r="X54" i="1"/>
  <c r="AD52" i="1"/>
  <c r="AL51" i="1"/>
  <c r="AL50" i="1"/>
  <c r="P50" i="1"/>
  <c r="P49" i="1"/>
  <c r="X48" i="1"/>
  <c r="AD46" i="1"/>
  <c r="AL45" i="1"/>
  <c r="AL44" i="1"/>
  <c r="P44" i="1"/>
  <c r="P43" i="1"/>
  <c r="X42" i="1"/>
  <c r="AD40" i="1"/>
  <c r="AL39" i="1"/>
  <c r="AL38" i="1"/>
  <c r="P38" i="1"/>
  <c r="P37" i="1"/>
  <c r="X36" i="1"/>
  <c r="AD34" i="1"/>
  <c r="AL33" i="1"/>
  <c r="AL32" i="1"/>
  <c r="P32" i="1"/>
  <c r="P31" i="1"/>
  <c r="X30" i="1"/>
  <c r="AD28" i="1"/>
  <c r="AL27" i="1"/>
  <c r="AL26" i="1"/>
  <c r="P26" i="1"/>
  <c r="P25" i="1"/>
  <c r="X24" i="1"/>
  <c r="AD22" i="1"/>
  <c r="AL21" i="1"/>
  <c r="AL20" i="1"/>
  <c r="P20" i="1"/>
  <c r="P19" i="1"/>
  <c r="X18" i="1"/>
  <c r="AG16" i="1"/>
  <c r="AO15" i="1"/>
  <c r="V14" i="1"/>
  <c r="Y13" i="1"/>
  <c r="AI12" i="1"/>
  <c r="AP11" i="1"/>
  <c r="Z11" i="1"/>
  <c r="AH10" i="1"/>
  <c r="R10" i="1"/>
  <c r="AB9" i="1"/>
  <c r="AN8" i="1"/>
  <c r="T8" i="1"/>
  <c r="AF7" i="1"/>
  <c r="Z6" i="1"/>
  <c r="AL5" i="1"/>
  <c r="R5" i="1"/>
  <c r="AD4" i="1"/>
  <c r="AM3" i="1"/>
  <c r="X3" i="1"/>
  <c r="AF2" i="1"/>
  <c r="P2" i="1"/>
  <c r="AO75" i="1"/>
  <c r="AG74" i="1"/>
  <c r="AJ73" i="1"/>
  <c r="AG71" i="1"/>
  <c r="AD70" i="1"/>
  <c r="AJ68" i="1"/>
  <c r="V66" i="1"/>
  <c r="X65" i="1"/>
  <c r="AJ62" i="1"/>
  <c r="V60" i="1"/>
  <c r="X59" i="1"/>
  <c r="AJ56" i="1"/>
  <c r="V54" i="1"/>
  <c r="X53" i="1"/>
  <c r="AJ50" i="1"/>
  <c r="V48" i="1"/>
  <c r="X47" i="1"/>
  <c r="AJ44" i="1"/>
  <c r="V42" i="1"/>
  <c r="X41" i="1"/>
  <c r="AJ38" i="1"/>
  <c r="V36" i="1"/>
  <c r="X35" i="1"/>
  <c r="AJ32" i="1"/>
  <c r="V30" i="1"/>
  <c r="X29" i="1"/>
  <c r="AJ26" i="1"/>
  <c r="V24" i="1"/>
  <c r="X23" i="1"/>
  <c r="AJ20" i="1"/>
  <c r="X17" i="1"/>
  <c r="AF16" i="1"/>
  <c r="AG15" i="1"/>
  <c r="AP14" i="1"/>
  <c r="P14" i="1"/>
  <c r="AH12" i="1"/>
  <c r="AO11" i="1"/>
  <c r="Y11" i="1"/>
  <c r="AG10" i="1"/>
  <c r="AA9" i="1"/>
  <c r="AM8" i="1"/>
  <c r="S8" i="1"/>
  <c r="AE7" i="1"/>
  <c r="Y6" i="1"/>
  <c r="AK5" i="1"/>
  <c r="Q5" i="1"/>
  <c r="AL3" i="1"/>
  <c r="W3" i="1"/>
  <c r="AE2" i="1"/>
  <c r="AN75" i="1"/>
  <c r="AB58" i="1"/>
  <c r="S54" i="1"/>
  <c r="AB52" i="1"/>
  <c r="AB51" i="1"/>
  <c r="AI50" i="1"/>
  <c r="AO48" i="1"/>
  <c r="S48" i="1"/>
  <c r="W47" i="1"/>
  <c r="AB45" i="1"/>
  <c r="AI44" i="1"/>
  <c r="AP43" i="1"/>
  <c r="AO42" i="1"/>
  <c r="S42" i="1"/>
  <c r="AB40" i="1"/>
  <c r="AB39" i="1"/>
  <c r="AI38" i="1"/>
  <c r="AP37" i="1"/>
  <c r="AO36" i="1"/>
  <c r="S36" i="1"/>
  <c r="W35" i="1"/>
  <c r="AB33" i="1"/>
  <c r="AI32" i="1"/>
  <c r="AP31" i="1"/>
  <c r="AO30" i="1"/>
  <c r="S30" i="1"/>
  <c r="AB28" i="1"/>
  <c r="AB27" i="1"/>
  <c r="AI26" i="1"/>
  <c r="AO24" i="1"/>
  <c r="S24" i="1"/>
  <c r="AB22" i="1"/>
  <c r="AI20" i="1"/>
  <c r="AO18" i="1"/>
  <c r="W17" i="1"/>
  <c r="AD16" i="1"/>
  <c r="AO14" i="1"/>
  <c r="W13" i="1"/>
  <c r="AN11" i="1"/>
  <c r="AF10" i="1"/>
  <c r="Z9" i="1"/>
  <c r="R8" i="1"/>
  <c r="AD7" i="1"/>
  <c r="X6" i="1"/>
  <c r="AF5" i="1"/>
  <c r="X4" i="1"/>
  <c r="V3" i="1"/>
  <c r="AB74" i="1"/>
  <c r="AF44" i="1"/>
  <c r="AN42" i="1"/>
  <c r="V41" i="1"/>
  <c r="V29" i="1"/>
  <c r="S11" i="1"/>
  <c r="AL6" i="1"/>
  <c r="AE5" i="1"/>
  <c r="AJ3" i="1"/>
  <c r="U3" i="1"/>
  <c r="AO1" i="1"/>
  <c r="Z74" i="1"/>
  <c r="Y72" i="1"/>
  <c r="W71" i="1"/>
  <c r="AA70" i="1"/>
  <c r="Z69" i="1"/>
  <c r="AE68" i="1"/>
  <c r="AG67" i="1"/>
  <c r="AM66" i="1"/>
  <c r="AO65" i="1"/>
  <c r="S65" i="1"/>
  <c r="Z63" i="1"/>
  <c r="AE62" i="1"/>
  <c r="AG61" i="1"/>
  <c r="AO59" i="1"/>
  <c r="S59" i="1"/>
  <c r="Z58" i="1"/>
  <c r="AE56" i="1"/>
  <c r="AG55" i="1"/>
  <c r="AO53" i="1"/>
  <c r="Z52" i="1"/>
  <c r="Z51" i="1"/>
  <c r="AE50" i="1"/>
  <c r="AG49" i="1"/>
  <c r="AO47" i="1"/>
  <c r="S47" i="1"/>
  <c r="Z45" i="1"/>
  <c r="AG43" i="1"/>
  <c r="Z40" i="1"/>
  <c r="AG37" i="1"/>
  <c r="AO35" i="1"/>
  <c r="Z34" i="1"/>
  <c r="Z33" i="1"/>
  <c r="AG31" i="1"/>
  <c r="AM30" i="1"/>
  <c r="S29" i="1"/>
  <c r="AE26" i="1"/>
  <c r="AM24" i="1"/>
  <c r="S23" i="1"/>
  <c r="AG19" i="1"/>
  <c r="AB16" i="1"/>
  <c r="T13" i="1"/>
  <c r="X9" i="1"/>
  <c r="AD5" i="1"/>
  <c r="Y75" i="1"/>
  <c r="P73" i="1"/>
  <c r="P70" i="1"/>
  <c r="AD67" i="1"/>
  <c r="P65" i="1"/>
  <c r="AL59" i="1"/>
  <c r="X57" i="1"/>
  <c r="AK54" i="1"/>
  <c r="AP52" i="1"/>
  <c r="AD50" i="1"/>
  <c r="AB42" i="1"/>
  <c r="Q40" i="1"/>
  <c r="W38" i="1"/>
  <c r="P34" i="1"/>
  <c r="V32" i="1"/>
  <c r="AN29" i="1"/>
  <c r="AL23" i="1"/>
  <c r="AP21" i="1"/>
  <c r="AF19" i="1"/>
  <c r="AK17" i="1"/>
  <c r="AL13" i="1"/>
  <c r="V12" i="1"/>
  <c r="X10" i="1"/>
  <c r="P9" i="1"/>
  <c r="V7" i="1"/>
  <c r="AP5" i="1"/>
  <c r="T4" i="1"/>
  <c r="AJ17" i="1"/>
  <c r="AK13" i="1"/>
  <c r="W10" i="1"/>
  <c r="U7" i="1"/>
  <c r="AA2" i="1"/>
  <c r="U75" i="1"/>
  <c r="AP69" i="1"/>
  <c r="AB67" i="1"/>
  <c r="V62" i="1"/>
  <c r="R57" i="1"/>
  <c r="AB54" i="1"/>
  <c r="W50" i="1"/>
  <c r="P46" i="1"/>
  <c r="V44" i="1"/>
  <c r="AL35" i="1"/>
  <c r="AF31" i="1"/>
  <c r="AK29" i="1"/>
  <c r="AD25" i="1"/>
  <c r="AJ23" i="1"/>
  <c r="AB15" i="1"/>
  <c r="AK11" i="1"/>
  <c r="V10" i="1"/>
  <c r="T7" i="1"/>
  <c r="Z2" i="1"/>
  <c r="T72" i="1"/>
  <c r="AF37" i="1"/>
  <c r="AK35" i="1"/>
  <c r="AD31" i="1"/>
  <c r="AJ29" i="1"/>
  <c r="Y27" i="1"/>
  <c r="X21" i="1"/>
  <c r="AB19" i="1"/>
  <c r="S17" i="1"/>
  <c r="AA15" i="1"/>
  <c r="AF11" i="1"/>
  <c r="AD8" i="1"/>
  <c r="AA5" i="1"/>
  <c r="Y2" i="1"/>
  <c r="X69" i="1"/>
  <c r="AK66" i="1"/>
  <c r="P64" i="1"/>
  <c r="AD61" i="1"/>
  <c r="P59" i="1"/>
  <c r="AN53" i="1"/>
  <c r="AL47" i="1"/>
  <c r="AP45" i="1"/>
  <c r="AF43" i="1"/>
  <c r="AK41" i="1"/>
  <c r="AD37" i="1"/>
  <c r="AJ35" i="1"/>
  <c r="X27" i="1"/>
  <c r="Q23" i="1"/>
  <c r="Z15" i="1"/>
  <c r="AL9" i="1"/>
  <c r="Z5" i="1"/>
  <c r="AH3" i="1"/>
  <c r="AO71" i="1"/>
  <c r="U69" i="1"/>
  <c r="W56" i="1"/>
  <c r="AL53" i="1"/>
  <c r="AP51" i="1"/>
  <c r="AF49" i="1"/>
  <c r="AK47" i="1"/>
  <c r="AD43" i="1"/>
  <c r="AJ41" i="1"/>
  <c r="X33" i="1"/>
  <c r="AB31" i="1"/>
  <c r="Q29" i="1"/>
  <c r="P23" i="1"/>
  <c r="R21" i="1"/>
  <c r="AL18" i="1"/>
  <c r="P17" i="1"/>
  <c r="AP12" i="1"/>
  <c r="AD11" i="1"/>
  <c r="AK9" i="1"/>
  <c r="AI6" i="1"/>
  <c r="X74" i="1"/>
  <c r="AJ47" i="1"/>
  <c r="Q35" i="1"/>
  <c r="AL24" i="1"/>
  <c r="AO4" i="1"/>
  <c r="AI1" i="1"/>
  <c r="S71" i="1"/>
  <c r="AJ53" i="1"/>
  <c r="Y51" i="1"/>
  <c r="X45" i="1"/>
  <c r="AB43" i="1"/>
  <c r="Q41" i="1"/>
  <c r="P35" i="1"/>
  <c r="R33" i="1"/>
  <c r="AL30" i="1"/>
  <c r="AK24" i="1"/>
  <c r="Q11" i="1"/>
  <c r="AJ4" i="1"/>
  <c r="AB3" i="1"/>
  <c r="AH1" i="1"/>
  <c r="P58" i="1"/>
  <c r="AB49" i="1"/>
  <c r="U45" i="1"/>
  <c r="AL36" i="1"/>
  <c r="AP28" i="1"/>
  <c r="W16" i="1"/>
  <c r="P71" i="1"/>
  <c r="W68" i="1"/>
  <c r="AK65" i="1"/>
  <c r="U63" i="1"/>
  <c r="U51" i="1"/>
  <c r="P47" i="1"/>
  <c r="AL42" i="1"/>
  <c r="AK36" i="1"/>
  <c r="AB14" i="1"/>
  <c r="Z12" i="1"/>
  <c r="W9" i="1"/>
  <c r="AJ7" i="1"/>
  <c r="AH4" i="1"/>
  <c r="AF1" i="1"/>
  <c r="T73" i="1"/>
  <c r="V68" i="1"/>
  <c r="R63" i="1"/>
  <c r="AB60" i="1"/>
  <c r="AB55" i="1"/>
  <c r="P53" i="1"/>
  <c r="AL48" i="1"/>
  <c r="AK42" i="1"/>
  <c r="AD38" i="1"/>
  <c r="Q28" i="1"/>
  <c r="W26" i="1"/>
  <c r="Y12" i="1"/>
  <c r="AP46" i="1"/>
  <c r="AB36" i="1"/>
  <c r="W32" i="1"/>
  <c r="P28" i="1"/>
  <c r="V26" i="1"/>
  <c r="Q16" i="1"/>
  <c r="W12" i="1"/>
  <c r="W7" i="1"/>
  <c r="X75" i="1"/>
  <c r="W62" i="1"/>
  <c r="AK59" i="1"/>
  <c r="U57" i="1"/>
  <c r="AB48" i="1"/>
  <c r="Q46" i="1"/>
  <c r="W44" i="1"/>
  <c r="P40" i="1"/>
  <c r="V38" i="1"/>
  <c r="AN35" i="1"/>
  <c r="AL29" i="1"/>
  <c r="AP27" i="1"/>
  <c r="AF25" i="1"/>
  <c r="AK23" i="1"/>
  <c r="AD19" i="1"/>
  <c r="S4" i="1"/>
  <c r="AP64" i="1"/>
  <c r="AJ59" i="1"/>
  <c r="Q52" i="1"/>
  <c r="AN41" i="1"/>
  <c r="AP33" i="1"/>
  <c r="Y21" i="1"/>
  <c r="AJ13" i="1"/>
  <c r="AE8" i="1"/>
  <c r="AB5" i="1"/>
  <c r="R4" i="1"/>
  <c r="P52" i="1"/>
  <c r="V50" i="1"/>
  <c r="AN47" i="1"/>
  <c r="AL41" i="1"/>
  <c r="AP39" i="1"/>
  <c r="Y33" i="1"/>
  <c r="AB25" i="1"/>
  <c r="U21" i="1"/>
  <c r="Q17" i="1"/>
  <c r="AE11" i="1"/>
  <c r="AJ6" i="1"/>
  <c r="T2" i="1"/>
  <c r="Y74" i="1"/>
  <c r="Y39" i="1"/>
  <c r="U27" i="1"/>
  <c r="AB8" i="1"/>
  <c r="AG3" i="1"/>
  <c r="R69" i="1"/>
  <c r="AB66" i="1"/>
  <c r="AP63" i="1"/>
  <c r="AB61" i="1"/>
  <c r="AP58" i="1"/>
  <c r="V56" i="1"/>
  <c r="AK53" i="1"/>
  <c r="AD49" i="1"/>
  <c r="Y45" i="1"/>
  <c r="X39" i="1"/>
  <c r="AB37" i="1"/>
  <c r="U33" i="1"/>
  <c r="P29" i="1"/>
  <c r="R27" i="1"/>
  <c r="AK18" i="1"/>
  <c r="AE14" i="1"/>
  <c r="AO12" i="1"/>
  <c r="AJ9" i="1"/>
  <c r="AH6" i="1"/>
  <c r="V74" i="1"/>
  <c r="U39" i="1"/>
  <c r="AP22" i="1"/>
  <c r="AD20" i="1"/>
  <c r="AD14" i="1"/>
  <c r="AN12" i="1"/>
  <c r="AI9" i="1"/>
  <c r="AP7" i="1"/>
  <c r="AG6" i="1"/>
  <c r="Q71" i="1"/>
  <c r="AL65" i="1"/>
  <c r="X63" i="1"/>
  <c r="AK60" i="1"/>
  <c r="AD55" i="1"/>
  <c r="X51" i="1"/>
  <c r="Q47" i="1"/>
  <c r="P41" i="1"/>
  <c r="R39" i="1"/>
  <c r="AK30" i="1"/>
  <c r="AD26" i="1"/>
  <c r="AB18" i="1"/>
  <c r="P11" i="1"/>
  <c r="AO7" i="1"/>
  <c r="AI4" i="1"/>
  <c r="AG1" i="1"/>
  <c r="Q53" i="1"/>
  <c r="R45" i="1"/>
  <c r="AP34" i="1"/>
  <c r="AD32" i="1"/>
  <c r="AB24" i="1"/>
  <c r="Q22" i="1"/>
  <c r="W20" i="1"/>
  <c r="T16" i="1"/>
  <c r="U6" i="1"/>
  <c r="AP2" i="1"/>
  <c r="AJ65" i="1"/>
  <c r="AP57" i="1"/>
  <c r="R51" i="1"/>
  <c r="AP40" i="1"/>
  <c r="AB30" i="1"/>
  <c r="P22" i="1"/>
  <c r="V20" i="1"/>
  <c r="AN17" i="1"/>
  <c r="R16" i="1"/>
  <c r="AP10" i="1"/>
  <c r="V9" i="1"/>
  <c r="P6" i="1"/>
  <c r="AO2" i="1"/>
  <c r="R73" i="1"/>
  <c r="AK48" i="1"/>
  <c r="AD44" i="1"/>
  <c r="Q34" i="1"/>
  <c r="AN23" i="1"/>
  <c r="AL17" i="1"/>
  <c r="AM13" i="1"/>
  <c r="U9" i="1"/>
  <c r="U4" i="1"/>
  <c r="AN2" i="1"/>
</calcChain>
</file>

<file path=xl/sharedStrings.xml><?xml version="1.0" encoding="utf-8"?>
<sst xmlns="http://schemas.openxmlformats.org/spreadsheetml/2006/main" count="759" uniqueCount="579">
  <si>
    <t>ID</t>
  </si>
  <si>
    <t>Category</t>
  </si>
  <si>
    <t>Name</t>
  </si>
  <si>
    <t>Time</t>
  </si>
  <si>
    <t>Ingredients</t>
  </si>
  <si>
    <t>Way</t>
  </si>
  <si>
    <t>Shares</t>
  </si>
  <si>
    <t>Decoration</t>
  </si>
  <si>
    <t>Secrets</t>
  </si>
  <si>
    <t>Images</t>
  </si>
  <si>
    <t>Videos</t>
  </si>
  <si>
    <t>Favorite</t>
  </si>
  <si>
    <t>Pro_Tips</t>
  </si>
  <si>
    <t>Where_To_buy</t>
  </si>
  <si>
    <t>ID 2</t>
  </si>
  <si>
    <t>Category 2</t>
  </si>
  <si>
    <t>Name 2</t>
  </si>
  <si>
    <t>Time 2</t>
  </si>
  <si>
    <t>Ingredients 2</t>
  </si>
  <si>
    <t>Way 2</t>
  </si>
  <si>
    <t>Shares 2</t>
  </si>
  <si>
    <t>Decoration 2</t>
  </si>
  <si>
    <t>Secrets 2</t>
  </si>
  <si>
    <t>Images 2</t>
  </si>
  <si>
    <t>Videos 2</t>
  </si>
  <si>
    <t>Favorite 2</t>
  </si>
  <si>
    <t>Pro_Tips 2</t>
  </si>
  <si>
    <t>Where_To_buy 2</t>
  </si>
  <si>
    <t>1</t>
  </si>
  <si>
    <t>الكبب الحلبية</t>
  </si>
  <si>
    <t>الكبة المقلية</t>
  </si>
  <si>
    <t>3 ساعات</t>
  </si>
  <si>
    <t xml:space="preserve">• كيلو برغل عمقي أسمر (الأبيض جيد للطبخ وليس للكبة )
• 400 غرام هبرة بقر او عجل
• 200 جرام طحين
• بصلتين كبار 400 جرام
• ملعقة صغيرة (فلفل اسود، قرفة
• 7 بهارات
• ملعقة صغيرة زنجبيل مطحون
• مكعب ماجي
• ملعقة طعام ملح
الحشوة:
•  كيلو , ونصف لحم مفروم قليل الدهن (1.5 لكل كيلو برغل)
•  بصلتين كبار 600 جرام
• 100 جرام  صنوبر محمص ان وجد
• ربع كيلو جوز
</t>
  </si>
  <si>
    <t xml:space="preserve">ضعي 3 كوب ماء بارد من الحنفية على البرغل، قطعي البصل اجنحة فوق البرغل وتضاف باقي المواد الى البرغل عدا الهبرة في مرحلة أخرى، اتركي البرغل منقوع مع البهارات والبصل المقطع مدة على الأقل ساعتين أو أكثر لايهم.
اطحني البرغل المرة الأولى في مفرمة اللحم بدون الهبرة، بعد انتهاء الدور الأول بالكامل تخلط الهبرة المطحونة مع البرغل الذي تم طحنه بالمفرمة وان شعرت بأن العجينة ناشفة أضيفي قليل من الماء بالتدريج ثم يعاد طحن البرغل مع الهبرة في مفرمة اللحمة مرة أخرى حتى يتجانس لون الكبة أي يخلط البرغل والهبرة معا ويصبحا لون واحد، ثم اعجني الكمية على طاولة الطعام حتى تتجانس تماما يجب أن تكون العجينة متماسكة ليست رخوة ولاقاسية بشكل يمكن تشكيلها بسهولة.
البرغل أنواع وبعضها يحتاج ماء أكثر من غيره لذا يوضع الماء بطريقة البخ البسيط والدعك كلما احتاج.
رق الكبة: 
قطعي قطعا بحجم قبضة يدك وهي نصف مغلقة حوالي 70 جرام، رطبي يدك بمسحة ماء لاتكثري الماء على يدك لكي لاتلتصق الكبة فيها، امسحي يدك بمسحة بسيطة من الماء وابدأي بحفر الكبة من وسط الدائرة واضغطي على أطراف الدائرة لكي ترق ودوري القطعة في يدك حتى تصبح بسمك نصف سم أو أقل ان استطعت ثم احشيها بالحشوة.
</t>
  </si>
  <si>
    <t xml:space="preserve">10 أشخاص
</t>
  </si>
  <si>
    <t>ضعي أوراق خس تحت طبق الكبة وصفيها فوقه بشكل فني وقطع من شرائح البندورة بين كل قطعة واخرى</t>
  </si>
  <si>
    <t>نصيحة من خبرة أم سامر: اقسمي العمل على مرحلتين مرحلة تحضير الحشوة قبل بيوم وتحضير الكبة وحشوها ثاني يوم.
لاتقلي الكبة أبدا وهي مفرزة افرديها بصينية واتركيها تتحلل من الثلج ثم اقليها تكون مقرمشة وكأنها طازجة. مفرمة اللحم مهمة جدا لتحضير الكبة.
طرق مبتكرة لرق الكبة للمبتدئين: 
1. يمكنك رق الكبة في كأس مدورة بعد ترطيب حواف الكأس بالماء الى أن يصل سماكة الكبة الى نصف سم ثم احشيها واستخرجيها من الكأس واغلقيها من الأعلى وشكليها بالشكل الذي تحبين.
2. استخدمي جزرة كبيرة وادهنيها بقليل من الزيت من الأعلى وشكلي الكبة على محيطها اسحبها بعد أن تصل للسماكة المطلوبة واحشيها ثم أغلقيها من الأعلى.
3. يمكنك استخدام كيس نايلون مفتوح مثل الورقة بوضع الكبة على نصف وقلب النصف الثاني على الكبة وضغطها بصحن من صحون المطبخ التي لها قاعدة رقيقة ليصل الى السماكة المطلوبة ومن ثم ضعي الحشوة ممدودة في وسط الدائرة واقلبي الكيس من طرفي الكبة والصقيهما ببعض سيتشكل لديك اسطوانة كبة مفتوحة من الطرفين أغلقي الطرفين وستحصلين على درويش كبة رائع.
يمكنك حفظ الكبة في الفريزر مدة 6 أِشهر وستبقى كأنها طازجة.</t>
  </si>
  <si>
    <t xml:space="preserve">
images/Kebbe_Meqleyeh.jpg</t>
  </si>
  <si>
    <t>2</t>
  </si>
  <si>
    <t>الكبة المشوية</t>
  </si>
  <si>
    <t xml:space="preserve">• كيلو برغل عمقي أسمر (الأبيض جيد للطبخ وليس للكبة )
• 700 غرام هبرة بقر او عجل
• 200 جرام طحين
• بصلتين كبار 
• 400 جرام
• نصف ملعقة طعام 7 بهارات
• نصف ملعقة طعام كمون
• ملعقة طعام ملح
• نصف ملعقة طعام فلفل أسود
• ربع ملعقة طعام قرفة مطحونة 
• 2 مكعب ماجي
الحشوة: 
• كيلو لحم مفروم
• كيلو شحم غنم شحم الكلية والبطن حصرا)
• بصلتين 600 جرام
• ملعفة صغيرة نعناع يابس
• نصف كوب دبس رمان
• ربع كيلو جوز
• 100 صنوبر محمص ان وجد
</t>
  </si>
  <si>
    <t>القاعدة في تحضير عجينة الكبة واحدة وأهم عنصر الماء المتدرج وليس دفعة واحدة تحت أي ظرف، ضعي 3 كوب ماء بارد من الحنفية على البرغل، قطعي البصل اجنحة فوق البرغل وتضاف باقي المواد الى البرغل عدا الهبرة في مرحلة أخرى. اتركي
 البرغل منقوع مع البهارات على الأقل ساعتين أو أكثر لايهم. اطحني البرغل المرة الأولى في مفرمة اللحم بدون الهبرة، بعد انتهاء الدور الأول بالكامل تخلط الهبرة المطحونة مع الطحين والبرغل الذي تم طحنه بالمفرمة وان شعرت بأن العجينة ناشفة أضيفي قليل من الماء بالتدريج ثم يعاد طحن البرغل مع الهبرة في مفرمة اللحمة مرة أخرى حتى يتجانس لون الكبة أي يخلط البرغل والهبرة معا ويصبحا لون واحد،  ثم اعجني الكمية على طاولة الطعام حتى تتجانس تماما. ابدأي بتقطيع الكبة قطعا بحجم قبضة يدك وهي نصف مغلقة حوالي 50 جرام، افتحي كيس بلاستيك من أكياس الفريزر ليصبح مسطحا طبقة واحدة، ضعي قطعتين من الكبة على منتصف النصف من الكيس وغطيها بنصف قطعة الكيس الأخرى واحضري صحن يكون له قاعدة مدورة محددة أي ليس مسطحا فقط واضغطي على الكبة حتى الأخر سيصبح لديك قرصين متساويين رقيقين.
 الان اقطعي قطعة من الحشوة واضغطيها قليلا لتصبح على شكل دائرة ثم ضعيها فوق أحد قرص من الأقراص وغطيها بالقرص الأخر وابدأي بتدوريها في يديك وأنت تلصقين الأطراف باصبعك الابهام بالضعط على الأطراف أثناء التدوير سيصبح لديك قرصا متماسكا وجاهز للشوي.</t>
  </si>
  <si>
    <t>13 شخص</t>
  </si>
  <si>
    <t>ضعي أوراق خس تحت طبق الكبة وصفيها فوقه بشكل فني وقطع من شرائح البندورة بين كل قرص واخر</t>
  </si>
  <si>
    <t xml:space="preserve">نصيحة من خبرة أم سامر: اقسمي العمل على مرحلتين مرحلة تحضير الحشوة قبل بيوم وتحضير الكبة وحشوها ثاني يوم
الشحم يجب أن يكون من بيت الكلية حصراً. يمكنك قلي الكبة المشوية مثل الكبة المقلية وستحصلين على طعم جديد مميز.
يمكنك حفظ الكبة في االفريزر مدة 6 أِشهر وستبقى كأنها طازجة.
</t>
  </si>
  <si>
    <t>images/Kebbe_Meshweyeh.jpeg</t>
  </si>
  <si>
    <t>3</t>
  </si>
  <si>
    <t>الكبة اللبنية، أكلات باللبن الزبادي</t>
  </si>
  <si>
    <t>ساعتين</t>
  </si>
  <si>
    <t xml:space="preserve">• 1  كيلو برغل عمقي أسمر (الأبيض جيد للطبخ وليس للكبة )
• 600 جرام هبرة عجل أو بقر
• كوب طحين
• 3 بصلات
• ملعقة طعام 7 بهارات
• ملعقة طعام فلفل أسود
• نصف ملعقة قرفة مطحونة
• ملعقة طعام كمون
• ملعقة صغيرة زنجبيل مطحون 
• ملعقة ملح
 اللبن: 1
• كيلو لبن دسم 10%
• ملعقة طعام طحين
• ملح
• 1 مكعب ماجي
• ملعقة صغيرة نعناع يابس
• 3 ملاعق سمنة
• ملعقة طعام ثوم مدقوق
</t>
  </si>
  <si>
    <t xml:space="preserve">القاعدة في تحضير عجينة الكبة واحدة وأهم عنصر الماء المتدرج وليس دفعة واحدة تحت أي ظرف، ضعي 3 كوب ماء بارد من الحنفية على البرغل، قطعي البصل اجنحة فوق البرغل وتضاف باقي المواد الى البرغل عدا الهبرة في مرحلة أخرى. اتركي البرغل منقوع مع البهارات على الأقل ساعتين أو أكثر لايهم.
اطحني الخليط الذي حضرتيه البرغل والبصل والبهارات مع الملح المرة الأولى في مفرمة اللحم بدون الهبرة، بعد انتهاء الدور الأول بالكامل تخلط الهبرة المطحونة مع الطحين والبرغل الذي تم طحنه بالمفرمة للمرة الثانية، وان شعرت بأن العجينة ناشفة أضيفي قليل من الماء بالتدريج ثم يعاد طحن البرغل مع الهبرة في مفرمة اللحمة مرة أخرى.
 الان قطعي العجينة الى قطع صغيرة بحجم قبضة اليد المغلقة حوالي 30 جرام واحفري ثقب في الوسط وضعي كمية الحشوة التي ترينها مناسبة لايهم سمك الكبة في اللبنية ولكن يفضل ألا تكون سماكتها أكثر من 1 سم من الأطراف، أغلقي الحفرة التي صنعتيها واضغطي على الكبة من جميع أطرافها بقبضة يدك لكي تتماسك العجينة مع الحشوة ثم لفيها لتنعمي السطح الخارج واعمليها طويلة ومدببة من الأطراف.
سلق الكبة: 
في طنجرة مناسبة املأيها للنصف بالماء وضعيها على النار لتغلي مع ملعقة كبيرة من الملح وعند الغليان سقطي الكبة كلها معها مرة واحدة من المصفاة الى الماء المغلي وحركيها بظهر ملعقة التحريك لتتفكك عن بعضها وستتفكك بسهولة لأنها لاتلتصق بالأصل بشكل كامل وغطيها واتركيها لتغلي دقيقتين الى 5 دقائق بحد أقصى بعد الغليان اسحبي الكبة من الماء بالمغرفة المثقبة على مصفاة نظيفة تحتها طبق لكي تنزل الزائد من الماء واتركيها تبرد ثم افرديها في صينية واستخدمي المصفاة للوجبة الثانية.
</t>
  </si>
  <si>
    <t>10 أشخاص</t>
  </si>
  <si>
    <t xml:space="preserve">زيني طبق الكبة بلبنية بعد سكبها برشة النعناع على المنتصف </t>
  </si>
  <si>
    <t>نصيحة من خبرة أم سامر: اقسمي العمل على مرحلتين مرحلة تحضير الحشوة قبل بيوم وتحضير الكبة وحشوها ثاني يوم. لاتضعي الكبة كلها في اللبن لكي لا تتفسخ.</t>
  </si>
  <si>
    <t>images/Kebbe_labaneyeh.jpeg</t>
  </si>
  <si>
    <t>4</t>
  </si>
  <si>
    <t>الكبة السفرجلية</t>
  </si>
  <si>
    <t>•  2  كيلو لحم غنم بعظمه فيه دهن
•  1 كيلو سفرجل
•  2 بندورة مخلوطة بالخلاط ناعم أو عصير بندورة
•  5 ملاعق دبس بندورة
•  عصير 5 ليمونات
•  ملعقة نعناع يابس
•  3 ملاعق ثوم مدقوق
•  ملعقة صغيرة فلفل أسود.
•  ملعقتين سمن
خذي مقادير الكبة من الكبة اللبنية ( كل الكبب بالمرق الكبة فيها موحدة نفس الشيء بالضبط)</t>
  </si>
  <si>
    <t xml:space="preserve">اغسلي السفرجل جيدا وقطعيه الى مكعبات حجمها وسط لاصغيرة ولاكبيرة جدا.
ضعي التوم في طنجرة الطبخ الرئيسية مع ملعقتين من السمن الموجود عندك وقلبيه لكي يصفر قليلا وأضيفي عليه النعناع اليابس وقلبيه دقيقة واحدة ثم ضعي اللحم فوقه لاتغسلي لحم الغنم، ثم قلبي اللحم قليلا لكي يأخذ صدمة حرارية تحبس السوائل بداخله ويتشمع.
اغلي ماء مقدار 3 ليتر وصبيه فوق اللحم أضيفي البندورة ونصف كمية دبس البندورة في البداية حتى لايكون المرق سميك ويمنع استواء اللحم جيدا واتركيهم على النار مدة 3 ساعات.
بعد 3 ساعات واستواء اللحم تماما أي يكون طريا جدا أضيفي السفرجل والليمون ودبس البندورة المتبقي واتركيهم على النارربع ساعة أو أكثر قليلا حتى يستوي السفرجل.
أضيفي الان السفرجل المقطع الى المرق وباقي دبس البندورة واتركيه حتى تصبح السماكة المطلوبة بالنسبة لك ويستوي السفرجل.
الكبة: استخدمي نفس طريقة عمل الكبة اللبنية فهي نفسها تستخدم لكل أنواع الكبة التي فيها مرق مثل السفرجلية واليقطين، والسماقية وغيرها.
</t>
  </si>
  <si>
    <t>الكبة السفرجلية هي زينة لاتحتاج لزينة اضافية</t>
  </si>
  <si>
    <t>اطبخي هذه الأكلة على مرحلتين الكبة يوم والسفرجلية في اليوم التالي لكي لايكون هناك ضغط عليك؛ دائما أضيفي بهارات الطبخة فوق اللحم لأنها تلتصق به وتعطي نكهة رائعة.</t>
  </si>
  <si>
    <t>images/Kebbe_Safarjaleieh.jpg</t>
  </si>
  <si>
    <t>5</t>
  </si>
  <si>
    <t>كبة اليقطين</t>
  </si>
  <si>
    <t>• 2 كيلو لحم غنم بعظمه فيه دهن.
• قطعة يقطين متوسطة
• 2 بندورة
• 5 ملاعق دبس بندورة
• عصير 5 ليمونات
• 3 ملاعق ثوم مدقوق
• ملعقة صغيرة نعناع يابس
• معلقة صغيرة فلفل أسود
خذي مقادير الكبة من الكبة اللبنية ( كل الكبب بالمرق الكبة فيها موحدة نفس الشيء بالضبط)</t>
  </si>
  <si>
    <t>قشري اليقطين وقطعيه الى مكعبات حجمها وسط لاصغيرة ولاكبيرة جدا. 
ضعي التوم في طنجرة الطبخ الرئيسية مع ملعقتين من السمن وقلبيه لكي يصفر قليلا وأضيفي عليه النعناع اليابس وقلبيه دقيقة واحدة ثم ضعي اللحم فوقه لاتغسلي لحم الغنم، ثم قلبي اللحم قليلا لكي يأخذ صدمة حرارية تحبس السوائل بداخله ويتشمع، ثم اغلي ماء مقدار 3 ليتر وصبيه فوق اللحم أضيفي البندورة ونصف كمية دبس البندورة في البداية حتى لايكون المرق سميك ويمنع استواء اللحم جيدا واتركيهم على النار مدة 3 ساعات.
بعد 3 ساعات واستواء اللحم تماما أي يكون طريا جدا أضيفي اليقطين والليمون ودبس البندورة المتبقي واتركيهم على النار ربع ساعة أو أكثر قليلا حتى يستوي اليقطين لأنه لايأخذ وقتا طويلا في الاستواء فهو لايتحمل حرارة كثيرا تأكدي من أن اليقطين استوى بقطعه بملعقة فان انقطعت بسهولة كما تحبين. (طريقة سلق الكبة في ماء مغلي دقيقتين وتصفيتها مماثلة للسفرجلية واللبنية).
الكبة: استخدمي نفس طريقة عمل الكبة اللبنية فهي نفسها تستخدم لكل أنواع الكبة التي فيها مرق مثل السفرجلية واليقطين، والسماقية وغيرها.</t>
  </si>
  <si>
    <t>كبة اليقطين هي زينة لاتحتاج لزينة اضافية</t>
  </si>
  <si>
    <t>لاتسقطي الكبة في الطبخة كلها، دائما أي كبة مع أي مرق اتركي الكبة جانبا وضعي في طبق التقديم الكمية التي ستأكلونها في يوم واحد، وفي اليوم الثاني ان زادت كرري العملية حتى لاتضعي الكبة في المرق وتتفسخ وتفرط.</t>
  </si>
  <si>
    <t>images/Kebbe_Yaqtin.jpg</t>
  </si>
  <si>
    <t>6</t>
  </si>
  <si>
    <t>الكبة السماقية</t>
  </si>
  <si>
    <t>• 2 كيلو لحم غنم بعظمه
• 1 كيلو باذنجان رومي كبير أو باتنجان بلدي أسود صغير
• نصف كيلو سماق حب
• نصف ليتر ماء مغلي كوبين
•  عصير 5 ليمونات أو ملعقة ملح ليمون كبيرة
• 2 بندورة
• 5 ملاعق دبس بندورة
• 3 ملاعق ثوم مدقوق
• ملعقة نعناع يابس
• ملعقة طعام فلفل أسود 
•  ملعقتين سمن
خذي مقادير الكبة من الكبة اللبنية ( كل الكبب بالمرق الكبة فيها موحدة نفس الشيء بالضبط)</t>
  </si>
  <si>
    <t xml:space="preserve">قبل بيوم في الليل انقعي السماق بماء بكوبين الماء المغلي.
في اليوم الثاني صفي السماق وادعكيه بيدك واعصريه، وأغسلي البذور بقليل من الماء واعصريه ثانية لكي تستخلصي كل الطعم الحامض منه.
 اغسلي الباذنجان جيدا وقطعيه بقشره الى مكعبات حجمها وسط.
 ضعي التوم في طنجرة الطبخ الرئيسية مع ملعقتين السمن وقلبيه لكي يصفر قليلا وأضيفي عليه النعناع اليابس وقلبيه دقيقة واحدة ثم ضعي اللحم فوقه لاتغسلي لحم الغنم، ثم قلبي اللحم قليلا لكي يأخذ صدمة حرارية ويتشمع لتبقى السوائل بداخله، ثم اغلي ماء مقدار 3 ليتر وصبيه فوق اللحم أضيفي مستخلص السماق والبندورة ونصف كمية دبس البندورة في البداية واتركيهم على نار هادئة جدا مدة 3 ساعات.
 بعد استواء اللحم أضيفي الباذنجان والليمون ودبس البندورة المتبقي واتركيهم على النار نصف ساعة حتى يستوي الباذنجان. 
</t>
  </si>
  <si>
    <t>الكبة السماقية هي زينة لاتحتاج لزينة اضافية</t>
  </si>
  <si>
    <t>لاتضعي الكبة كلها في المرق بل ضعي الكمية التي ستحتاجينها في طبق التقديم واتركي الباقي في كيس في الثلاجة لليوم التالي حتى لاتتفسخ الكبة وتفرط داخل السماقية.</t>
  </si>
  <si>
    <t>images/Kebbe_Semmaqyeh.jpeg</t>
  </si>
  <si>
    <t>7</t>
  </si>
  <si>
    <t>الكبة المبرومة</t>
  </si>
  <si>
    <t xml:space="preserve">• كيلو برغل عمقي أسمر ( الأبيض للطبخ وليس للكبة) 
• كيلو هبرة
• كوب طحين
• 2 بصلة متوسطة  300 جرام 
• ملعقة صغيرة فلفل أسود
• معلقة صغيرة كمون
• ملعقة صغيرة 7 بهارات
الحشوة: 
• 1 كيلو لحم مفروم قليل الدهن 
• 2 بصلة متوسطة
• كوب فستق حلبي مقشر غير محمص ني، وكامل لو فيه كسر خفيف اوك ولكن ليس مطحونا
• مكعب ماجي
• سمنة لدهن الصينية والكبة قبل وضعها بالفرن
</t>
  </si>
  <si>
    <t>طريقة تحضير الكبة العجينة: 
ضعي 3 كوب ماء بارد من الحنفية على البرغل، قطعي البصل اجنحة فوق البرغل وتضاف باقي المواد الى البرغل عدا الهبرة في مرحلة أخرى، اتركي البرغل منقوع مع البهارات والبصل المقطع مدة على الأقل ساعتين أو أكثر لايهم.
اطحني البرغل المرة الأولى في مفرمة اللحم بدون الهبرة، بعد انتهاء الدور الأول بالكامل تخلط الهبرة المطحونة مع البرغل الذي تم طحنه بالمفرمة وان شعرت بأن العجينة ناشفة أضيفي قليل من الماء بالتدريج ثم يعاد طحن البرغل مع الهبرة في مفرمة اللحمة مرة أخرى حتى يتجانس لون الكبة أي يخلط البرغل والهبرة معا ويصبحا لون واحد، ثم اعجني الكمية على طاولة الطعام حتى تتجانس تماما يجب أن تكون العجينة متماسكة ليست رخوة ولاقاسية بشكل يمكن تشكيلها بسهولة.
البرغل أنواع وبعضها يحتاج ماء أكثر من غيره لذا يوضع الماء بطريقة البخ البسيط والدعك كلما احتاج.
قطعي العجينة التي يجب أن تكون طرية ومطواعة بين يديك لكي لاتتكسر أثناء اللف، ان لاحظت أنها ناشفة بخي الماء بالتدريج ودعكيها على طاولة المطبخ لكي تصبح سهلة اللف وقطعي قطعة كبيرة مقدار 200 جرام، قصي كيس فريزر وافتحيه ليصبح صفحة واحدة وعلى النصف منه ضعي القطعة التي رقيتيها بصحن مثل الكبة المشوية تماما وان استطعت جعلها على شكل مستطيل وليس دائرة سيكون أسهل. على القطعة المستطيلة خذي القدر المناسب من الحشوة لكي يصبح قطر الكبة حوالي 5 سم بسماكة نصف سم ثم اقلبي طرف الكيس من الأعلى على الحشوة بعد أن تكون قد ضعطيها بيدك لكي تتماسك بشكل أسطواني والأن اقلبي الطرف الأسفل من الكيس لكي يقابل الطرف الأعلى والصقي العجينة ببعض بشكل قوي أي اضغي على الأطراف لكي تصبح النقطة التي تلصقينها كأنها قطعة واحدة امسحي يدك بقليل من الماء وسوي مكان اللصق ونعميه جيدا، ثم أغلقي أطراف الأسطوانة بالكبة بشكل جيد كي لاتتفكك الكبة من الأطراف عند الشوي، الان ابرمي كامل الكيس على أسطوانة الكبة وابرميها على طاولة السفرة لكي تتماسك. دهنت الصينية قبل وضع الكبة وتحتاجين الى وضع طبقة من السمن بعد تذويبها قليلا، ضعي الكبة في الفرن على أعلى حرارة على الرف الأول فوق الشبك من تحت واتركيها حوالي 40 دقيقة أو حتى يصبح لونها ذهبيا فاتحا الكبة المبرومة لاتحتاج أن يكون لوني غامق حتى لاتجف.</t>
  </si>
  <si>
    <t>8 أشخاص</t>
  </si>
  <si>
    <t>وزعي شرائح خيار خضراء بين كل قطعة مبرومة والتي بعضها شريحة طماطم حمراء وصفيها في صينية ستعطي منظرا رائعا.</t>
  </si>
  <si>
    <t>تستطيعين تفريز الكبة المبرومة لمدة 6 أشهر سواء مشوية أو نية، ولكن أحكمي اغلاقها لكي لاتتسرب روائح الفريزر الأخرى اليها.</t>
  </si>
  <si>
    <t>images/Kebbe_Mabroumeh.jpg</t>
  </si>
  <si>
    <t>8</t>
  </si>
  <si>
    <t>كبة السيخ (كبة مشوية على سيخ اللحم على الفحم)</t>
  </si>
  <si>
    <t>ساعة واحدة</t>
  </si>
  <si>
    <t xml:space="preserve">• كيلو كباب غنم مدهن (25-30% دهن)
• كوب برغل ناعم (200 جرام)
•  نصف كوب فريكة مطحونة ناعمة
•  بصلة متوسطة مقطعة أجنحة 
•  نصف كوبر فريكة خضراء
• ملعقتين دبس فليفلة 
• نصف كوب جوز مطحون
• نصف ملعقة طعام ملح
• ملعقة صغيرة فلفل أسود
• ملعقة صغيرة قرفة
</t>
  </si>
  <si>
    <t>اغسلي البرغل وصفيه اخلطي كل المواد والبهارات وضعيها في البراد ساعة ، ثم ابدأي بطحن الكل على مفرمة اللحم بما فيهم الجوز والفريكة، كعادة أي كبة نطحن البرغل مرة بدون الهبرة أو اللحم والثانية نخلط اللحم ونعيد طحن الكل في المفرمة.
ادعكي الكبة جيدا لكي تختلط المواد وتتجانس ثم  ضعيها في البراد ساعة  أخرى على الأقل قبل ضمها أو شكها على السيخ. رطبي أو امسحي يديك بالماء لكي لاتلتصق بهما الكبة أثناء التقطيع، اقطعي قطع صغيرة بحجم كرة صغيرة وزنها تقريبا 25 جرام، لفيها بيديك على شكل كرة صغيرة وصفيها في صينية وان كان هناك وقت لحين تشغيل النار وتجمير الفحم ضعيها في البراد لحين أن تكون النار جاهزة بعد ذلك ضميها في الأسياخ فهي لاتحتاج وقت طويل خلصي اضغطي على كل القطع التي على السيخ براحة يدك وأصابعك لكي تلتصق على السيخ ضغطا مناسبا ولكن لايشوه شكل الكرات ولو أحببت ممكن أن تظهري طبعات أصابعك على الكرات عادي، صفي السيخ المنتهي على صينية لها عمق حتى لاتلتصق الكبة من الأسفل أو على المنقل الخاص بالفحم المجمر ان كان جاهزا ،
 هوي تهوية خفيفة فقط الكبة تحترق بسهولة، دعيها تتحمر ويصبح لونها ذهبيا بدون توليد حرارة اضافية بالتهوية لأنها ستستوي من الخارج وتبقى نيئة من الداخل.</t>
  </si>
  <si>
    <t>5 أشخاص</t>
  </si>
  <si>
    <t>اشوي فليفلة حمراء وخضراء ووزعيهم بين قطع الكبة بعد الشوي لتعطي ألوانا شهية.</t>
  </si>
  <si>
    <t>البرغل لا ينقع بالماء، فقط يُغسل ويُصفى جيداً ليمتص عصارة البصل ويأخذ نكهة البصل ويكون لون الكبة ذهبيا بسبب وجود السكر في عصارة البصل. الكباب والكبة ع السيخ الحلبية تمتاز بقلة بهاراتها.
هناك خبراء طبخ يطلبون عصر ماء البصل، من وجهة نظري وبعد البحث بالموضوع وجدت بأن البصل بهذه الطريقة سيكون ألياف بلا طعم اذا لماذا نضيفه.</t>
  </si>
  <si>
    <t>images/Kebbe_seikh.jpg</t>
  </si>
  <si>
    <t>9</t>
  </si>
  <si>
    <t>الكبة بالصينية</t>
  </si>
  <si>
    <t xml:space="preserve">• 600  جرام برغل
• 400 جرام هبرة عجل
• 150 جرام طحين
• 3 بصلات وسط
• نصف ملعقة صغيرة 7 بهارات
• نصف ملعقة صغيرة فلفل أسود
• ربع ملعقة صغيرة قرفة مطحونة
• ملعقة طعام ملح
• ملعقة صغيرة زنجبيل مطحون
• 5 ملاعق سمنة
الحشوة:
• 600 جرام لحمة مفرومة
• بصلتين 400 جرام
• 100 جرام صنوبر
• 100 جرام كاجو
• 100 جرام لوز مقشر للحشوة والزينة
</t>
  </si>
  <si>
    <t xml:space="preserve">نفس مبدأ تحضير الكبة نقع البرغل مع البصل والبهارات ومكعب الماجي، وطحن البرغل في مفرمة اللحم المرة الأولى بدون الهبرة والثانية مع الهبرة وتأكدت بأنها طرية ويمكن أن يتم فردها بسهولة اقسمي الكبة نصفين لكي لاينقصك تغطيتها بعد مد الأرضية.
ادهني الصينية المدورة حصرا بقطر 45 سم أرضيتها وأطرافها بالسمن طبقة خفيفة وابدأي بقطع بحجم قبضة الكف واعملي منها قرص رقيق وضعه على الصينية واضغطي عليه بالتساوي لكي تصبح سماكته من كل الأطراف متساوية، كرري هذه العملية حتى تغطي أرضية الصينية بالكامل.
افردي الحشوة على الطبقة الأولى بالتساوي ووزعي المكسرات كما يجب حتى تتغطى كامل الكبة، وابدأي بتقريص النصف الثاني وغطي به طبقة اللحمة وكلما وضعت قرص بجانب الأخر اوصليه ورطبي يدك دائما بالماء لكي تستطيعين أن تمدي الكبة جيدا حتى تنتهي كمية النصف الثاني من الكبة. قطعي سطح الكبة بالصينية على شكل معينات متساوية سينتج لديك شكل نجمة جميلة في الوسط وزيني كل معين منها بقطعة من اللوز.
 ذوبي الباقي من السمنة واسكبيها ساخنة فوق وجه الكبة وحركي الصينية بشكل دائري لكي تتوزع السمنة على كل السطح. ضعي الصينية في الفرن في أول رف من الأسفل على الشبك وحطي على أعلى حرارة لديك فوق وتحت لمدة 45 دقيقة، وان كان الفرن يعمل كل اتجاه لحاله شغلي من تحت وحميه وضعي الصينية نصف ساعة حتى يحمر أطراف الصينية ثم شغلي الفرن من الأعلى مدة 15 دقيقة أو حتى يصبح لون الكبة ذهبيا أو بني غامق واللوز المزين يتحمص ويصبح لونه ذهبيا.
</t>
  </si>
  <si>
    <t>6 أشخاص</t>
  </si>
  <si>
    <t>لاتحتاج الى زينة فهي الزينة بذاتها ان تركتها بنفس الصينية التي على شكل نجمة.
ان قطعتها مثلثات كبيرة وتريدين تزيينها يمكنك ذلك بفرد الخس تحت كل قطعة وشرائح بندورة وخيار بين كل مثلث والاخر.</t>
  </si>
  <si>
    <t>عجينة الكبة بصينية يجب أن تكون طرية جدا مثل عجينة الخبز تستطيعين أن تفرديها في الصينية بسهولة وان لم تجعليها طرية ستكون الكبة ناشفة بعد الخبز ولن تكون لذيذة مثل الكبة الحلبية الصينية المعروفة.</t>
  </si>
  <si>
    <t>images/Kebbe_Seneyeh.jpg</t>
  </si>
  <si>
    <t>10</t>
  </si>
  <si>
    <t>الكبة النية</t>
  </si>
  <si>
    <t>30 دقيقة</t>
  </si>
  <si>
    <t xml:space="preserve">• 100 جرام برغل أبيض ناعم حوالي 3 أرباع ماء صغير
• 500 جرام هبرة غنم حصرا
• نصف ملعقة طعام ملح
• ملعقتين دبس فليفلة حمراء
• 2 بندورة 
• 1 فليفلة حمرا طازجة حلوة
• 1 بصلة متوسطة
• 1 ملعقة صلصة بندورة
• زيت زيتون
• جوز للزينة
• نصف ملعقة صغيرة كمون 
• نصف ملعقة صغيرة فلفل اسود
• بقدونس مفروم ناعم للزينة 
</t>
  </si>
  <si>
    <t xml:space="preserve">اخلطي البرغل بجميع الخضار البصل والفليفلة وكل المكونات وادعكيهما قليلا واتركيهم نصف ساعة قبل البدء بالتحضير بهذه الطريقة سيتم نقع البرغل بالماء الموجود في الخضار وليس بالماء لكي يعطي نكهة وطعم أطيب.
اخلطي كل المقادير في وعاء بلاستيك وابدأي بطحن البرغل على مفرمة اللحم أول دور بدون الهبرة وجميع المكونات في مفرمة اللحم أول دور، في الدور التالي اخلطي الهبرة مع العجينة وادعكيها جيدا ثم أعيدي طحن كل شيء في مفرمة اللحم حتى يتجانس اللون كما في الصورة ، وان وجدت اللون غير متجانس اطحني العجينة للمرة الثالثة ستصبح مثل الكريم. 
شكلى الكبة النية بأي طريقة تحبين على شكل سمكة أو بالملعقة لتجعلي فيها فراغات يتغلغل فيها الزيت، ثم صبي زيت الزيتون على كامل الوجه وزينيها بأي خضار لديك بقدونس مفروم فجل، فلفل أحمر طارزج ، فلفل أخضر، أوراق نعناع على الوجه. 
بعد التزيين رشي قطع الجوز على الوجه، وان كان لديك صنوبر يمكن أن تستبدلي الجوز بالصنوبر النيء.
صبي زيت الزيتون على كامل وجه الطبق ليتغلغل في الفراغات التي شكلتيها.
</t>
  </si>
  <si>
    <t xml:space="preserve">10 أشخاص كمقبلات </t>
  </si>
  <si>
    <t>تزين الكبة النية دائما بالبقدونس المفروم والجوز وزيت الزيتون</t>
  </si>
  <si>
    <t>ننصح بلحم الغنم لأن لحم العجل لايؤكل نيئا بسبب وجود الدودة الشريطية في عضلاته لذلك يجب طبخه جيدا.</t>
  </si>
  <si>
    <t>images/Kebbe_Raw1.jpeg</t>
  </si>
  <si>
    <t>11</t>
  </si>
  <si>
    <t xml:space="preserve">الخضار </t>
  </si>
  <si>
    <t>فاصوليا خضرا باللحمة القطع والبندورة 
(فاصوليا باللحمة المفرومة نفس الكميات عدا اللحمة المفرومة نصف كيلو وتأخذ وقت أقل في الطبخ )</t>
  </si>
  <si>
    <t>ساعة ونصف</t>
  </si>
  <si>
    <t xml:space="preserve">• كيلو فاصوليا خضراء طازجة أو مفرزة
• كيلو لحم غنم بعظمه مقطع قطع صغيرة قليلا أو نصف كيلو لحم عجل مقطع مكعبات
• ملعقتين كبار ثوم مدقوق
• ملعقة طعام كزبرة يابسة
• نصف ملعقة طعام ملح
• 4 ملاعق دبس بندورة
• 2 بندورة مخلوطة بالخلاط
• ملعقة صغيرة فلفل أسود
• 2 ملعقة سمنة أو زيت نباتي
• ملعقة طعام بودرة نكهة خضار (ستعطيك نكهة مميزة ورائعة)
</t>
  </si>
  <si>
    <t>ضعي الثوم والكزبرة والسمنة في الطنجرة وقلي الثوم ليصبح لونه ذهبيا وأَضيفي عليه الكزبرة اليابسة وقلبيهم 5 دقائق ثم أَضيفي اللحم والنار عالية وقلبيه مع الثوم والكزبرة وغطي الطنجرة 5 دقائق لكي تتشمع اللحمة وتبقى السوائل بداخلها، لاتضعي ماء بارد على اللحمة لكي تتجنبي الزنخ فيها ماء مغلي يطفئ طعم الزنخ
بعد تقلاية اللحمة أَضيفي دبس البندورة والبندورة المعصورة وقلبيهم وغطي الطنجرة 5 دقائق أخرى، في هذه الأثناء اغلي ليتر ونصف ماء في غلاية الماء ثم أضيفها على اللحم.
اتركي اللحم ليستوي تماما أضيفي عليه الفلفل الأسود والفاصوليا والملح واتركيها على النار حتى تستوي.</t>
  </si>
  <si>
    <t>رشي فلفل اسود على الوجه وهذا يكفي</t>
  </si>
  <si>
    <t>أنا لاأنصح بالتقلية للفاصوليا لأن عناصرها الفذائية والماء الذي بداخلها يجف ونخسر الكثير من الطعم اللذيذ؛ طريقة تدريج المكونات يعطي نكهة مميزة.</t>
  </si>
  <si>
    <t>images/Fasoulia_Khadra.jpgimage/</t>
  </si>
  <si>
    <t>12</t>
  </si>
  <si>
    <t>فاصوليا بعبها محشي</t>
  </si>
  <si>
    <t>ساعتين ونص</t>
  </si>
  <si>
    <t xml:space="preserve">• كيلو فاصوليا خضراء طازجة أو مفرزة
• 2 كيلو كوسا صغير مثل كوسا شيخ المحشي أو أكبر قليلا
• كيلو لحم غنم بعظمه مقطع قطع صغيرة قليلا، أو كيلو لحم عجل صغيرة مقطع مكعبات أو نصف كيلو لحمة مفرومة مدهنة 20%
• معلقتين كبار ثوم مدقوق
• ملعقة طعام كزبرة يابسة
• نصف ملعقة طعام ملح
• 4 ملاعق دبس بندورة
• 2 بندورة مخلوطة بالخلاط
• ملعقة صغيرة فلفل أسود
• 2 ملعقة سمنة أو زيت نباتي
• ملعقة طعام بودرة نكهة خضار
</t>
  </si>
  <si>
    <t>طريقة تحضير اللحم للفاصوليا والمحشي: 
ضعي الثوم والكزبرة والسمنة في الطنجرة وقلي الثوم ليصبح لونه ذهبيا وأَضيفي عليه الكزبرة اليابسة وقلبيهم 5 دقائق ثم أَضيفي اللحم والنار عالية وقلبيه مع الثوم والكزبرة وغطي الطنجرة 5 دقائق، لاتضعي ماء بارد على اللحمة لكي تتجنبي الزنخ فيها ماء مغلي يطفئ طعم الزنخ، بعد تقلاية اللحمة أَضيفي دبس البندورة والبندورة المعصورة وقلبيهم وغطي الطنجرة 5 دقائق أخرى، في هذه الأثناء اغلي ليتر ونصف ماء في غلاية الماء ثم أضيفها على اللحم.
 اتركي اللحم ليستوي تماما أضيفي عليه الفلفل الأسود والفاصوليا والملح واتركيها على النار حتى تستوي.
مقادير حشوة الكوسا: 
• كوبين رز مصري أو قصير الحبة
• ملعقتين دبس بندورة 
• نصف ملعقة صغيرة فلفل أسود
• ربع ملعق صغيرة قرفة
• ربع معلقة صغيرة 7 بهارات
• نصف ملعقة طعام ملح
• ملعقتين سمن
اغسلي الكوسا جيدا من الرمل بنقعه ربع ساعة بالماء البارد ثم اغسليه بفرشاة ناعمة ، صفيه في مصفاة واحفريه جيدا ليكون رقيقا.
اخلطي الكل في وعاء بلاستيك مناسب واحشي الكوسا ولاتضغطي على الحشوة باصبعك للداخل بل هزي الكوسا الكوسا لينزل الرز للأسفل واملأي الكوسا بترك سم واحد فارغ من الأعلى ليس أقل لكي يصبح الرز مفلفلا داخل المحشية وليس مخبوصا.
 الان في طنجرة تناسب الكمية صفي الكوسا في قاع الطنجرة ثم الفاصوليا وكل المكونات الأخرى والبهارات واللحم المستوي فوق الفاصوليا والكوسا ودعي الخليط كله يغلي ثم خفضي النار مدة ساعة تقريبا أو ساعة ونصف افحصي الكوسا وتأكدي أنه استوى.</t>
  </si>
  <si>
    <t>هذه الأكلة عظيمة بكل المقاييس لن تتخلي طعم المحشي مع الفاصوليا كم هو لذيذ ورائع وغير عن المحشي بالحمض؛ عند السكب اقلبي المحتويات قلبة وحدة حتى لايتكسر الكوسا.
اطبخي هذه الأكلة بعد أن يستوي اللحم على نار هادئة فقط دعيها تغلي بهدوء دون أن يهتز الكوسا لكي يستوي دون أن يتفسخ.</t>
  </si>
  <si>
    <t>images/Fasoulia_Bebha_Meshi.jpg</t>
  </si>
  <si>
    <t>13</t>
  </si>
  <si>
    <t>باميا خضراء</t>
  </si>
  <si>
    <t xml:space="preserve">• كيلو باميا خضراء طازجة أو مفرزة
• كيلو لحم غنم بعظمه مقطع قطع صغيرة قليلا، أو كيلو لحم عجل صغيرة مقطع مكعبات صغيرة أو نصف كيلو لحمة مفرومة دهن 20%.
• معلقتين كبار ثوم مدقوق
• ملعقة طعام كزبرة يابسة
• نصف ملعقة طعام ملح
• 4 ملاعق دبس بندورة
• 2 بندورة مخلوطة بالخلاط
• ملعقة صغيرة فلفل أسود
• 2 ملعقة سمن
• ملعقة طعام بودرة نكهة خضار
</t>
  </si>
  <si>
    <t xml:space="preserve">ضعي الثوم والكزبرة والسمنة في الطنجرة وقلي الثوم ليصبح لونه ذهبيا وأَضيفي عليه الكزبرة اليابسة وقلبيهم 5 دقائق ثم أَضيفي اللحم والنارعالية وقلبيه مع الثوم والكزبرة وغطي الطنجرة 5 دقائق، لاتضعي ماء بارد على اللحمة لكي تتجنبي الزنخ فيها ماء مغلي يطفئ طعم الزنخ، بعد تقلاية اللحمة أَضيفي دبس البندورة والبندورة المعصورة وقلبيهم وغطي الطنجرة 5 دقائق أخرى في هذه الأثناء اغلي ليتر ونصف ماء في غلاية الماء ثم أضيفها على اللحم.
 اتركي اللحم ليستوي تماما أضيفي عليه الفلفل الأسود والباميا والملح واتركيها على النار حتى تستوي.
</t>
  </si>
  <si>
    <t>أنا لاأنصح بالتقلية لأن عناصرها الغذائية والماء الذي بداخلها يجف ونخسر الكثير من الطعم اللذيذ للباميا وكذلك لزوجتها؛ مأكول الهناء والعافية.</t>
  </si>
  <si>
    <t>images/Bamia.jpg</t>
  </si>
  <si>
    <t>14</t>
  </si>
  <si>
    <t>لحمة بالفرن</t>
  </si>
  <si>
    <t xml:space="preserve">• 1 كيلو لحمة غنم أو عجل مفرومة مدهنة 20%
• نصف كيلو كوسا قطعتين
• نصف كيلو باذنجان قطعتين
• كيلو بندورة
• 3 ملاعق دبس بندورة
• 2 بطاطا متوسطة
• 1 فليفلة خضراء حلوة أو حارة حسب الرغبة
• 1 فليفة حمراء حلوة أو حارة حسب الرغبة
• 1 تفاحة خضراء حامضة
• 4 بصلات وسط
• ملعقة كبيرة فلفل أسود
• ملعقة كبيرة ملح
• ملعقتين سمن
• بودرة نكهة الخضار ملعقة طعام 
</t>
  </si>
  <si>
    <t>اغسلي الخضار وافرميها مكعبات كبيرة عدا البصل ناعم، ضعي الخضار في صينية فرن مناسبة للكمية ذوبي دبس البندورة بالماء ووزعيه على الخضار ثم قطعي اللحمة المفرومة كرات أو قطع صغيرة وافرديها فوق الخضار ثم رشي البصل فوقها ثم الملح والفلفل الأسود على الوجه وبودرة النكهة.
 ضعيها في الفرن على أعلى حرارة وضعيها مباشرة تحت على أرضية صينية الفرن واتركيها نصف ساعة حتى تتحمر اللحمة والبصل معا.
أخرجي الصينية وغطيها بورق الألمونيوم لمدة ساعة حتى تستوي كلها مع بعض
أكشفي الصينية بازالة ورق الألمونيوم ولو لاحظت بأن السوائل مازالت كثيرة وتغطي الخضار حتى أعلى حافة الصينية اتركيها نصف ساعة أخرى مكشوفة على أعلى حرارة لكي تجف.
هذه الأكلة تؤكل غمسا بالخبز، أو تحضري بجانبها طبق رز بالشعيرية.</t>
  </si>
  <si>
    <t>رشي فلفل اسود على الوجه وبقدونس مفروم أو صنوبر محمص</t>
  </si>
  <si>
    <t>اللحمة في الفرن أو الكواج عند أحبائي في دمشق هي أكلة فنية كلما نوعت الخضار فيها كانت ألذ ولكن بشرط ألا يكون فيها مرق كثير بل تكون رطبة ومستوية تماما لأن أي نوع من الخضار بداخلها ان لم يستوي سيؤثر على الطعم بشكل عام وهذه من أكلاتي المفضلة مع الرز بشعيرية.</t>
  </si>
  <si>
    <t>images/Lahmeh_Belfern_Kawaj.jpg</t>
  </si>
  <si>
    <t>15</t>
  </si>
  <si>
    <t xml:space="preserve">اللحوم </t>
  </si>
  <si>
    <t>كباب هندي</t>
  </si>
  <si>
    <t xml:space="preserve"> كيلو كباب غنم مدهنة 20%.
• نصف كيلو كوسا مقطع أًصابع
• بطاطا مقطعة أصابع ( ان رغبت)
• 3 بصلات مقطعة أجنحة أو ناعم ( أنا أفضل البصل دائما ناعم لأن ظهورة في الأكل خشن قد يفسد الطعم عند الأكل)
• 3 ملاعق دبس بندورة، كيلو بندورة معصورة بالخلاط
• ملعقة طعام فلفل أسود
• نصف ملعقة طعام ملح، 3 ملاعق سمنة
• صنوبر محمص للزينة ان وجد
</t>
  </si>
  <si>
    <t xml:space="preserve">حضري الخضار وقطعيهم أصابع والبصل حسب الشكل الذي تفضلين واتركيهم جانبا.
الان قطعي الكباب قطعا صغيرة بحجم قبضة يدك وشكليها أًصابع وصفيه في صينية.
 ضعي السمنة على النار وحميها وابدأي بتحمير أصابع الكباب التي حضرتيها في السمنة وكل وجبة  تنتهي صفيها في صينية الفرن التي ستستخدميها حتى تنتهي من الكمية.
الان في سمنة اللحمة التي قليتي فيها أَضيفي على البصل وقلبيه 5 دقائق حتى يصبح لونه ذهبيا، ثم وزعي الخضار فوق الكباب الذي حمرتيه سابقا ثم وزعي فوقهم البصل المقلى والبندورة ودبس البندورة والفلفل الأسود والملح والكوسا، غطي الصينية بورق ألمونيوم وضعيها في الفرن على أعلى حرارة مدة ساعة.
اكشفي الصينية واتركيها نصف ساعة أخرى ليأخذ الوجه لونا خفيفا يدل على أنها استوت وان وجدت الماء كثيرا في الصينية أي المرق كثير ويغطي معظم الخضار اتركيها مكشوفة نصف ساعة أخرى وخفضي درجة حرارة الفرن الى الوسط حتى تجف للدرجة التي تحبين.
</t>
  </si>
  <si>
    <t>أنا أحب أن أستخدم كباب لحم الغنم في الكباب الهندي أكثر من العجل، وان كنت تعيشين في السويد اذهبي الى المحلات التي تبيع لحم الغنم واطلبي منه أن يشفي لك الكتف ويطحنه بالدهن الذي فيه الى كباب ناعم على مصفااة المفرمة الناعمة مرتين ستحصلين على كباب هندي ولاأروع.</t>
  </si>
  <si>
    <t>images/Kebab_Hendi.jpeg</t>
  </si>
  <si>
    <t>16</t>
  </si>
  <si>
    <t>داوود باشا</t>
  </si>
  <si>
    <t xml:space="preserve">• كيلو لحم غنم كباب ناعم (دهن 20%)
• 2 بصلة متوسطة 300 جرام واحدة مفرومة ناعم جدا والأخرى مقطعة جوانح
• نصف ملعقة طعام ملح
• ملعقة صغيرة فلفل أسود
• 2 ملعقة كبيرة طحين
• مقادير الصلصة:
• 2 بصلة متوسطة مقطعة جوانح
• نصف كيلو عصير بندورة طازج
• 2 ملعقة كبيرة دبس بندورة
• 4 ملعقة كبيرة دبس رمان
• 3 ملاعق سمنة
• صنوبر أو لوز
</t>
  </si>
  <si>
    <t xml:space="preserve">في صينية اخلطي اللحم مع البصل والبهارات والطحين وادعكيها جيدا وان كان لديك مفرمة لحم ممكن تعمليها دور على الوجه الناعم، اتركيها في البراد ساعة أو أكثر.
في وعاء عميق ضعي السمنة على النار وحميها قليلا ومن ثم ابدأي بوضع كرات اللحم في الوعاء، اقلي كرات اللحم حتى تأخذ لوناً ذهبياً وتتماسك، ثم ضعيها جانبا جانباً.
بنفس وعاء القلي ونفس السمن الذي قليتي فيه اللحم، قلي جوانح البصل حتى تذبل، ثم نضيف عليها دبس البندورة وعصير البندورة. 
عندما تغلي الصلصة، سقطي كرات الكباب ومكعبات البطاطا المقلية. واتركيها تتعقد على نار هادئة لمدة نصف ساعة على نار هادئة والوعاء مكشوف الغطاء حتى تحصلين على القوام بالسماكة التي تحبين، ضعي نصف ملعقة صغيرة فلفل أسود على الطبخة وأضيفي دبس الرمان واتركيها 5 دقائق لينتشر الطعم.
</t>
  </si>
  <si>
    <t>الكثير يضيفون دبس الرمان على الطبخة قبل أن تتعقد وغليان دبس الرمان قد يعطي طعم مر بطول تعرضه للحرارة؛ اضافة الفلفل الأسود على الطبخة بعد انتهاء الطبخ ينشر رائحة رائعة.</t>
  </si>
  <si>
    <t>images/Dawood_Basha.jpg</t>
  </si>
  <si>
    <t>17</t>
  </si>
  <si>
    <t>الطنبورة ( سلق باللوبيا )</t>
  </si>
  <si>
    <t xml:space="preserve">•  2  كيلو سلق
• ربع كيلو لوبيا حب ناشفة
• نصف كيلو لحمة
• 2 ملعقة ثوم مدقوق
• ملعقة كزبرة يابسة مطحونة
• ملعقة دبس فليفلة أو 2 ملعقة فليفلة حمراء بابريكا مطحونة ناعم
•  3 ملاعق سمنة
• ملعقة طعام كزبرة يابسة
• ملعقة طعام فلفل أسود
</t>
  </si>
  <si>
    <t xml:space="preserve">قبل بيوم انقعي اللوبياء مع ربع ملعقة كربونات الصودا، أو باكينج باودر.
مشطي عض السلق من الأعلى لتتأكدي بأن ليس فيه عروق قاسية، افسخي العض نصفين وافرمي السلق قطع متوسطة.
انقعي السلق بماء بارد ربع ساعة غرقيه بالماء، اسحبي السلق من الماء بيديك من الأعلى لأن الأتربة تترسب في الأسفل لاتصفي السلق دفعة واحدة في المصفاة، اسحبيه من الأعلى حتى اخر قطعة، افتحي الماء على السلق وهو في المصفاة لكي يشطف من أي أثر للأتربة أو انقعيه مرة أخرى بغمره بالماء وسحبه. 
في وعاء مناسب عميق ضعي السلق مع كوب او كوبين ماء وارفعيه على النار وحين يغلي اقلبي اللي فوق لتحت حتى يحصل كله على حرارة متساوية وعندما يذبل صفيه في المصفاة دون عصره.
اشطفي اللوبيا من الكربونات جيدا واغمريها بالماء وضعيها على النار حتى تستوي يستغرق سلقها نصف ساعة تقريبا حسب نوعها يجب أن تكون كالعجينة مستوية تماما صفيها من الماء واتركيها على جنب.
 ضعي اللحم في وعاء عميق وأضيفي السمنة وحميها ثم قلبي الثوم حتى يصبح لونه ذهبيا أو بني فاتح أضيفي الكزبرة المطحونة وقليها دقيقتين ثم غطي الطنجرة واتركيها على نار هادئة نصف ساعة حتى تستوي وتأكدي من أن الماء قد جف وان لم يجف اكشفي الوعاء لمدة 10 دقائق وهي على النار.
 الان أضيفي السلق واللوبيا الى خليط اللحم والثوم وقلبيه جيدا وأضيفي الفليفلة والملح والفلفل الأسود عليه وغطي الوعاء واتركيه على الناء نصف ساعة، ثم أضيفي الفلفل الأسود وحركي الطبخة جيدا واتركيها 5 دقائق وتصبح الأكلة جاهزة، ان وجدت الخليط جاف جدا ضعي نصف كوب ماء مغلي عليه لكي تندمج النكهات في الطبخة.
</t>
  </si>
  <si>
    <t>رشي فليفلة حمراء على الوجه</t>
  </si>
  <si>
    <t>أنا أرى هذه الأكلة من أكثر الأكلات لرفع طاقة الجسم وهي تحتوي على عناصر غذائية رائعة لذلك لاتقطعيها بالشتاء لأنها تمنح الدفء والامتلاء.</t>
  </si>
  <si>
    <t>images/Tanboura.jpg</t>
  </si>
  <si>
    <t>18</t>
  </si>
  <si>
    <t>سبانخ باللحمة</t>
  </si>
  <si>
    <t>ساعة</t>
  </si>
  <si>
    <t>3 كيلو سبانخ طازج، نصف كيلو لحمة مفرومة مدهنة 20%، 3 ملاعق سمنة، ملعقتين ثوم مدقوق، ملعقة طعام كزبرة ناشفة، ملعقة طعام فلفل أسود.</t>
  </si>
  <si>
    <t>افرمي السبانخ قطعا متوسطة، اغسليه وضعيه في طنجرة مع القليل من الماء وغطيه واتركيه يغلي 5 دقائق فقط وحركيه أثناء الغلي حتى تصل الحرارة لكل الكمية، صفي السبانخ في مصفاة دون عصره. ضعي السمنة والثوم على النار وقلبيه حتى يصبح لونه ذهبيا أو بنيا فاتحا أضيفي الكزبرة وقلبيها مع الثوم 3 دقائق، الان ضعي اللحمة فوق الخليط وكسريها وافرطيها وغطيها لمدة نصف ساعة على نار هادئة. اقلبي مصفاة السبانخ فوق اللحمة التي يجب أن تكون استوت ونشفت ثم قلبي السبانخ مع اللحمة لتتوزع على كل الكمية وغطيه واتركيه يغلي مع اللحمة ثم خفضي النار واتركيه مدة نصف ساعة.
حضري طبق أرز أبيض بجانب السبانخ.</t>
  </si>
  <si>
    <t>رشي فلفل أسود على الوجه</t>
  </si>
  <si>
    <t>في حلب السيدات تقوم بعصر السبانخ بعد سلقه وهذه يفقده كل القيمة الغذائية تقريبا؛ تدريج النار من العالية الى المنخفضة يضفي نكهة واستواء مختلفين.</t>
  </si>
  <si>
    <t>Images/Sabanekh.jpg</t>
  </si>
  <si>
    <t>19</t>
  </si>
  <si>
    <t>أكلات باللبن الزبادي</t>
  </si>
  <si>
    <t>أرمان باللبن (شاكرية)</t>
  </si>
  <si>
    <t xml:space="preserve">• كيلو لحم غنم بالعظم ويفضل موزات
• كيلو ونص لبن دسم 10%
• 4 بصلات متوسطة
• ورق غار
• ملعقة ونصف طعام طحين
• 2 عود قرفة، 10 حب هال
• 10 حبات قرنفل
• 100 جرام لوز أو صنوبر
</t>
  </si>
  <si>
    <t>قشري وقطعي البصل جوانح ضعي قليلا من الزيت في وعاء عميق وضعي كل التوابل الخشنة ورق الغار والقرفة وحب الهال والقرنفل على الزيت وقليهم حوالي 5 دقائق لتنتشر رائحة البهارات قبل وضع اللحم ثم ضعي البصل وقلبيه مع البهارات 5 دقائق أخرى الان ضعي اللحم فوق البصل والتوابل وقلبيه حتى يتشمع ويأخذ حرارة من كل الجوانب تقريبا 10 دقائق.
 اغلي 3 ليتر ماء في الغلاية وصبيه فوق اللحم وحين يغلي مرة أخرى غطي الوعاء واتركيها على الأقل ساعتين على نار هادئة. تأكدي من استواء اللحم حسب رغبتك قبل أن تطفئي النار.
اسحبي اللحم من المرق واتركيه جانبا.
 ضعي اللبن في وعاء عميق ورشي عليه الطحين وبخلاط البيض اليدوي ابدأي بالتحريك باتجاه واحد على أعلى نار عندك حتى يغلي اللبن، دائما حضري بجانبك ماء مغلي أثناء الطبخ، عندما يغلي اللبن أضيفي نصف كوب ماء مغلي على اللبن وكوب ونصف من مرق اللحم واستمري في التحريك حتى يغلي ثانية ثم خفضي النار واتركيه ربع ساعة ثم أضيفي عليه اللحم واتركيه ربع ساعة أخرى واطفئي النار وهكذا يصبح الأرمان أو الشاكرية جاهزا.
حضري طبق رز بالشعيرية بجانب الأرمان.
يمكنك أيضا استخدام الكبة الخاصة باللبنية معه فهي لذيذة جدا بدل الرز.</t>
  </si>
  <si>
    <t>تكفي 8 أشخاص</t>
  </si>
  <si>
    <t>الكثير من السيدات يضيفون بيضة على اللبن حتى لايفرط ولكن أنا وجدت بالخبرة بأن الطحين هو أكثر تجانسا وتماسكا وعندما يغلي اللبن ستجدينه كالقشة ناعم بدون أي حبيبات.</t>
  </si>
  <si>
    <t>images/Arman.jpg</t>
  </si>
  <si>
    <t>20</t>
  </si>
  <si>
    <t>المحاشي, أكلات باللبن الزبادي</t>
  </si>
  <si>
    <t>شيخ المحشي</t>
  </si>
  <si>
    <t>ساعتين ونصف</t>
  </si>
  <si>
    <t xml:space="preserve">الحشوة: 
• 750 جرام لحمة مفرومة دهن قليل
• نصف باقة بقدونس مفروم (اختياري)
• 2 بصلة متوسطة 350 جرام،(اختياري)
• نصف ملعقة صغيرة فلفل أسود
• نصف ملعقة صغيرة 7 بهارات
• نصف ملعقة صغيرة ملح
• 2 ملعقة سمن لطبخ اللحمة
• 100 جرام  صنوبر ان وجد
الكوسا واللبن: 
• 2 كيلو كوسا صغير قدر الامكان
• 2 كيلو لبن دسم 10%
• 2 ملعقة طعام طحين
• كوبين ماء مغلي
• كمية من الزيت لقلي الكوسا
 </t>
  </si>
  <si>
    <t xml:space="preserve">طريقة تحضير الكوسا قبل وضعه في اللبن: 
اغسلي الكوسا جيدا من أي أتربة عالقة. احفري الكوسا قليلا أول لب تسحبيه ودور أخر خفيف يجب أن تكون الكوسا فيها سماكة مقدار سم ولاتتركي كعب فيها سميك.
 قطعي البصل وضعي ملعقة سمنة أو زيت وقلبي البصل قليلا ثم أضيفي اللحم عليه وقلبيه وفككي قطع اللحمة وغطيها وعلى نار هادئة اتركيها نصف ساعة أضيفي البهارات والفلفل الأسود و7 بهارات والملح والصنوبر واتركيها تبرد.
بعد أن بردت اللحمة احشي الكوسا واقليه بالزيت أو السمنة حتى يصبح لونه ذهبيا.
طريقة تحضير اللبن: 
في وعاء عميق ضعي اللبن فيه وانثري الطحين عليه وابدأي بتحريكه بمضرب البيض اليدوي باتجاه واحد وعلى نار عالية حتى يغلي، أَضيفي كوبين الماء المغلي على اللبن واستمر بالتحريك حتى يغلي ثانية، سقطي الكوسا المقلي في اللبن واتركيه على الناء مدة ربع ساعة لكي يستوي الكوسا..
</t>
  </si>
  <si>
    <t xml:space="preserve">رشي نعناع يابس على الوجه أو بقدونس مفروم </t>
  </si>
  <si>
    <t>أكلت كثيرا في بيوت صديقاتي وكنت أجد في اخر كل كوساية كعب من اللب لن يكون طعمه لذيذا هكذا؛ الدقة في الحفر هي الأساس.</t>
  </si>
  <si>
    <t>images/Sheikh_Elmehshi.jpg</t>
  </si>
  <si>
    <t>21</t>
  </si>
  <si>
    <t>شيخ المحشي بكر مفروم</t>
  </si>
  <si>
    <t xml:space="preserve">
• 750 جرام لحمة مفرومة دهن قليل
• نصف باقة بقدونس مفروم (اختياري)
• 2 بصلة متوسطة 350 جرام،(اختياري)
• نصف ملعقة صغيرة فلفل أسود
• نصف ملعقة صغيرة 7 بهارات
• نصف ملعقة صغيرة ملح
• 2 ملعقة سمن لطبخ اللحمة
• 100 جرام  صنوبر ان وجد
الكوسا : 
• 2 كيلو كوسا كبير حسب الموسم
• 1 كيلو لبن دسم 
• ملعقة طعام توم مدقوق
• نصف ملعقة صغيرة نعناع يابس
• كمية من الزيت لقلي الكوسا
 </t>
  </si>
  <si>
    <t xml:space="preserve">طريقة تحضير اللحمة: 
 قطعي البصل وضعي ملعقة سمنة أو زيت وقلبي البصل قليلا ثم أضيفي اللحم عليه وقلبيه وفككي قطع اللحمة وغطيها وعلى نار هادئة اتركيها نصف ساعة أضيفي البهارات والفلفل الأسود و7 بهارات والملح والصنوبر.
طريقة تحضير الكوسا : 
اغسلي الكوسا جيدا من أي أتربة عالقة. وقطعيه دوائر سميكة حوالي 3 سم.بعد أن يحمى الزيت اقلي قطع الكوسا قلي كامل حتى يصبح لونها ذهبيا وليس بني غامق.
بعد الانتهاء من القلي أضيفي الكوسا على اللحمة التي سبق وحضرتيها وضعي عليهم كوب من الماء المغلي والملح والفلفل الأسود ودعيهم على نار متوسطة حوالي ربع ساعة.
طريقة تحضير اللبن: 
في وعاء عميق ضعي اللبن والتوم والنعناع وقلبيهم جيدا حتى يتجانسوا ويؤكل بارد مع الرز والكوسا القطع.
</t>
  </si>
  <si>
    <t>Images/Sheikh_Elmehshi_Bakar.png</t>
  </si>
  <si>
    <t>22</t>
  </si>
  <si>
    <t>المقبلات</t>
  </si>
  <si>
    <t xml:space="preserve">حراق اصبعو </t>
  </si>
  <si>
    <t xml:space="preserve">المقادير:
• 2 كوب عدس بني بقشره عدس حبات عريضة الخشن يوجد بقشره وهو الذي يقشر ويخرج منه عدس الشوية الخشن أفضل
• دبس رمان: نصف كوب (أو حسب الرغبة) عموما هذه الأكلة يجب أن يطغى عليها طعم الحموضة حسب دبس الرمان الذي تشترية وحموضته قدري الكمية وذوقي لتتأكدي أنك حصلت على الطعم المرغوب فيه؟
• تمر هندي: ربع كيلو منقوع تمرهندي مصفى جيدا مرة وانت تعصريه ومرة بعد الانتهاء
• زيت زيتون: 200 جرام
• الثوم: ملعقة كبيرة ثوم مدقوق
• الكزبرة: باقة كزبرة خضراء مفرومة ناعم ( انقعي الكزبرة بالماء الغزير 5 دقائق ثم اسحبيها قبل الفرم ليخرج منها أي رمل أو أتربة.
• البصل: 4 بصلات كبيرة مقطعة جوانح (للقلي والزينة)
• الخبز:  رغيفين خبز مقطع مربعات ومقلي 
• للزيينة: رمان حب، وبقدونس مفروم وكزبرة خضراء أيضا.
• العجين: يمكنكِ استخدام عجينة منزلية (طحين وملح وماء) مقطعة مربعات صغيرة، أو استبدالها بـ المعكرونة (هناك الكثير من رسوم المعكرونة تناسب حراق اصبعو بدل العجين بكل أو قواقع صغيرة أو أي شكل جميل تحبيه.
</t>
  </si>
  <si>
    <t xml:space="preserve">1. سلق العدس: اغسلي العدس واسلقيه في قدر كافيه من الماء حتى ينضج بنسبة 80% (لا تتركيه يستوي حتى يصبح كالعجين  اتركي فيه قرطة خفيفة) حوالي 4 أكواب من الماء.
2. إضافة العجين/المعكرونة: أضيفي قطع العجين (أو المعكرونة) إلى قدر العدس مع التحريك ببطء حتى لا تلتصق، واتركيها تستوي مع العدس حتى تنضج تماماً.
3. الحموضة: أضيفي منقوع التمر الهندي ودبس الرمان والملح.
4.  قلبي المزيج واتركيه يتعقد على نار هادئة. (إذا كان المزيج سميكاً جداً، أضيفي القليل من الماء المغلي).
5. التقلية : في مقلاة جانبية، ضعي زيت الزيتون واقلي البصل الجوانح حتى يصبح ذهبي اللون ومقرمش. ارفعي نصف كمية البصل للتزيين.
6. الكزبرة والثوم: في نفس الزيت بعد ماتشيلي البصل، أضيفي الثوم المدقوق ودعيه يصبح ذهبيا ثم الكزبرة الخضراء، قلبيها لدقيقتين فقط حتى تطلع ريحتها، ثم صبي نصف هذه التقلية فوق قدر العدس والعجين وهو يغلي.
7. التقديم: اسكبي الحراق أصبعو في أطباق واسعة.
8. التزيين : </t>
  </si>
  <si>
    <t>الكمية تكفي 6 أشخاص</t>
  </si>
  <si>
    <t xml:space="preserve">زينة هذا الطبق يجب أن تكون مثل لوحة فنية: زيني وجه صينية حراق اصبعو أو طبق البايريكس الذي تضعينه فيه  على الوجه الخبز المقلي، وباقي تقلية الكزبرة والثوم، والبصل المحمر، وحبات الرمان ممكن أن توزعيها مجموعات على الوجه لتعطي منظرا هندسيا جميلا.
</t>
  </si>
  <si>
    <t>لأن هذه الأكلة من التراث وقيمتها الغذائية عالية جدا فأنا أعتني جدا باعدادها ، أجهز عجين من الطحين والملح والسكر واللبن قبل بيوم وأتركه لثاني يوم ثم أفرد قطع العجين وأقطعها بكشتبان الخياطة لتكون صغيرة أو أكبر قليلا لو لديك أداة تقطيع وأقلي القطع في الزيت فتطعي انتفاخا خفيفا في الزيت واللون الذهبي الرائع الذي تستحقه هذه الأكلة وطعم لايقاوم فان كان لديك بال طويل ممكن أن تنفذي هذا السر من أم سامر.</t>
  </si>
  <si>
    <t>images/Harra_Esaboo.jpgا</t>
  </si>
  <si>
    <t>23</t>
  </si>
  <si>
    <t>مفركة البطاطا</t>
  </si>
  <si>
    <t xml:space="preserve"> المقادير:
• كيلو بطاطا
• 10 بيضات
• ملعقة صغيرة فلفل أسود
• ربع ملعقة قرفة مطحونة
• ملعقة صغيرة ملح
• 3 ملاعق سمنة
• زيت لقلي البطاطا
المفركة نفسها باللحمة المفرومة:
• كيلو بطاطا
• 12 بيضة
• ربع كيلو لحمة مفرومة
• بصلة متوسطة 150 جرام
• ملعقة صغيرة فلفل أسود
• ربع ملعقة قرفة مطحونة
• ملعقة صغيرة ملح
• 1 ملعقة سمن
• زيت لقلي البطاطا
</t>
  </si>
  <si>
    <t>طريقة التحضير: أبسط وألذ وأسرع أكلة:
قشري البطاطا وقطعيها مكعبات صغيرة، وانقعيها ساعة بالماء ليتسرب منها النشاء.
اقلي البطاطا حتى يصبح لونها ذهبيا فاتحا وليس بنيا.
ضعي السمنة في مقلاية مناسبة للكمية حمي السمنة على النار ثم قلبي عليها البطاطا، ويكون البيض مخفوقا في وعاء بجانبك بعد تقليب البطاطا حوالي 3 دقائق أضيفي البيض والنار عالية وقلبيه جيدا مع البطاطا رشي الملح والفلفل الأسود والقرفة الان لكي تلتصق بالبيض وتبعد الزنخ عن المفركة، قلبي الخليط حتى يتماسك البيض تماما.
بالنسبة لمفركة البطاطا باللحمة المفرومة فقط تحتاجين لتحضير اللحمة مع ملعقة السمنة والبصل تقلاية وتغطيها شغلة نصف ساعة على نار هادئة لكي تستوي اللحمة جيدا ثم اتبعي نفس الخطوات في مفركة البطاطا بالسمن.</t>
  </si>
  <si>
    <t>بالسمن الكمية تكفي 4 أشخاص
باللحمة تكفي 6 أشخاص</t>
  </si>
  <si>
    <t>زيني المفركة بشرائح البندورة، والفليفلة والبقدونس المفروم</t>
  </si>
  <si>
    <t>الكثير من السيدات يسلقون البطاطا وييقلبوها قطع مع البيض، نصيحة البطاطا المقلية تعطي نكهة ألذ بشعرات المرات من المسلوقة وكذلك المفركة تكون مفركة أي مفلفلة وليس ملتصقة ببعضها بسبب سلق البطاطا وستكون نكهتها رهيبة.
حضري طبق من السلطة معها أو خيار باللبن مع النعناع اليابس والتوم .</t>
  </si>
  <si>
    <t>Images/Mfarraket_Batata.jpg</t>
  </si>
  <si>
    <t>24</t>
  </si>
  <si>
    <t xml:space="preserve">مفركة الكوسا بالسمن
مفركة الكوسا باللحمة المفرومة </t>
  </si>
  <si>
    <t>المقادير:
• كيلو كوسا كبير
• 10 بيضات
• ملعقة صغيرة فلفل أسود
• ربع ملعقة قرفة مطحونة
• ملعقة صغيرة ملح
• 3 ملاعق سمنة
• ملعقتين زيت زيتون
مفركة كوسا نفسها باللحمة المفرومة:
• كيلو كوسا
• 12 بيضة
• ربع كيلو لحمة مفرومة
• بصلة متوسطة 150 جرام
• ملعقة صغيرة فلفل أسود
• ربع ملعقة قرفة مطحونة
• ملعقة صغيرة ملح
• 3 ملعقة سمن
• ملعقتين زيت زيتون</t>
  </si>
  <si>
    <t>طريقة التحضير: 
اغسلي الكوسا من الرمل كما اتفقنا سابقا بالفرشاة ، زقطعيه مكعبات وسط .
ضعي السمنة وزيت الزيتون على النار حتى يسخن الخليط أضيفي الكوسا على الخليط وقلبيه 5 دقائق وبخي عليه قليلا من الماء وغطيه 10 دقائق لكي يستوي، تأكدي أن الكوسا استوى تماما .
أضيفي الان البيض المخفوق ثم  رشي الملح والفلفل الأسود والقرفة الان لكي تلتصق بالبيض وتبعد الزنخ عن المفركة وقلبيه حوالي 3 دقائق والنار عالية  حتى يتماسك البيض تماما.
بالنسبة لمفركة الكوسا باللحمة المفرومة فقط تحتاجين لتحضير اللحمة مع ملعقة السمنة وزيت الزيتون والبصل تقلاية وتغطيها شغلة نصف ساعة على نار هادئة لكي تستوي اللحمة جيدا ثم اتبعي نفس الخطوات في مفركة الكوسا بالسمن.</t>
  </si>
  <si>
    <t>بالسمن تكفي الكمية تكفي 6 أشخاص
باللحمة تكفي 8 أشخاص</t>
  </si>
  <si>
    <t>زيني المفركة بشرائح البندورة، والفليفلة الحمراء الطازجة والبقدونس المفروم</t>
  </si>
  <si>
    <t>لاتسلقي الكوسا لأن سيصبح طعمه باهتا، تقلاية الكوسا بزيت الزيتون والسمنة سيعطيه نكهة ورائعة عظيمة.</t>
  </si>
  <si>
    <t>Images/Mfarraket_Kousa.jpg</t>
  </si>
  <si>
    <t>25</t>
  </si>
  <si>
    <t>مكمور باتنجان</t>
  </si>
  <si>
    <t>45 دقيقة</t>
  </si>
  <si>
    <t xml:space="preserve">• كيلو باتنجان
• 1 بطاطا كبيرة
• 2 بصلة وسط 400 جرام
•نصف كيلة بندورة
• 2 ملعقة دبس بندورة
• ملعقة صغيرة فلفل أسود
• ملعقة صغيرة ملح
• 1 فليفلة خضراء طازجة حلوة أو حارة (حسب الرغبة)
• 1 فليفلة خضراء طازجة حلوة أو حارة (حسب الرغبة)
• زيت لقلي الباتنجان
• ربع كوب زيت زيتون للبصل 
</t>
  </si>
  <si>
    <t xml:space="preserve">قشري الباتنجان بالكامل أو اتركيه مخططا
اقلي الباتنجان بزيت غزير حامي لكي لايمتص زيت وضعيه على ورق المطبخ ليصفى منه الزيت.
قشري البطاطا مكعبات وسط واقليها كما البطاطا المقلية.
قطعي البصل والفليفلة الخضراء والحمراء والبندورة مربعات صغيرة قليلا.
ضعي زيت الزيتون في قدر مناسب يتسع للكمية وقلبي فيه البصل حتى يصبح لونه ذهبيا، غطي الطنجرة 5 دقائق على البصل ثم أضيفي الفليفلة على البصل وقلبيها لكي تنتشر رائحتها في المطبخ وتستوي نصف استواء.
ضعي الباتنجان المقلي فوق الخليط ثم الملح والبهارات وملعقتين دبس البندورة والبندورة وقلبي الخليط جيدا وغطيه ربع ساعة.
</t>
  </si>
  <si>
    <t>الكمية تكفي 8 أشخاص لأن الأكلة تؤكل غمسا بالخبز وليس مع الرز</t>
  </si>
  <si>
    <t xml:space="preserve">زيني بل أساسي على وجه الطبق بقدونس مفروم ناعم </t>
  </si>
  <si>
    <t>السيدات الحلبيات لايضيفون الفليفلة الخضراء والحمراء للطبق ولكن وجدت أن الباذنجان يحب دائما معه كل أنواع الفليفلة وكذلك البطاطا في حلب فقط باذنجان وبصل وبندورة.
نصيحة للتوفير وللمحافظة على النعم: كل ماتعملي باتنجان محشي اسحبي أول لب بمقورة كبيرة وجمعيه في طبق وعند الانتهاء اقسمي كل لب نصفين واقليه بالزيت كما فعلت بالباتنجان الشرائح حتى يصبح لونه بنيا فاتحا ثم اطبخيه مكمور كمقبلات على سفرتك، ستقدر عائلتك هذا التصرف جدا وسيحبونه لأنه سيكون قليل ومشهي.</t>
  </si>
  <si>
    <t>images/Makmour.jpg</t>
  </si>
  <si>
    <t>26</t>
  </si>
  <si>
    <t>رز بالفول الأخضر</t>
  </si>
  <si>
    <t xml:space="preserve">المقادير: 
• كيلو فول أخضر الحب الذي في الداخل وليس القطعة كلها حبة متوسطة ممكن مفرز أو طازج حسب الموجود
• نصف كيلو لحمة مفرومة (وممكن يكون نباتي بالسمنة 3 ملاعق أونصف كوب الزيت المازولا لو حبيت)
• 4 كوب رز حوالي كيلو
• 3 كوب ماء مغلي 
• 3 بصلات وسط حوالي 400 جرام 
• ملعقة صغيرة فلفل أسود
• ملعقة طعام ملح
</t>
  </si>
  <si>
    <t xml:space="preserve">اغسلي الرز وانقعيه سواء مصري حبة قصيرة أو بسمتي واتركيه جانبا لمدة ليس أقل من ساعة .
قشري البصل وافرميه ناعم وضعيه اما على اللحمة أو السمنة أو الزيت حسب النوع الذي تطبخي به، اتركي البصل حتى يصبح يستوي مع اللحم أو يصبح لونه أصفر بالزيت أو السمن.
ان كان الفول مفرز ضعيه في وعاء وصبي عليه ماء مغلي واتركيه لحين استخدامه يعني أخرجيه من الفريزر قبل نصف ساعة، لاتتركي الفول يحل منه الثلج بدون ماء مغلي بهذه الطريقة تخسرين كل الطعم والفوائد.
بعد أن تستوي اللحمة أو يتحمر البصل ضعي الفول فوق الخليط وقلبيه ورشي الفلفل الأسود ونص ملعقة صغيرة ملح ونصف كوب ماء مغلي عليه وغطيه مدة ربع ساعة.
الان حضري 3 كوب ماء مغلي ضعي الرز فوق الخليط وصبي الماء عليه وقلبيه حتى تختلط المواد جيدا وضعي ملعقة ملح صغيرة وغطيه ودعيه يغلي، عندما ينزل مستوى الماء قليلا عن مستوى اعلى الرز خفضي النار الى الوسط مدة 5 دقائق ثم خفضي النار على أقل درجة عندك واتركيه 10 دقائق اطفئي النار واتركيها 10 دقائق أخرى مغطاة. 
 بعد ذلك اقلبي الطبخة على صينية وفككيها بالشوكة لكي لايلتصق الرز ببعض ويصبح شكله شهيا، تستطيعين بعد هذه الحركة أن تعيديه على الطنجرة وتغطيه ان لم يكن قد حان موعد الأكل.
</t>
  </si>
  <si>
    <t>الكمية تكفي 5 أشخاص</t>
  </si>
  <si>
    <t xml:space="preserve">رشي فلفل أسود على الوجه وزيني الطبق بالفلفل الأخضر والبندورة
</t>
  </si>
  <si>
    <t>أنا أنصح دائما في الأكلات التي فيها رز وخضار سواء مقلوبة أو رز بفول أو  رز بالبازلاء أن يتم سلق الرز لوحده في طنجرة مستقلة مع الملح وقليل من الزيت أو السمنة، وعندما يقترب من الاستواء نصفي الماء ونتركه رطبا وفيه قليلا من الماء ثم نخلطه مع اللحم أو البصل حسب نوع الطبخة وبهذه الطريقة نضمن أن يبقى الرز مفلفلا وشكله جميلا أكثر من طريقة الطبخ الكامل مع الخضار أيا كان نوعها.
لكن انتبهي بالنسبة لهذه الطريقة عندما تضعين الرز يجب أن تكون النار عالية دقيقتين فقط ثم تخفضيها على اخر درجة عندك مدة 5 دقائق واطفئي النار واتركيه 10 دقائق حتى تختلط النكهة مع الخليط، الان اقلبي الرز في صينية كما شرحت لك.</t>
  </si>
  <si>
    <t>Images/Rez_Foul/jpg</t>
  </si>
  <si>
    <t>27</t>
  </si>
  <si>
    <t xml:space="preserve">رز بالبازلاء والجزر </t>
  </si>
  <si>
    <t xml:space="preserve">ساعة </t>
  </si>
  <si>
    <t xml:space="preserve">المقادير: 
• 450 جرام بازلا مفرزة أو طازجة وأنا أفضل المفرزة
• نصف كيلو لحمة مفرومة (وممكن يكون نباتي بالسمنة 3 ملاعق أونصف كوب الزيت المازولا لو حبيت)
• 4 كوب رز حوالي كيلو
• جزرتين قياس وسط حوالي 200 جرام
• 3 كوب ماء مغلي 
• 3 بصلات وسط حوالي 400 جرام 
• ملعقة صغيرة فلفل أسود
• ملعقة طعام ملح
</t>
  </si>
  <si>
    <t>اغسلي الرز وانقعيه سواء مصري حبة قصيرة أو بسمتي واتركيه جانبا لمدة ليس أقل من ساعة .
قشري البصل وافرميه ناعم وضعيه اما على اللحمة أو السمنة أو الزيت حسب النوع الذي تطبخي به، اتركي البصل حتى يصبح يستوي مع اللحم أو يصبح لونه أصفر بالزيت أو السمن.
ان كانت البازلاء والجزر مفرزين  ضعيهم في وعاء وصبي عليهم ماء مغلي واتركيهم لحين استخدامهم يعني أخرجيهم من الفريزر قبل نصف ساعة، لاتتركي البازلاء والجزر يحل منهما الثلج بدون ماء مغلي بهذه الطريقة تخسرين كل الطعم والفوائد.
بعد أن تستوي اللحمة أو يتحمر البصل ضعي البازلاء والجزر فوق الخليط وقلبيه ورشي الفلفل الأسود ونص ملعقة صغيرة ملح ونصف كوب ماء مغلي عليه وغطيه مدة ربع ساعة.
الان حضري 3 كوب ماء مغلي ضعي الرز فوق الخليط وصبي الماء عليه وقلبيه حتى تختلط المواد جيدا وضعي ملعقة ملح صغيرة وغطيه ودعيه يغلي، عندما ينزل مستوى الماء قليلا عن مستوى اعلى الرز خفضي النار الى الوسط مدة 5 دقائق ثم خفضي النار على أقل درجة عندك واتركيه 10 دقائق اطفئي النار واتركيها 10 دقائق أخرى مغطاة. 
 بعد ذلك اقلبي الطبخة على صينية وفككيها بالشوكة لكي لايلتصق الرز ببعض ويصبح شكله شهيا، تستطيعين بعد هذه الحركة أن تعيديه على الطنجرة وتغطيه ان لم يكن قد حان موعد الأكل.</t>
  </si>
  <si>
    <t>رشي فلفل أسود على الوجه وزيني الطبق بالفلفل الأخضر والبندورة
حضري طبق خيار باللبن أو عيران أو لبن عادي مع هذه الأكلة.</t>
  </si>
  <si>
    <t>Images/Rez_Bazella/jpg</t>
  </si>
  <si>
    <t>28</t>
  </si>
  <si>
    <t xml:space="preserve">أكلات متنوعة </t>
  </si>
  <si>
    <t>فريكة ورز</t>
  </si>
  <si>
    <r>
      <rPr>
        <sz val="11"/>
        <color theme="1"/>
        <rFont val="Calibri"/>
      </rPr>
      <t xml:space="preserve">• كيلو فريكة لونها أخضر وليس أصفر لأنه لن يكون لها طعم مختلف عن القمح
• 2 كيلو لحم غنم بالعظم 
• ربع كيلو رز مصري
• 3 بصلات وسط حوالي 400 جرام
• ملعقة صغيرة فلفل أسود
• ملعقة طعام ملح
• ورق غار 5
• عيدان قرفة 2 وسط
• 10 قطع هال حب
• 10 قطع قرنفل حب
• 4 ملاعق سمنة
• نصف كوب زيت للقلي
</t>
    </r>
    <r>
      <rPr>
        <b/>
        <sz val="11"/>
        <color theme="1"/>
        <rFont val="Calibri"/>
      </rPr>
      <t>اختياري:</t>
    </r>
    <r>
      <rPr>
        <sz val="11"/>
        <color theme="1"/>
        <rFont val="Calibri"/>
      </rPr>
      <t xml:space="preserve"> 
• لوز مقشر محمص
• صنوبر محمص
• كاجو محمص
</t>
    </r>
  </si>
  <si>
    <t xml:space="preserve">سلق اللحمة: 
كما جميع الأكلات اسلقي اللحمة كما شرحنا سابقا ضعي زيت القلي في طنجرة مناسبة والتوابل الخشنة الغار والقرنفل والهال والقرفة وقلبيهم مع الزيت لتنتشر رائحتهم في المطبخ قبل أي شيء ثم قطعي البصل أجنحة وقلبيه بعد أن يحمى الزيت حتى يصبح لونه أًصفر قليلا ثم ضعي اللحمة وقلبيها وغطيها ربع ساعة لكي تتشمع وتبقى سوائلها وفوائدها بداخلها.
اغمري اللحم بماء مغلي واتركيه على النار حتى يستوي الان أَضيفي ملعقة طعام ملح واتركيها 5 دقائق على النار لكي يتشرب اللحم الملح ثم اسحبي اللحم من المرق واتركيه جانبا.
طبخ الفريكة والرز: 
أنا بالنسبة لي لاأغسل الفريكة وأرمي منها الحبات السوداء المتفحمة فهي طعم الفريكة الأساسي لذا أنا فقط أضع عليها ماء لتترطب قبل الطبخ لاأغمرها ولكن أبللها بتعبير أدق وأتركها لحين الانتهاء من سلق اللحم.
الان خدي مقدار 5 أكواب ماء من مرق اللحم وأضيفي عليه ملعقة ملح صغيرة أخرى واتركيه يغلي من جديد ثم أضيفي الفريكة وحركيها ودعيها تغلي مرة أخرى، بعد الغليان خفضي النار لأقل درجة واتركيها حتى تجف الماء.
</t>
  </si>
  <si>
    <t>زيني الطبق بالبقدونس المفروم ورشي الفلفل الأسود على وجه الطبق ووزعي قطع اللحم التي يجب أن تعيدي تسخينها بما تبقى من مرق اللحم، وزيني الفريكة بشرائح من الخيار والفلفل الأحمر والبندورة لو أحببت .
حضري طبق خيار باللبن أو عيران أو لبن عادي مع هذه الأكلة.</t>
  </si>
  <si>
    <t xml:space="preserve">
الفريكة لاتحتمل الحرارة العالية فالماء يجف بسرعة ولاتستوي يجب أن تستوي على مهلها يعني ستحتاجين وقت حوالي ساعة الى ساعة ونصف على نار هادئة لطبخ كيلو فريكة.
اطبخي الرز الأبيض كما تعرفين قبل ربع ساعة من انتهاء استواء الفريكة لكي تجعلي منه طبقة رقيقة على وجه الفريكة هذه هي الطريقة الحلبية لأكل الفريكة فهي مع قليل من الرز تعطي نكهة ساحرة.</t>
  </si>
  <si>
    <t>Images/Freekeh.jpg</t>
  </si>
  <si>
    <t>29</t>
  </si>
  <si>
    <t>المحاشي</t>
  </si>
  <si>
    <t>سندوانات/فوارغ/سجقات</t>
  </si>
  <si>
    <t xml:space="preserve">• كيلو رز مصري أو أي رز قصير غير الباسمتي
• 10 أمتار مصارين/ أمعاء خروف أو عجل متوسطة ليست رفيعة جدا ولا ثخينة جدا
• كيلو لحم مفروم كثير الدهن 20% على الأقل
• 3 بندورات أو طماطم كبيرة بالخلاط
• باقة بقدونس
• ملعقة صفيرة قرفة مطحونة
• نصف ملعقة  صفيرة كمون مطحون
• ملعقة صغيرة فلفل أسود
• ملعقة صغيرة 7 بهارات
• ملعقة صغيرة كركم (حسب الرغبة) لفوائده الكثيرة ولتلوين الفوارغ باللون الأصفر الجميل
• نصف كوب زيت مازولا
• كوب حمص منقوع بالكربونات قبل بيوم
• 5 ورقات غار
• 4 عيدان قرفة
• 10 حبات هال
• 5 حبات قرنفل
• ملعقتين سمنة لقلي الفوارغ (حسب الرغبة )
</t>
  </si>
  <si>
    <t xml:space="preserve">اغسلي الفوارغ أو المصارين جيدا واقلبيهم بواسطة صب الماء من الحنفية في داخلهم مع ثني الطرف بالعكس سيتم قلبهم بسهولة يجب أن يكون طرف الخشن الناشف من الخارج لأن الطرف الناعم هو الذي يحشى بالرز والا لن تستطيعي حشيهم بسهولة.
اغسلي الرز وصبي عليه البندورة التي تم خلطها بالخلاط واخلطيه جيدا واتركيه ساعة على الأقل.
اغسلي البنقدونس بنقعه في الماء قبل فرمه ثم افرميه ناعم
اخلطي الان كل شيئ في المقادير لكي تتشكل لديك حشوة رائعة للفوارغ.
طريقة الحشي هناك عشرات الطرق للحشي ولكن ستجدين طريقتي في أسرار أم سامر في الخانة المخصصة لذلك.
لو لاحظت أن أحد القطع من المصارين طويلة وصعب عليه حشيها متواصلة قصيها نصفين واحشي كل نصف لوحدة لاتضغطي على نفسك في النهاية سيتم تربيطهم بقياس معقول يستطيع الشخص حملها للأكل.
الحشو يجب أن يكون قليلا نصف استيعاب المصران ولكي تتأكدي من أنك تحشين المصران بشكل صحيح امسحي على المصران على صينية الحشي ليكون مستويا على الصينية بارتفاع ليس أكثر من سم أو 2 سم بالكتير.
بخيط نايلون متين اربطي كل 15 سم ربطة وعقدتين لكي تقسمي المصران الى قطع.
صفي الفوارغ المحشية في طنجرة مناسبة بشكل مستوي فوق بعضها البعض.
سلق الفوارغ: 
الان الفوارغ مصفوفة في الطنجرة وجاهزة للسلق ممكن أن تحشيها قبل بيوم وتضعيهم في البراد ان كان ليس لديك الوقت الكافي.
اغلي 5 ليتر ماء في غلاية الماء، ضعي الماء المغلي فوق الفوارغ في الطنجرة والبهارات الخشنة الغار والقرفة والهال والقرنفل وملعقة ملح كبيرة، وغطي الطنجرة وعلى نار عالية حتى يغلي.
ستلاحظين بأن الفوارغ انتفخت بسبب سخونة الهواء بداخلها أحضري ابرة كبيرة وثقبيهم في عدة أماكن وقلبي من تحت لفوق لكي تظهر الفوارغ التي لم تثقب يظهر لك أنها منتفخة ولو لم تشاهدي أنها منتفخة يجب تثقيبهم جميعا كي لاتتفجر الفوارغ ويخرج الرز بالماء.
بعد التثقيب هدئي النار الى الربع واتركيهم 3 ساعات على نار هادئة وأنا متأكدة سيكونون استووا تماما.
في حلب يحبون الفوارغ مقلية بعد سلقها، بعد أن تستوي صفي المرق في وعاء جانبي وافصلي عند كل ربطة ربطتيها قطع الفوارغ وضعيها على صينية وان أحببت أن تجربيها مقلية ضعي ملعقتين سمنة في مقلاة بيض واسعة وصفي الفوارغ فيها وغطيهم 3 دقائق ثم اكشفيهم واقلبيهم للطرف الأخر 3 دقائق أخرى.
أرجو الحرص والانتباه لأن الفوارغ تطقطق أثناء القلي بسبب الرز وقد تصيبك شرارات منها حاولي الابتعاد عن المقلاة أثناء التقليب، أو ضعي الغطاء في يدك اليسرى مقابل المقلاة كحماية لوجهك.
</t>
  </si>
  <si>
    <t>صفي الفوارغ في طبق بأي شكل ترينه جميلا وزيني أطرافها بالفلفل الأخضر والبندورة</t>
  </si>
  <si>
    <t>قد تستغربين اضافة البقدونس والبندورة انت كنت حلبية ولكنني وجدت من التجربة بأن الطعم يكون أروع بمراحل ان أضفت حموضة البندورة الخفيفة ونكهة البقدونس مع الرز جربي ولن تندمي.
بالنسبة لي وجدت حلا رائعا وسريعا لحشو الفوارغ، في مفرمة اللحمة أو ماكينة الكبة يأتي قمع لحشو السجق باللحم أنا قصرت هذا القمع بقطعه من الطرف الرفيع ليصبح بطول 5 سم فقط وأصبحت أضم المصران عليه وأسقط الرز في القمع وبسبب استعمال زيت المازولا بدل السمن ستجدين بأن الرز سيمر بمنتهى السهولة في القمع ولن تصرفي وقتا طويلا في الحشو.</t>
  </si>
  <si>
    <t>Images/Fawaregh.jpg</t>
  </si>
  <si>
    <t>30</t>
  </si>
  <si>
    <t>ورق عنب باللحم</t>
  </si>
  <si>
    <t xml:space="preserve">• كيلو رز مصري أو أي رز قصير غير الباسمتي
• كيلو ورق عنب اما مكبوس 2 مرطبان وسط بوزن 500 جرام أو كيلو ورق طازج
• كيلو لحم مفروم كثير الدهن 20% على الأقل
• 3 بصلات وسط حوالي 500 جرام
• 3 بندورات أو طماطم كبيرة بالخلاط
• باقة بقدونس
• ملعقة صفيرة قرفة مطحونة
• نصف ملعقة  صفيرة كمون مطحون
• ملعقة صغيرة فلفل أسود
• ملعقة صغيرة 7 بهارات
• نصف كوب زيت مازولا أو 3 ملاعق سمنة
• مقادير المرق: 
• 3 ملعقة توم مدقوق
• 10 حبات توم مقشرة وصحيحة
• ملعقة طعام ملح 
• نصف ملعقة فلفل أسود 
• ملعقة نعناع يابس
• عصير 7 ليمونات أو ملعقتين ملح ليمون (للعلم ملح الليمون لايؤذي الصحة ومايقال عنه خطأ شائع) هو نفس عصير الليمون صحيا.
• كيلو ريش غنم أو قطع من كتف أو رقبة غنم وقطعة لية ان وجدت 
</t>
  </si>
  <si>
    <t xml:space="preserve">بالنسبة للورق الطازج تحتاجين لسلقة حوالي ربع ساعة صفي الورق في طنجرة وضعي عليه نصف ملعقة كربونات الصودا واغليه ربع ساعة، كربونات الصودا تحافظ على اللون الأخضر للورق.
بالنسبة للورق المكبوس اخرجي الورق وانقعيه بالماء الساخن وغيري عليه مدة 24 ساعة بالماء البارد من الحنفية عدة مرات لكي تزول منه طعم ورائحة المكبوس ويعود كالطازج.
انقعي الرز كالعادة بعد غسله بعصير البندورة الذي حضرتيه في الخلاط لمدة ساعة أو أكثر لايهم.
ضعي كل محتويات الحشوة الرز واللحمة والبهارات في وعاء بلاستيكي واخلطيهم جيدا مع كوب من الماء لكي تتجانس الحشوة ولاتكون ناشفة داخل ورق العنب.
ابدأي بلف الورق المهم في اللف هو تغطية الرز بالكامل لايهم كيف أي طريقة تريحك غطي الرز ولفي لفة ونص الورقة عليه لكي تحبسه بالداخل ولايتفتح وقت الطبخ.
حضري طنجرة مناسبة وضعي في الأسفل الريش أو اللحم أو حتى العظم في القاع رشي عليه الفلفل الأسود والملح والنعناع والتوم المدقوق والحب وملح الليمون.
نحن في حلب نربط الورق حزم بخيط أبيض تبع الخياطة العادية نلفه على كل حزمة من البداية للنهاية على طول الورق الملفوف هذه الطريقة تساعدة جدا بسرعة سكبه وعدم تفتح الورق في الطبخ.
صفي الحزم أو الورق الطنجرة وعندما تنتهي اغمري الورق بالكامل بالماء وغطيه ودعيه يغلي، ثم أخفضي النار للربع وتأكدي من ان الماء في الورق يغلي لأنه ان كان الماء لايغلي ويخرج فقاقيع لن يستوي الورق وارتكيه 4 ساعات .
</t>
  </si>
  <si>
    <t xml:space="preserve">زيني طبق ورق العنب بشرائح الليمون </t>
  </si>
  <si>
    <t>قد تستغربين اضافة البقدونس والبندورة انت كنت حلبية ولكنني وجدت من التجربة بأن الطعم يكون أروع بمراحل ان أضفت حموضة البندورة الخفيفة ونكهة البقدونس مع الرز جربي ولن تندمي.
نحن في حلب نبالغ في طبخ ورق العنب باللحمة ونتركه على النار 7 ساعات وأحيانا 10 ساعات ولكنني أنا وجدت الحل الوسط بأن 5 الى ساعات غليان هادئي سيجعل الورق يستوي بنفس الدرجة عند 10 ساعات، وانت ورغبتك ضعيه على النار المدة التي تحبين.</t>
  </si>
  <si>
    <t>images/Yabraa.jpg</t>
  </si>
  <si>
    <t>31</t>
  </si>
  <si>
    <t>يالنجي (ورق عنب بزيت الزيتون والخضار)</t>
  </si>
  <si>
    <t xml:space="preserve">• كيلو رز مصري أو أي رز قصير غير الباسمتي
• كيلو ورق عنب اما مكبوس 2 مرطبان وسط بوزن 500 جرام أو كيلو ورق طازج
• ربع كيلو زيت زيتون جيد أو كوب
• 3 بصلات وسط 400 جرام
• 1 ملعقة توم مدقوق
• واحد فليفلة خضراء حلوة أو حارة حسب الرغبة
• 1 فليفلة حمراء حلوة أو حارة حسب الرغبة
• 3 بندورات أو طماطم كبيرة بالخلاط
• باقة بقدونس
• نصف باقة نعناع أخضر
• 2 بصلة خضرا
• نصف كوب دبس رمان
• 2 ملعقة دبس بندورة
• 2 ملعقة دبس فليفلة
• 1 ملعقة طعام بن تركي تبع القهوة
• ملعقة صفيرة هيل مطحون
• نصف ملعقة  صفيرة كمون مطحون
• ملعقة صغيرة فلفل أسود
• ملعقة صغيرة 7 بهارات
• مقادير المرق: 
• 3 ملعقة توم مدقوق
• ملعقة طعام ملح 
• ملعقة نعناع يابس
• عصير 7 ليمونات أو ملعقتين ملح ليمون (للعلم ملح الليمون لايؤذي الصحة ومايقال عنه خطأ شائع) هو نفس عصير الليمون صحيا.
</t>
  </si>
  <si>
    <t xml:space="preserve">الطريقة الحلبية: 
انقعي الرز بعد غسله بالبندورة المخلوطة بالخلاط لمدة ساعة على الأقل.
افرمي البصل وضعيه في طنجرة مع زيت الزيتون حتى يصفر لونه ثم أضيفي الفليفلة الحمراء والخضراء وقلبيهم 5 دقائق، اضيفي الان دبس البندورة والفليفلة ودبس الرمان على الخليط السابق وقلبيهم دقيقتين ثم أضيفي عليهم الرز واخلطيهم جيدا وانثري الملح والبن وباقي البهارات على الخليط وغطيه 5 دقائق على نار هادئة لاتضيفي أي ماء على الرز دعيه فقط يتشرب ماء الخضار التي فيه.
في اخر مرحلة والرز ساخن أضيفي عليه البقدونس المفروم والنعناع المفروم والبصل الأخضر المفروم وقلبي الكل وغطيه واتركيه يبرد.
الطريقة العربية بشكل عام:
تخلط جميع المكونات على البارد ثم تلف في ورق العنب ولكن هذه الطريقة ستجعل الحشوة طرية بعد أن تذبل بداخلها الخضار ولن تعطي نفس قوة نكهة الرز المحضر على النار.
الان بعد الانتهاء من لف اليالنجي كما شرحة لك في ورق العنب يجب أن تكون القطعة ثخينة بعض الشيء أي ضعف حجم ورق العنب باللحم لأن هذه الأكلة تختلف في المكونات، اغمري الورق بالماء وضعي الليمون والتوم والنعناع والملح ودعيه يغلي ثم هدئي النار الى أدنى درجة تجعله يغلي واتركيه 3 ساعات وتأكدي أنه استوى بالوقت ولاداعي للتأكد.
</t>
  </si>
  <si>
    <t>هذه الكمية تكفي 10 أشخاص كمقبلات مع الأكل الرئيسي</t>
  </si>
  <si>
    <t xml:space="preserve">زيني طبق اليالنجي بشرائح الليمون </t>
  </si>
  <si>
    <t>أنا وكل الحلبيات يقومون بربط اليالنجي بحزم بحجم قبضة اليد تحميه من التفتح في المرق وتبقي القطعة كما هي ويسهل عليك السكب في طبق التقديم حيث تحملين الحزمة بالشوكة وتمسكي بالخيط وتقصيه وتسحبيه بكل سهولة اقل من 5 دقائق تكونين قد سكبت طنجرة اليالنجي.
اليالنجي يؤكل بارد أو دافئ قليلا وليس ساخنا.</t>
  </si>
  <si>
    <t>images/Yalanji.jpg</t>
  </si>
  <si>
    <t>32</t>
  </si>
  <si>
    <t xml:space="preserve">محاشي كوسا وباتنجان وفليفلة وبطاطا وأي اضافات أخرى
</t>
  </si>
  <si>
    <t xml:space="preserve">• 5 كيلو كوسا قياس وسط
• 1 كيلو رز
• 1 كيلو لحمة مفرومة دهن زيادة 20%
• 1 كيلو ريش أو لحم من كتف الغنم قطع أو عظام لتضعيه تحت المحشي
• 5 ملاعق دبس بندورة
• 3 بندورة مطحونة بالخلاط
• باقة بقدونس
• ملعقة طعام ملح
• ملعقة صغيرة فلفل أسود
• ملعقة صغيرة 7 بهارات
• نصف ملعقة صغيرة قرفة
• ربع ملعقة صغيرة كمون
• 3 ملاعق سمنة
• مقادير مرقة المحشي:
• 3 ملاعق توم مدقوق
• 3 ملاعق دبس بندورة 
• ملعقة طعام نعناع يابس
• نصف ملعقة فلفل أسود
• عصير 5 ليمونات أو ملعقتين ملح ليمون
</t>
  </si>
  <si>
    <t xml:space="preserve">انقعي الكوسا ربع ساعة بماء بارد واغسليه جيدا من الأتربة والرمال بفرشاية ناعمة
احفري الكوسا بالكامل لاتتركيه سميكا السماكة يجب ألا تتجاوز 3 مم من كل الأطراف حتى الكعب.
اغسلي الرز وانقعيه بعصير البندورة المحضر بالخلاط لمدة ساعة على الأقل ثم اخلطي اللحم والبهارات ودبس البندورة والسمنة خلطا جيدا وضعي فوق الخليط كوب ماء لتكون الحشوة طرية وسلسة في الحشي ويتشبع الرز بالماء ولايكون ناشفا داخل المحشي.
ضعي الريش أو اللحم أو العظام حسب المتوفر لديك في طنجرة مناسبة للكمية وضعي عليها 3 ملاعق توم مدقوق وملعقة نعناع يابس وملعقتين ملح ليمون أو عصير 5 ليمونات أو حسبما تحبون حموضة المحشي وذوبي 3 ملاعق دبس بندورة في كوب ماس واسكبيه فوق الريش أو العظام مع ملعقة طعام ملح.
احشي الكوسا بالكامل عدا 2 سم في الأعلى ليس أكثر حتى لايكون الرز مخبوص وطري داخل المحشية ويكون مفلفل ولذيذ، ولاتضغطي الرز باصبعك بس حركي الكوساية ودقيها دقا خفيفا على طرف وعاء الحشو لينزل الرز لو لاحظت أنه علق في الأعلى.
بامكانك حشي باتنجان أو فليفلة أو بطاطا أو أي شيء تحبي حشيه مع الكوسا بنفس الخلطة.
صفي الكوسا فوق اللحم في قاع الطنجرة بشكل دائرة متلاصق تماما لاتتركي فجوات حتى لاتتفتح المحشية أثناء الغلي، حتى تنتهي الكمية.
ضعي طبق أو على حجم الطنجرة فوق المحشي أو صينية ستانلس مع وزن فوقها ولو زبدية ماء نصف ليتر حتى لايتحرك المحشي أثناء الغليان وينتثر الرز من داخله في الطنجرة وأضيفي ماء مغلي عليه حتى ينغمر بالماء واتركيه يغلي ثم خفضي النار الى الربع وتأكدي أن المرقة مستمرة في الغليان على النار المنخفضة دون أن تغلي أو يظهر منها فقاقيع صغيرة لن يستوي المحشي جيدا، اتركيه 3 ساعات أو ساعتين ونصف على النار الهادئة يكون استوى بلا نقاش. 
صفي المرقة في وعاء مستقل واكشفي المحشي 5 دقائق ثم اسحبيهم واحدة واحدة البسي كفوف مطبخ لكي لاتلتسع يديك بالحرارة.
</t>
  </si>
  <si>
    <t xml:space="preserve">هذه الكمية تكفي 8 أشخاص </t>
  </si>
  <si>
    <t>المحشي هو زينة المائدة وان أحببت ممكن أن تزينيه بشرائح الليمون</t>
  </si>
  <si>
    <t xml:space="preserve">
يمكنك تقشير بندورة بشكل دائرة وتلفيها على شكل وردة توضع في وسط طبق التقديم، وكذلك ممكن أن تزيني التبولة بورق الخس أو حتى تضعيه تحتها وأطرافه ظاهرة من الجوانب، الخس طعمه محبب جدا مع التبولة.
قلبي  التبولة جيدا في الوعاء قبل سكبها في طبق التقديم لكي تختلط بالملح والليمون ولاتكون اماكن مالحة واماكن لايوجد فيها ملح.</t>
  </si>
  <si>
    <t>images/Mehshi.jpg</t>
  </si>
  <si>
    <t>33</t>
  </si>
  <si>
    <t>مقلوبة باتنجان/ زهرة</t>
  </si>
  <si>
    <t xml:space="preserve">• كيلو رز باسمتي أو رز مصري حسب الرغبة
• 2 كيلو باتنجان كبير حلو أو باتنجان بلدي أسود صغير 
• 2 كيلو لحم غنم من الكتف، أو لحم مفروم أو 2 كيلو دجاج صدور وفخاد حسب المتوفر
• 2 بندورة متوسطة
• 2 بطاطا متوسطة (اختيارية)
• رأس زهرة صغيرة حوالي نص كيلو (اختياري)
• زيت للقلي 
•  لوز محمص للزينة
لسلق اللحمة أو الدجاج 
• 5 ورقات غار
• 10 حبات هال
• 10 حبات قرنفل
• 4 عيدان قرفة قياس وسط
• ملعقة طعام ملح
</t>
  </si>
  <si>
    <t xml:space="preserve">انقعي الرز وضعيه جانبا.
قشري الباتنجان واقليه هو والزهرة والبطاطا وضعيهم جانبا.
قشري البصل وقطعيه جوانح وضعي قليلا من الزيت وبهارات السلق في الطنجرة وقلبيهم لتنتشر رائحتهم في المطبخ ثم البصل حتى يصفر ثم أضيفي اللحم أو الدجاج وقلبيهم مع البصل مدة 5 دقائق غطي الطنجرة واتركي اللحم يتشمع حوالي 15 دقيقة، ثم اغمري اللحم أو الدجاج بالماء المغلي واتركي الكل يغلي مرة ثانية ثم خفضي النار الى الربع وتأكدي من أن الغليان مستمر واتركيهم حتى يستووا.
في حال اللحم المفروم افرمي بصلتين متوسطتين واتبعي  نفس طريقة تحضير اللحم المفرومة التي شرحناها سابقا البصل مع قليل من الزيت حتى يصفر ثم أضيفي اللحم وقلبيه واتركيه نصف ساعة على النار حتى يستوي اللحم جيدا وينشف الماء منه واتركيه جانبا.
اسحبي اللحم أو الدجاج من المرق  اتركيهم مع تغطيهم حتى لاتبرد اللحمة.
صفي المرق من البهارات الخشنة وزبطي ملح  المرق وتأكدب أن الكمية ضعف حجم الرز  واسلقي الرز قريب الاستواء الا قليلا صفيه من الماء الزائد وفي طنجرة جديدة صفي قطع البندورة في أرض الطنجرة ثم شرائح قليلة من الباتنجان والبطاطا ورشي قليلا من الرز ونصف كوب من مرق اللحم لكي تحمي القاع من الاحتراق،  ثم صفي اللحم أو الدجاج وضعي طبقة أخرى من الباتنجان فوق اللحم ونصف الرز الذي صفيتيه وضعي باقي الباتنجان أو مكونات مقلية بقيت لديك وضعي فوقهم باقي الرز وغطي الطنجرة وضعيها على نار عالية 3 دقائق ثم خفضي الى أدنى درجة واتركيها 10 دقائق واطفي النار.
لقلب طنجرة المقلوبة وتخرج قالبا متماسكا اتركيها ترتاح على عين الفرن 10 دقائق ثم اقلبيها على الصينية ولاترفعي الطنجرة مباشرة بل اتركيها 5 دقائق أخرى مقلوبة لكي ينزل أي سوائل بقيت في الباتنجان على الرز وتتشرب كل الطبخة بالبخار والطعم ثم اسحبي الطنجرة .
</t>
  </si>
  <si>
    <t xml:space="preserve">الكمية تكفي 8 أشخاص </t>
  </si>
  <si>
    <t>زيني المقلوبة بالبقدونس المفروم على الوجه وشرائح الفلفل الأخضر والأحمر على الأطراف</t>
  </si>
  <si>
    <t>أنا بخبرتي الطويلة اكتشفت أن سلق الرز وتصفيته يحمي المقلوبة من التصاق الرز ببعض وتكون مفلفلة ورائعة.</t>
  </si>
  <si>
    <t>Images/Maaloobeh.jpg</t>
  </si>
  <si>
    <t>34</t>
  </si>
  <si>
    <t>أكلات الحبوب</t>
  </si>
  <si>
    <t>مجدرة البرغل</t>
  </si>
  <si>
    <t xml:space="preserve">• 1 كيلو برغل أبيض خشن
• ربع كيلو عدس بني خشن 
• 4 كوب ماء مغلي
• 4 بصلات كبار
• ملعقة طعام ملح
• نصف كوب زيت زيتون نوعية جيدة 
• زيت لقلي البصل 
</t>
  </si>
  <si>
    <t xml:space="preserve">قشري البصل وافرمي نصه ناعم والنص الآخر جوانح .
ضعي العدس في طنجرة مع كوبين ماء واسلقيه وانتبهي لكي لاينهرس الوقت تقريبا نص ساعة بعد الغليان وتفحصيه يجب أن يستوي دون أن يفتح ويخرج من القشرة.
ضعي زيت الزيتون في طنجرة مناسبة وضعي عليه البصل الناعم وقلبيه حتى يصبح لونه بنيا ثم أضيفي البرغل عليه وقلبيه 5 دقائق، صبي العدس بالماء الذي سلقتيه فيه لاترمي ماء العدس لكي لاتخسري فوائده الصحية ثم صبي 4 كوب مغلي على البرغل والعدس ثم الملح وغطيه ودعيه يغلي حتى ينزل مستوى الماء تحت البرغل خفضي النار الى الربع واتركيه حتى تجف الماء منه حوالي 10 دقائق.
ضعي زيت قلي في مقلاة وحميه جيدا وافرطي البصل الجوانح لكي لايكون ملتصقا ببعض وقلبيه قليلا واتركيه على نار عالية في البداية مدة 3 دقائق ثم خفضي النار واتركيه يتحمص حتى يصبح لونه بنيا مقرمشا.
</t>
  </si>
  <si>
    <t>الكمية تكفي 4 أشخاص</t>
  </si>
  <si>
    <t>زييني طبق المجدة بالبصل والمخلل أي نوع على أطراف الطبق</t>
  </si>
  <si>
    <t>ستستغربين وجود البصل أثناء الطبخ في المجدرة ولكن بعد 50 سنة تجربة وجدت أن البصل الناعم المحمص مع البرغل يعطي طعم رائع للمجدرة وقد لاتجدين الكثير يقدمون هذه الوصفة.</t>
  </si>
  <si>
    <t>Images/Mjaddara_Burghul.jpg</t>
  </si>
  <si>
    <t>35</t>
  </si>
  <si>
    <t>مجدرة الرز</t>
  </si>
  <si>
    <t xml:space="preserve">• 1 كيلو رز
• ربع كيلو عدس بني خشن 
• 3 كوب ماء مغلي
• 4 بصلات كبار
• ملعقة طعام ملح
• نصف كوب زيت زيتون نوعية جيدة 
• زيت لقلي البصل 
</t>
  </si>
  <si>
    <t xml:space="preserve">انقعي الرز واتركيه جانبا.
قشري البصل وافرمي نصه ناعم والنص الآخر جوانح .
ضعي العدس في طنجرة مع كوبين ماء واسلقيه وانتبهي لكي لاينهرس الوقت تقريبا نص ساعة بعد الغليان وتفحصيه يجب أن يستوي دون أن يفتح ويخرج من القشرة.
ضعي زيت الزيتون في طنجرة مناسبة وضعي عليه البصل الناعم وقلبيه حتى يصبح لونه ذهبيا  ثم أضيفي الرز عليه وقلبيه 5 دقائق، صبي العدس بالماء الذي سلقتيه فيه لاترمي ماء العدس لكي لاتخسري فوائده الصحية ثم صبي 3 كوب مغلي على البرغل والعدس ثم الملح وغطيه ودعيه يغلي حتى ينزل مستوى الماء تحت البرغل خفضي النار الى الربع واتركيه حتى تجف الماء منه حوالي 10 دقائق.
ضعي زيت قلي في مقلاة وحميه جيدا وافرطي البصل الجوانح لكي لايكون ملتصقا ببعض وقلبيه قليلا واتركيه على نار عالية في البداية مدة 3 دقائق ثم خفضي النار واتركيه يتحمص حتى يصبح لونه بنيا مقرمشا.
</t>
  </si>
  <si>
    <t>وجود البصل أثناء الطبخ في المجدرة ولكن بعد 50 سنة تجربة وجدت أن البصل الناعم المحمص مع البرغل يعطي طعم رائع للمجدرة وقد لاتجدين الكثير يقدمون هذه الوصفة.</t>
  </si>
  <si>
    <t>Images/Mjaddara_Rez.jpg</t>
  </si>
  <si>
    <t>36</t>
  </si>
  <si>
    <t>برغل بشعيرية</t>
  </si>
  <si>
    <t xml:space="preserve">• كيلو برغل أبيض خشن
• كوب شعيرية
• 3 ملاعق سمنة
• ملعقة طعام ملح
• 4 كوب ماء مغلي 
</t>
  </si>
  <si>
    <t>ضعي السمن في طنجرة مناسبة وحميها ثم أضيفي الشعيرية وحمصيها حتى يصبح لونها ذهبيا أضيفي عليها البرغل وحمصيه 5 دقائق ثم أضيفي الماء المغلي عليه واتركيه يغلي مرة أخرى وغطيه وانتظري حتى ينخفض مستوى الماء تحت البرغل وخفضي النار الى الربع واتركيه 10 دقائق تقريبا أو حتى تجف الماء.</t>
  </si>
  <si>
    <t xml:space="preserve">زيني طبق البرغل بالشعيرية بقطع المخلل والخيار الأخضر </t>
  </si>
  <si>
    <t>هذه الأكلة عظيمة مع كل أكلات اللبن والباميا باللحمة</t>
  </si>
  <si>
    <t>Images/Burghul_Besheirieh.jpg</t>
  </si>
  <si>
    <t>37</t>
  </si>
  <si>
    <t>أكلات نباتية</t>
  </si>
  <si>
    <t xml:space="preserve">فول مقلى بالزيت </t>
  </si>
  <si>
    <t xml:space="preserve">• 900 جرام أو كيسين من حبوب الفول الأخضر بقشره
•  3 ملاعق توم مدقوق
• باقتين كزبرة خضرا
• كوب زيت زيتون جيد
• ملعقة طعام بودرة نكهة خضار
</t>
  </si>
  <si>
    <t xml:space="preserve">ان كان الفول مفرز أفرغي محتوى الكيسين في ماء مغلي واتركيه جانبا لحين استخدامه، لاتخرجي الفول قبل وقت من الفريزر وتتركيه ليفك من التلج دون ماء مغلي هذا يضر بطعم الفول ويخسره فوائده.
اغسلي الكزبرة قبل فرمها ونشفيها وافرميها ناعم واتركيها جانبا لحين الاستخدام.
ضعي الزيت في طنجرة مناسبة على النار وحميه الى النصف وضعي عليه التوم وقلبيه حتى يصفر وليس يصبح لونه بنيا، ثم صفي الفول من الماء وضعيه فوق التوم وقلبيه ورشي عليه بودرة النكهة وقلبيهم دقيقتين وغطي المزيج حوالي 5 دقائق، صبي كوب ماء مغلي على الفول في هذه المرحلة واتركيه ربع ساعة.
أضيفي الكزبرة الخضراء وقلبيها مع الفول وتأكدي من أن حبة الفول قد استوت واطفئي النار.
انتبهي للملح أنا لم أذكر الملح لأن بودرة النكهة عادة تكون مالحة والفول لايتحمل الملح كثيرا.
</t>
  </si>
  <si>
    <t>زيني طبق الفول الأخضر بشرائح الفليفلة الحمراء والمخلل</t>
  </si>
  <si>
    <t>أنا أنصح بالفول المفرز أكثر من الطازج لهذه الأكلة لأن الفول الطازج يكون قاسيا بعض الشيء.</t>
  </si>
  <si>
    <t>Images/Foul_Bezeit.jpg</t>
  </si>
  <si>
    <t>38</t>
  </si>
  <si>
    <t>لوبيا بالزيت</t>
  </si>
  <si>
    <t xml:space="preserve">• كيلو لوبيا خضراء أو مفرزة
• ملعقتين توم مدقوق
• ملعقة طعام كزبرة ناشفة ناعمة 
• نصف ملعقة طعام ملح
• ملعقة دبس بندورة 
• عدد 4 بندورات وسط
• كوب زيت زيتون جيد
</t>
  </si>
  <si>
    <t xml:space="preserve">نظفي اللوبيا ان كانت طازجة وقطعيها بالقياس الذي تحبين، أو انقعيها بماء مغلي ان كانت مفرزة لاتخرجيها من الفريزر قبل وقت من الفريزر الى الماء المغلي فورا.
ضعي زيت الزيتون في طنجرة مناسبة وحميه وأضيفي التوم وقلبيه حتى يصبح لونه ذهبيا ثم أضيفي الكزبرة الناشفة وقلبيها مع التوم دقيقتين أو 3 دقائق ثم أضيفي عليهم اللوبيا وقلبي الكل مدة 5 دقائق، في هذه المرحلة أضيفي دبس البندورة والبندورة مقطعة قطعا وسط لاكبيرة ولاصغيرة مع الملح وكوب ماء مغلي وقلبيهم جيدا وغطي الطنجرة مدة 30 دقيقة على نار هادئة حتى تستوي اللوبيا.
</t>
  </si>
  <si>
    <t>الكمبية تكفي 5 أشخاص</t>
  </si>
  <si>
    <t>زيني طبق اللوبيا بالفلفل الأخضر</t>
  </si>
  <si>
    <t>هذه الأكلة مغذية جدا للنباتيين</t>
  </si>
  <si>
    <t>Images/Loubia_Bezeit.jpg</t>
  </si>
  <si>
    <t>39</t>
  </si>
  <si>
    <t>فاصوليا بالزيت</t>
  </si>
  <si>
    <t xml:space="preserve">• كيلو فاصوليا خضراء أو مفرزة
• ملعقتين توم مدقوق
• ملعقة طعام كزبرة ناشفة ناعمة 
• نصف ملعقة طعام ملح
• ملعقة دبس بندورة 
• عدد 4 بندورات وسط
• كوب زيت زيتون جيد
</t>
  </si>
  <si>
    <t xml:space="preserve">نظفي الفاصوليا ان كانت طازجة وقطعيها بالقياس الذي تحبين، أو انقعيها بماء مغلي ان كانت مفرزة لاتخرجيها من الفريزر قبل وقت من الفريزر الى الماء المغلي فورا.
ضعي زيت الزيتون في طنجرة مناسبة وحميه وأضيفي التوم وقلبيه حتى يصبح لونه ذهبيا ثم أضيفي الكزبرة الناشفة وقلبيها مع التوم دقيقتين أو 3 دقائق ثم أضيفي عليهم الفاصوليا وقلبي الكل مدة 5 دقائق، في هذه المرحلة أضيفي دبس البندورة والبندورة مقطعة قطعا وسط لاكبيرة ولاصغيرة مع الملح وكوب ماء مغلي وقلبيهم جيدا وغطي الطنجرة مدة 30 دقيقة على نار هادئة حتى تستوي اللوبيا.
</t>
  </si>
  <si>
    <t>زيني طبق الفاصوليا  بالفلفل الأخضر</t>
  </si>
  <si>
    <t>Images/Fasoulia_Bezit.jpg</t>
  </si>
  <si>
    <t>40</t>
  </si>
  <si>
    <t>باميا بالزيت</t>
  </si>
  <si>
    <t xml:space="preserve">• كيلو باميا خضراء أو مفرزة
• ملعقتين توم مدقوق
• ملعقة طعام كزبرة ناشفة ناعمة 
• نصف ملعقة طعام ملح
• ملعقة دبس بندورة 
• عدد 4 بندورات وسط
• كوب زيت زيتون جيد
</t>
  </si>
  <si>
    <t xml:space="preserve">نظفي باميا ان كانت طازجة وقطعيها بالقياس الذي تحبين، أو انقعيها بماء مغلي ان كانت مفرزة لاتخرجيها من الفريزر قبل وقت من الفريزر الى الماء المغلي فورا.
ضعي زيت الزيتون في طنجرة مناسبة وحميه وأضيفي التوم وقلبيه حتى يصبح لونه ذهبيا ثم أضيفي الكزبرة الناشفة وقلبيها مع التوم دقيقتين أو 3 دقائق ثم أضيفي عليهم الباميا وقلبي الكل مدة 5 دقائق، في هذه المرحلة أضيفي دبس البندورة والبندورة مقطعة قطعا وسط لاكبيرة ولاصغيرة مع الملح وكوب ماء مغلي وقلبيهم جيدا وغطي الطنجرة مدة 30 دقيقة على نار هادئة حتى تستوي اللوبيا.
</t>
  </si>
  <si>
    <t>زيني طبق الباميا  بالفلفل الأخضر</t>
  </si>
  <si>
    <t>Images/Bamia_Bezit.jpg</t>
  </si>
  <si>
    <t>41</t>
  </si>
  <si>
    <t>كباب حلبي مشوي</t>
  </si>
  <si>
    <t xml:space="preserve">• كيلو كباب غنم ناعم جدا 
• ملعقة صغيرة ملح
• ملعقة صغيرة فلفل أسود
• نصف ملعقة صغيرة قرفة
</t>
  </si>
  <si>
    <t xml:space="preserve">اخلطي الكباب مع البهارات وادعكيها جيدا في صينية كبيرة حتى تختلط جيدا قبل أن تشكيها على السيخ.
اشوي بصل وطماطم وفليفلة حمراء وخضراء حارة أو حلوة معها </t>
  </si>
  <si>
    <t xml:space="preserve">حضري طبق من البصل والبقدونس ورشي عليه فليفلة حمراء ناعمة وسماق وافرشيه تحت الكباب </t>
  </si>
  <si>
    <t>لاتستغربين كيف أن الحلبية يأكلون الكباب بدون الكثير من التوابل ستتفاجأين بالطعم المميز لهذه الخلطة.</t>
  </si>
  <si>
    <t>Images/Kabab_Halabi.jpg</t>
  </si>
  <si>
    <t>42</t>
  </si>
  <si>
    <t>المعجنات</t>
  </si>
  <si>
    <t>عش البلبل</t>
  </si>
  <si>
    <t>مقادير العجينة  للتوريق: 
• 3  أكواب طحين.
• ملعقتين كبيرتين لبن زبادي بدرجة حرارة الغرفة.
• كوب وربع ماء دافئ يضاف بالتدريج، لأن اللبن سيعطي رطوبة أيضا.
• ملعقتين زيت نباتي.
• ملعقة صغيرة سكر.
• نصف ملعقة صغيرة ملح.
• سمن بلدي حيواني هو الأفضل لعش البلبل البقرة الحلوب البقري أو سمن غنم  للدهن والتوريق.
مقادير اللحمة : 
• 1  كيلو لحم غنم مفروم ناعم جدا مدهن 30% على الأقل.
• 2 بصلة صغيرة مفرومة ناعم جدا ويمكن فرمها مع اللحم عند اللحام (اختياري البصل ليس من عرف الحلبية في الثقافة الشعبية لأنه يعطي نفس نكهة اللحم بعجين، ولكن هناك من يحب البصل معه.
• نصف كوب دبس رمان (ثقيل وحامض(.
• نصف ملعقة طعام ملح
• ملعقة صغيرة 7 بهارات
• ملعقة صغيرة فلفل أسود
• 200 جرام صنوبر محمص</t>
  </si>
  <si>
    <t xml:space="preserve">طريقة تحضير العجينة: 
ضعي اللبن وكوب الماء والملح والسكر والزيت النباتي في وعاء بلاستيكي والبسي كفوف المطبخ وامزجي الخليط جيدا، أضيفي أكواب الطحين واحدا تلو الآخر وليس دفعة واحدة واعجني حتى يتجانس كل كوب مع السوائل، بعد انتهاء الطحين لو لاحظت أن العجينة مازالت سميكة وقاسية لدرجة لايتم فردها بسهولة بعد التخمر أضيفي ربع كوب الماء بالتدريج واعجني حتى تحصلين على عجينة مرنة وسهلة التعامل.
اتركي العجينة في كيس نايلون مغطاة ملفوفة ببشكير أو شيء يمنع وصول الضوء لها لثاني يوم سيساعدك هذا الموضوع جدا في توريق العجينة حيث ستصبح طوع يديك.
اتركي العجينة في كيس نايلون ملفوفة ببشكير لتمنعي عنها الضوء ويقوم اللبن بالتخمير الطبيعي للعجينة.
للتوريق اقطعي العجينة 4 قطع متساوية افرديها وضعي طبقة من السمنة بدرجة حرارة الغرفة واقلبي الطرف الثاني من العجينة عليها ثم رقيها بالشوبك حتى تصبح 3 أضعاف حجمها، كرري دهن السمن على الطبقة الجديدة التي فردتيها واقلبي طرف العجينة ليس أقل من 10 مرات.
ضعي القطعة على كيس نايلون وغطيها وكرري العملية مع القطع الباقية وضعيهم فوق بعض بفاصل نايلون واتركيهم ساعتين.
في اليوم التالي ذوبي السمن البلدي في وعاء عميق وقطعي العجينة قطعا صغيرة حسب رؤيتك للحجم وهو عمواما يجب ألا يتجاوز 7 سم في العادة الى 10 سم بحد أقصى ثم اغمسي العجينة بالسمنة وصفيها في صينية، غطي القطع بكيس نايلون ثم بشكير فوقه حتى ترتاح القطع لمدة لاتقل عن ساعتين.
رقي كل قطعة بحالها وشكليها على شكل دائرة متساوية وصفيها في صينية الفرن، ثم ضعي ملعقتين من الحشوة عليها وافرديها قليلا بالملعقة وعند ملء الصينية اضغطي على القطع بصينية فرن أخرى من الأعلى لكي يتوزع اللحم ويلتصق بالعجين تماما.
الفرن يجب أن يكون حامي وعلى أعلى حرارة عندك فوق وتحت ضعي الصينية في أول رف من الأسفل وراقبيها على الأغلب 15 دقيقة كافية ليتحمر ويقرمش عش البلبل. 
طريقة تحضير اللحمة: 
طريقة تحضير اللحمة: 
اخلطي كل المقادير الخاصة باللحمة في وعاء وادعكيها جيدا لتتوزع التوابل ودبس الرمان والبصل وتصبح متماسكة وضعي مقدار كرة البينج بونج على كل قطعة وافرديها لتغطي سطح العجينة الدائرية التي حضرتيها. 
</t>
  </si>
  <si>
    <t xml:space="preserve">افرشي طبق عش البلبل بالخس والخيار والبندورة ثم صفي عش البلبل في الوسط.
يمكنك تحضير طبق خيار باللبن أو عيران وعموما عش البلبل يحب الخضار مثل رشاد، بصل أخضر، فليفلة خضراء حارة. </t>
  </si>
  <si>
    <t>يمكنك استخدام عجينة القلاش أو البقلاوة الجاهزة في السوق ولكن لايمكن أن تعطيك نفس نتيجة عجينة المنزل المورقة يدويا، جربي الاثنين وقرري لمستقبل عش البلبل.</t>
  </si>
  <si>
    <t>Images/Esh_Elbulbul.jpg</t>
  </si>
  <si>
    <t>43</t>
  </si>
  <si>
    <t>عش البلبل عنتابي ( أحمر)</t>
  </si>
  <si>
    <t xml:space="preserve">• 1 كيلو لحم غنم مدهن 30% مفروم ناعم جدا
• 2 بندورة
• نصف باقة بقدونس حوالي 100 جرام
• ملعقتين دبس فليفلة حمرا
• نصف باقة نعناع أخضر حوالي 50 جرام
• 2 بصلة صغيرة مفرومة ناعم
• 2 ملعقة دبس بندورة
• ملعقة صغيرة ملح
• نصف ملعقة صغيرة فلفل أسود 
• نصف ملعقة صغيرة 7 بهارات
</t>
  </si>
  <si>
    <t>العجينة نفس عجينة عش البلبل بدبس الرمان، أما خلط اللحمة ضعي كل المكونات في مفرومة اللحمة على الوجه الناعم مرة واحدة.</t>
  </si>
  <si>
    <t>Images/Esh_Elbulbul_Entabi.jpg</t>
  </si>
  <si>
    <t>44</t>
  </si>
  <si>
    <t>لحم بعجين أسود أو بدبس الرمان البلدي)</t>
  </si>
  <si>
    <t xml:space="preserve">مقادير اللحم :
• 1 كيلو لحم غنم مدهن 30% مفروم ناعم جدا
• 2 بصلة كبيرة حوالي 250 الى 300 جرام
• كوب وربع دبس رمان
• ملعقة صغيرة ملح
• نصف ملعقة صغيرة فلفل أسود
• نصف ملعقة صغيرة 7 بهارات
</t>
  </si>
  <si>
    <t xml:space="preserve">طريفة تحضير العجينة: 
• 3 أكواب طحين متعدد الاستعمالات
•  2لعقة كبيرة لبن زبادي 
• كوب الى كوب وربع ماء دافئ يُضاف تدريجياً حتى تتماسك العجينة
• 2 ملعقة زيت نباتي إضافة بسيطة (اختيارية) للمساعدة في نعومة السطح
• ربع ملعقة صغيرة ملح 
</t>
  </si>
  <si>
    <t xml:space="preserve">افرشي طبق اللحم بعجين بالخس والخيار والبندورة ثم صفي عش البلبل في الوسط.
يمكنك تحضير طبق خيار باللبن أو عيران وعموما عش البلبل يحب الخضار مثل رشاد، بصل أخضر، فليفلة خضراء حارة. </t>
  </si>
  <si>
    <t>عجينة اللبن هي من أنجح العجائن التي جربتها للحم بعجين أفضل من الخميرة الفورية والباكينج باودر.</t>
  </si>
  <si>
    <t>Images/Images/Lahm_Beajeen_Baladi.jpg</t>
  </si>
  <si>
    <t>45</t>
  </si>
  <si>
    <t>لحم بعجين بالخضار العنتابي)</t>
  </si>
  <si>
    <t xml:space="preserve">مقادير اللحم 
• 1 كيلو لحم غنم مدهن 30% مفروم ناعم جدا
• 2 بصلة كبيرة حوالي 300 جرام
• 3 بندورة مفرومة ناعم
• باقة بقدونس
• 3 ملاعق دبس فليفلة حمرا
• نصف باقة نعناع أخضر
• ملعقة صغيرة ملح
• نصف ملعقة صغيرة فلفل أسود
• نصف ملعقة صغيرة 7 بهارات
• 3 ملعقة دبس بندورة
</t>
  </si>
  <si>
    <t>نفس عجينة اللحم بعجين البلدي .
طريقة تحضير اللحم للعنتابي: 
قشري البصل وافرميه ناعم ورشي عليه قليلا من الملح واتركيه نصف ساعة ثم اعصريه لتقليل السوائل في خليط اللحم، ثم أضيفي باقي المكونات في وعاء البقدونس المفروم والبندورة والنعناع الأخضر والتوابل ودبس الفليفلة وادعكي المكونات جيدا حتى تتجانس وتصبح لونا واحدا وقطعي قطعا بحجم كرة التنس وافرديها على العجينة التي يجب أن تكوني سبق ورقيتيها بقياس لايزيد عن قطر 15 الى 20 سم، افردي اللحم بالملعقة على كل الأقراص في صينية الفرن بعد دهنها بقليل من الزيت واضغطي على اللحم بصينية الفرن الأخرى لكي تلتصق اللحم بالعجينة تماما.</t>
  </si>
  <si>
    <t>Images/Lahm_Beajeen_Entabi.jpg</t>
  </si>
  <si>
    <t>46</t>
  </si>
  <si>
    <t xml:space="preserve">كباب باتنجان في الفرن أو شوي على الفحم </t>
  </si>
  <si>
    <t xml:space="preserve">• كيلو كباب غنم مدهن 30% على الأٌقل مفروم ناعم جدا
• كيلو باتنجان بلدي أسود صغيرة وليس عريض
• كيلو بندورة حمراء قاسية وليست مستوية
• ملعقة صغيرة فلفل أسود
• نصف ملعقة صغيرة قرفة
• ملعقة صغيرة 7 بهارات
• ملعقة صغيرة ملح للكباب ونصف ملعقة صغيرة للباتنجان والبندورة
• ملعقتين سمنة
</t>
  </si>
  <si>
    <t xml:space="preserve">قطعي الكباب أو اللحم المفروم ناعم ومتبل بالبهارارت المذكورة ومدعوك جيدا الى قطع صغيرة حوالي 50 جرام بحجم قبضة يدك مغلقة وصفيهم في صينية لحين الاستخدام.
اغسلي الباتنجان والبندورة وقطعيهم دوائر سميكة 3 سم ورشي عليهم الملح وفلفل أسود 
حضري صينية الفرن وامسحيها بالسمنة ثم ضعي كل قطعة لحمة بين قطعة باتنجان وقطعة بندورة وصفيهم بجانب بعضهم البعض في صينية الفرن المناسبة لك، وغطيها بورق ألمونيوم.
على أعلى حرارة في فرنك ضعي الصينية على الرف الأول من الأسفل واتركيها ساعة مغطاة ، ثم اكشفي الصينية واتركيها نصف ساعة أخرى لتأخذ وجه تحمير.
الشوي على الفحم : 
في حال حبيت تشوي كباب الباتنجان على الفحم أحضري سياخ عريضة وضمي كل مجموعة كباب بين بندورة وباتنجان معا في السيخ وانتبهي ألا تتركي النار تشتعل على الكباب لكي لايحترق ويجب أن يأخذ وقته ليستوي الباتنجان والبندورة. 
</t>
  </si>
  <si>
    <t>حضري طبق سلطة ورز أبيض مع هذه الأكلة فهو لايحتاج زينة شكله زينة في الصينية</t>
  </si>
  <si>
    <t xml:space="preserve">الكثير يشوي الكباب مع الباتنجان بدون بندورة ولكن بتجربتي وجدت أن البندورة تعطي رطوبة للباتنجان وتجعله يستوي بشكل أفضل وبجميع الأحوال الباتنجان والكباب يحبون البندورة معهم في كل الأكلات.
</t>
  </si>
  <si>
    <t>Images/Kabab_Batenjan.jpg</t>
  </si>
  <si>
    <t>47</t>
  </si>
  <si>
    <t>كباب حلبي بالصينية في الفرن</t>
  </si>
  <si>
    <t>نص ساعة</t>
  </si>
  <si>
    <t xml:space="preserve">• كيلو كباب 
• بصلة صغيرة
• نصف باقة بقدونس
• ملعقة صغيرة ملح
• ملعقة صغيرة فلفل أسود
• ملعقة صغيرة قرفة مطحونة
</t>
  </si>
  <si>
    <t>هذه الأكلة للسرعة في حال ليس عندك وقت ممكن يكون عندك كباب جاهز في الفريزر فقط ادعكي الكباب بعد الفريزر لكي يصبح مرنا وافرديه في صينية الفرن بسماكة 2 سم وضعيه على الرف الأسفل في فرن حامي مدة ساعة وانتهت الطبخة.</t>
  </si>
  <si>
    <t>ممكن أن تزيني صينية الكباب بالفلفل الأخضر والأحمر بعد الاستواء</t>
  </si>
  <si>
    <t>هذه الأكلة تؤكل غمسا بالخبز، ونحن في حلب نحب أن نأكل الكباب كما هو دون اضافات لكي نشعر بطعم اللحم الحقيقي لأن أي اضافات على اللحم مثل البندورة والبصل والفلفل سيغير النكهة.</t>
  </si>
  <si>
    <t>Images/Kabab_Beseineih.jpg</t>
  </si>
  <si>
    <t>48</t>
  </si>
  <si>
    <t>كباب بالصينية مع البندورة والفليفلة</t>
  </si>
  <si>
    <t xml:space="preserve">• كيلو كباب 
• بصلة صغيرة داخل الكباب
• نصف باقة بقدونس داخل الكباب
• نصف كيلو بندورة
• 1 فلفل أخضر حار أو حلو حسب الرغبة
• 1 فلفل أحمر حار أو حلو حسب الرغبة
• ملعقة صغيرة ملح
• ملعقة صغيرة فلفل أسود
• ملعقة صغيرة قرفة مطحونة
</t>
  </si>
  <si>
    <t>اغسلي البندورة والفليفلة وشرحيهم بسماكة 2 سم واتركيهم جانبا.
ادعكي الكباب جيدا  لكي يصبح مرنا وافرديه في صينية الفرن بسماكة 2 سم وقطعيه الى قطع مثلثات ان كانت الصينية دائرية أو مربعات ان كانت مستطيلة، صفي البندورة والفليفلة على وجه الكباب ورشي قليلا من الملح وقليلا من الفلفل الأسود وضعيه على الرف الأسفل في فرن حامي مدة ساعة وهو مغطي بورق الألمونيوم، ارفعي الغطاء واتركيها نصف ساعة أخرى لكي تأخذ لون وتجف السوائل منها .</t>
  </si>
  <si>
    <t>حضري طبق أرز أبيض أو بشعيرية حسب الرغبة</t>
  </si>
  <si>
    <t>هذه الأكلة في حلب تؤكل غمسا بالخبز</t>
  </si>
  <si>
    <t>Kabab_Beseinieh_Belbanadora.jpg</t>
  </si>
  <si>
    <t>49</t>
  </si>
  <si>
    <t>سلق محشي</t>
  </si>
  <si>
    <t xml:space="preserve">
• 4 كيلو سلق
• 4 كوب رز مصري أو أي رز قصير
• كيلو لحم 
• 3 بندورات بالخلاط
• 3 ملاعق دبس بندورة 
• باقة بقدونس مفروم 
• ملعقة صغيرة ملح
• ملعقة صغيرة فلفل أسود
• ملعقة صغيرة 7 بهارات
• نصف ملعقة قرفة مطحونة
• 3 ملاعق سمنة
المقادير للمرقة: 
• عظام غنم 
• ملعقتين توم مدقوق
• 3 ملاعق دبس بندورة
• 3 ليتر ماء مغلي
• ملعقة طعام ملح
• ملعقة طعام ملح ليمون أو عصير 5 ليمونات
• ملعقة طعام نعناع يابس
</t>
  </si>
  <si>
    <t xml:space="preserve">تحضير السلق:
السلق نبات حساس للغاية لذا يجب عدم سلقة بل تقطيع الورق وتصفيفه في وعاء عميق وصب ماء ساخن عليه وتغطيته ساعة سيذبل ويبقى متماسكا وتستطيعين لفه بسهولة.
لحين أن يذبل السلق انقعي الرز بالبندورة المخلوطة بالخلاط واتركيه لحين البدء باللف.
تحضير الحشوة: 
ضعي الرز في وعاء بلاستيكي واخلطيه مع اللحم والبهارات ودبس البندورة مع كوب ماء حتى يكون رطبا ويستوي داخل السلق، ابدأي بلف ورق السلق مثل الملفوف لايحتاج الى اغلاق الأطراف وان كان هناك حافة يمكن ثنيها من الطرف للداخل، ولاحظي أن ورق السلق كبير يجب تقطيع كل ورقة الى قطع صغيرة حسبما تحبين ولاتجعليها طويلة لأن السلق لايحتمل الحمل وممكن أن تنكسر بيد الشخص الذي يأكل ومن الأفضل أن تلفيها ثخينة وقصيرة.
المرقة: 
قبل البدء باللف حضري طنجرة مناسبة وضعي فيها العظام ودبس البندورة والبهارات والتوم في القاع ثم ابدأي باللف وصف السلق فوق العظام حتى تنتهي.
صبي الماء المغلي على السلق بعد أن تضعي طبق مقلوب عليه حتى لايهتز بالغليان ويخرج الرز منه أثناء الطبخ.
</t>
  </si>
  <si>
    <t xml:space="preserve">زيني طبق المحشي بقطع من الفلفل الأخضر على شكل حلقات أو فجل </t>
  </si>
  <si>
    <t>هذه الأكلة موسمية لاتشتري السلق الا في الموسم لأنه يكون مناسب للف ورخيص، السلق في غير موسمه مزروع في بيوت بلاستيكية ولايحتمل الطبخ بهذه الطريق ممكن أن تطبخيه طنبورة أو سلق بالزيت.</t>
  </si>
  <si>
    <t>Images/Selq_Mehshi.jpg</t>
  </si>
  <si>
    <t>50</t>
  </si>
  <si>
    <t>سلق مقلى بزيت الزيتون</t>
  </si>
  <si>
    <t xml:space="preserve">• 1 كيلو سلق
• كوب زيت زيتون
• 2 بصلة متوسطة 300 جرام
• ملعقة صغيرة ملح
• ملعقتين طعام فليفلة حمراء مطحونة
• ملعقة صغيرة فلفل أسود
</t>
  </si>
  <si>
    <t xml:space="preserve">مشطي عض السلق واقطعيه من المنتصف وافرميه بالكامل مع الورق، انقعيه بالماء ربع ساعة ثم اسحبيه الى مصفاة بيديك لاتفرغي السلق مع الماء لأن الرمال ستعود وتلتصق به سحبه بيديك هو الحل الأمثل لعدم عودة الرمال.
ضعي السلق في طنجرة وطبي عليه ليتر ماء مغلي واجعليه يغلي 10 دقائق حتى يذبل، صفيه في مصفاة واتركيه جانبا لحين البدء بالطبخة، لاتعصري السلق.
قشري البصل وافرميه ناعم وضعي زيت الزيتون في وعاء على النار وقلبيه حتى يصبح لونه ذهبيا فاتحا ثم ضيفي عليه السلق وقلبيه جيدا وأضيفي الملح والبهارات واتركيه مغطى حوالي ربع ساعة.
</t>
  </si>
  <si>
    <t>هذه الأكلة مقبلات أو وجبة حسب رغبتك زينيها بالفجل المقطع والفلفل الأحمر</t>
  </si>
  <si>
    <t>أكلة من التراث كانت تؤكل في ليالي الشتاء الباردة حيث تنحصر الخضروات في هذه الموسم بالخضروات الشتوية فقط.</t>
  </si>
  <si>
    <t>Images/Selq_Mqala.jpg</t>
  </si>
  <si>
    <t>51</t>
  </si>
  <si>
    <t>مقبلات</t>
  </si>
  <si>
    <t xml:space="preserve">سلطة السلق باللبن والتوم </t>
  </si>
  <si>
    <t>نصف ساعة</t>
  </si>
  <si>
    <t xml:space="preserve">• عندما تشترين سلق للمحشي اقطعي العض القاسي ولاترميه، بل مشطيه وافرميه واعملي منه أحلى سلطة باللبن والتوم.
• بعد غسل عضوض السلق اسلقيها جيدا حتى تستوي للنهاية وصفيها من الماء واتركيها تبرد.
• نصف كيل لبن زبادي
• نصف ملعقة صغيرة ملح
• ملعقة توم مدقوق ناعم جدا
• ملعقة صغيرة نعناع يابس
</t>
  </si>
  <si>
    <t>ضعي اللبن في وعاء واخلطيه جيدا بالملح والتوم والنعناع اليابس ثم أضيفي السلق وقلبيه حتى يمتزج جيدا.</t>
  </si>
  <si>
    <t>الكمية كمقبلات تكفي 6 أشخاص</t>
  </si>
  <si>
    <t>هو شكله زينة</t>
  </si>
  <si>
    <t>هذه الأكلة مبتكرة لتوفير النقود باستخدام عضوض السلق بدلا من رميه</t>
  </si>
  <si>
    <t>Selq_Blaban.jpg</t>
  </si>
  <si>
    <t>52</t>
  </si>
  <si>
    <t>ملفوف محشي</t>
  </si>
  <si>
    <t xml:space="preserve">
• 4 كيلو ملفوف رأس كبير
• 4 كوب رز مصري أو أي رز قصير
• كيلو لحم 
• 3 بندورات بالخلاط
• 3 ملاعق دبس بندورة 
• باقة بقدونس مفروم 
• ملعقة صغيرة ملح
• ملعقة صغيرة فلفل أسود
• ملعقة صغيرة 7 بهارات
• نصف ملعقة قرفة مطحونة
• 3 ملاعق سمنة
المقادير للمرقة: 
• عظام غنم 
• ملعقتين توم مدقوق
• 3 ملاعق دبس بندورة
• 3 ليتر ماء مغلي
• ملعقة طعام ملح
• ملعقة طعام ملح ليمون أو عصير 5 ليمونات
• ملعقة طعام نعناع يابس
</t>
  </si>
  <si>
    <t xml:space="preserve">تحضير الملفوف:
أنا جربت نزع ترس رأس الملفوف بتدوير السكين حوله وسحبه ثم سحب الورق واحدة واحدة وتطبيقه ثم سلقه ووجدت هذه الطريقة متعبة ومجهدة للصحة.
الطريقة الثانية هي وضع رأس الملفوف بالكامل بعد نزع الترس في الماء المغلي وغليه 5 دقائق ثم سحبه من الماء ونسل الورق الذي استوى وأصبح طريا ثم اعادة الرأس الى الماء المغلي لاستكمال الغليان وسحب الورق وهكذا.
الطريقة الثالثة هي قطع الجزر الحلوي من الرأي مقدار 5 سم بعد الترس ثم تفريغ الباقي من الترس ووضعه كله في ماء مغلي هذه الطريقة تسمح بوصول الماء الى الداخل لكي يسلق الرأس بالكامل بالتساوي، وان وجدت بعض الورقات لم يكتمل تذبيلها وسلقها أعيديها للماء.
الطريقة الرابعة هي تقطيع الرأس 3 قطع متساوية سحب الترس ووضع كل ربع في كيس نايلون وبخه بالماء ووضعه في المايكرويف 5 دقائق وكرري العملية لباقي الأجزاء، هذه أسهل طريقة وأٌقل تعبا لربة المنزل.
تحضير الحشوة: 
ضعي الرز في وعاء بلاستيكي واخلطيه مع اللحم والبهارات ودبس البندورة مع كوب ماء حتى يكون رطبا ويستوي داخل الملفوف ابدأي بلف الملفوف لايحتاج الى اغلاق الأطراف وان كان هناك حافة يمكن ثنيها من الطرف للداخل،  الأفضل أن تلفيها ثخينة وقصيرة.
المرقة: 
قبل البدء باللف حضري طنجرة مناسبة وضعي فيها العظام ودبس البندورة والبهارات والتوم في القاع ثم ابدأي باللف وصف الملفوف فوق العظام حتى تنتهي.
صبي الماء المغلي على الملفوف بعد أن تضعي طبق مقلوب عليه حتى لايهتز بالغليان ويخرج الرز منه أثناء الطبخ.
</t>
  </si>
  <si>
    <t>زيني طبق المحشي بقطع الفليفلة الخضراء أو الحمراء والفجل</t>
  </si>
  <si>
    <t>كما سبق وأخبرتكم في تحضير ورق العنب نحن في سوريا نربط المحاشي الصغيرة مثل السلق والملفوف وورق العنب في حزم يسهل حملها ويحمي المحشي من أن يفتح في الطنجرة.</t>
  </si>
  <si>
    <t>Images/Malfouf_Mehshi.jpg</t>
  </si>
  <si>
    <t>53</t>
  </si>
  <si>
    <t>حمص بالطحينة</t>
  </si>
  <si>
    <t xml:space="preserve">• حمص حب نص كيلو
• عصير ليمونتين وسط
• ملعقة صغيرة كمون مطحون
• ملعقة صغيرة ملح
• 5 ملاعق طحينة
• زيت زيتون للزينة واغناء الطعم عند الغمس
</t>
  </si>
  <si>
    <t xml:space="preserve">أهم خطوة في الحمص هو النقع مدة 24 ساعة على الأكثير مع ملعقة كربونات الصودا لكي تجعل الحمص كريمي بعد الطحن.
ثاني يوم اغسلي الحمص من الكربونات تماما مرتين او 3 مرات وارمي الماء وضعي ماء نظيف 3 أضعاف كمية الحمص وضعيه
 على نار مرتفعة حتى يغلي ومن ثم اخفضي النار للدرجة التي يبقى فيها الغليان بطيء ولكن يغلي واتركيه حوالي ساعتين اتركي الحمص ليبرد تماما في الثلاجة لثاني يوم أفضل أو أقل شيء 5 ساعات.
ضعي الحمص في وعاء بلاستيكي عميق مدور حتى يصل الى نصف الوعاء مع قليل من ماء السلق الخاص بالحمص لاترميها  ولاتصفي الحمص، أضيفي عصير الليمون والملح والكمون وابدأي بالخلاط اليدوي على السرعة البطيئة واخلطي المزيج جيدا ثم  سرعي الخلاط واخلطي الحمص من فوق لتحت وبتحريك الخلاط على كل الأجزاء الخاصة بالوعاء لكي يطحن جميع حبات الحمص  وتصبح كريمية لو كان الحمص كثيف والخلاط لايطحنه بشكل جيد أضيفي مكعبين ثلج على الحمص واطحنيهم حتى يصبح كريمي ثم  أضيفي الطحينة على الخليط واخلطي مجددا حتى يتشكل لديك طبق كما في الصورة ناعم ولونه أصفر يسر الناظرين. </t>
  </si>
  <si>
    <t xml:space="preserve">• يمكن أن تزيني الحمص بالفجل المقطع بطريقة فنية.
• زيت زيتون جيد على وجه الطبق كالصورة.
</t>
  </si>
  <si>
    <t>معظم الناس يشترون الحمص المعلب، والمطبخ الحلبي لاينصح به لأن طعم الحفظ يبقى واضحا  أثناء التحضير مهما أضفت له من اضافات ليصبح كالحمص المحضر في المنزل، لذا ينصحكم المطبخ الحلبي دائما بتحضيره في المنزل.
بالاضافة الى أن الحمص في البيت أوفر ماديا.</t>
  </si>
  <si>
    <t>Images/Hummus_Bethineh.jpg</t>
  </si>
  <si>
    <t>54</t>
  </si>
  <si>
    <t>السلطات</t>
  </si>
  <si>
    <t>تبولة</t>
  </si>
  <si>
    <t xml:space="preserve">•  250 غرام بقدونس مفروم ناعم بقطر لايتجاوز 3 مم.
• بصلة خضراء مفرومة ناعم
• ملعقتين طعام برغل ناعم أبيض منقوع بالليمون والزيت والماء.
• 2 بندورة متوسطة مفرومة ناعم جدا.
• نعناع اخضر مفروم ناعم ان وجد استبدليه بربع ملعقة نعناع ناشف اذا لم يكن موجودا  لديك.
• ربع ملعقة صغيرة ملح .
• نصف كوب عصير ليمون
•  ربع كوب زيت زيتون.
</t>
  </si>
  <si>
    <t>انقعي البقدونس قبل فرمه بالماء وضعي ملعقة ربع كوب خل أبيض واتركيه ربع ساعة منقوع حتى تزول كل أنواع البكتيريا فيه والتراب العالق به من الأرض.
اسحبي البقدونس من الماء سحبا بيديك وليس تصفيه بالمصفاة واشطفيه جيدا غرقيه بالماء النظيف بعد الخل مدة دقيقتين وافتحيه على فوطة مطبخ نظيفة حتى يجف ثم افرميه.
اغسلي البندورة والبصل الأخضر والنعناع الأخضر جيدا قبل فرمهم قطع صغيرة ناعمة.
اخلطي كل المكونات مع الزيت والليمون .</t>
  </si>
  <si>
    <t>قشري بندورة قشر رقيق بالتدوير حولها لتحصلي على شريط أحمر طبيعي ولفيه ليصبح شكل وردة تزيني طبق التبولة.</t>
  </si>
  <si>
    <t>انتبهي التبولة بتملح بسهولة لازودي الملح ودعيه للعائلة تحدد ان كانوا يريديون اضافة ملح.</t>
  </si>
  <si>
    <t>Images/Tabbouleh.jpg</t>
  </si>
  <si>
    <t>55</t>
  </si>
  <si>
    <t>فتوش</t>
  </si>
  <si>
    <t xml:space="preserve">• 1 بندورة متوسطة
• ورقتين خس
• بصلة خضراء
•  3 فحلات وسط
• شريحة فليفلة خضراء
• رشة بقدونس ناعم
• نعناع اخضر ان وجد
• نصف خيارة ان كانت كبيرة
• خبز محمص
• عصير 3 ليمونات ليمون أو ربع ملعقة ملح ليمون
• ربع ملعقة صغيرة  ملح 
• ربع ملعقة كمون مطحون
• زيت زيتون جيد
•  ملعقتين دبس رمان (اختياري)
•  ملعقة سماق مطحون (اختياري)
</t>
  </si>
  <si>
    <t>انقعلي الخضروات بربع كوب خل أبيض مدة 10 دقائق واتركيها تصفى من الماء ثم تفرم  قطع متوسطة الحجم ومن ثم يتم تقليبها مع الملح والليمون وزيت الزيتون.</t>
  </si>
  <si>
    <t>زيني طبق الفتوش بالخبز المحمص بالزيت بعد أن تقصيه مربعات صغيرة بالمقص</t>
  </si>
  <si>
    <t>الفتوش مرن في مكوناته ممكن أن تضعي فيه أي خضار موسم متوفرة مثل البقلة (الحميضة)، الفجل، بصل يابس ان لم يتوفر الأخضر .
لكي يكون طبق السلطة مفضل لعائلتك اتبعي قاعدتين أساسيتين المكونات الصلبة مثل الخيار والبندورة يكون حجمها متوسط، أما البقدونس والبصل والفجل والمنكهات القوية تكون ناعمة لتكون مثل التوابل وهكذا ستحصلين على نكهة رائعة ومذاق عظيم تحت ضرسك.
أنا شخصيا لاأفضل دبس الرمان أو السماق مع الفتوش أشعر بأنهما يغيران طعم الخضروات بطريقة غير محببة والأكل أذواق.
أنا أفضل عصير الليمون أو ملح الليمون للسلطة والفتوش دون اضافات كثيرة تغير نكهة الخضار.</t>
  </si>
  <si>
    <t>Images/Fattoush.jpg</t>
  </si>
  <si>
    <t>56</t>
  </si>
  <si>
    <t>سلطة الملفوف</t>
  </si>
  <si>
    <t xml:space="preserve">• حوالي 300 جرام ملفوف ربع رأس وسط
• ربع جزرة مبشورة.
• 3 ملاعق كبيرة مايونيز
• ربع ملعقة صغيرة ملح 
•  ملعقة كبيرة سكر
• عصير نصف ليمونة
</t>
  </si>
  <si>
    <t xml:space="preserve">اغسلي الملفوف وافرميه شرائح رفيعة ثم قطعي الشرائح ليصبح ناعم جدا بقطر لايتجاوز 5 مم.
يبشر الجزر قطع صغيرة ببشارة الجزر الناعمة.
يضاف الجزر على الملفوف اولا ويخلط جيدا بفركه بيدك ثم الملح والسكر وبعدها الليمون ويحرك جيدا ثم يضاف المايونيز.
</t>
  </si>
  <si>
    <t xml:space="preserve">يزين بالنعناع الأخضر </t>
  </si>
  <si>
    <t>Images/Salata_Malfouf.jpg</t>
  </si>
  <si>
    <t>57</t>
  </si>
  <si>
    <t>المايونيز</t>
  </si>
  <si>
    <t>ربع ساعة</t>
  </si>
  <si>
    <t xml:space="preserve">• كوب زيت مازولا زيت الذرة حصرا
• بيضة نية
• عصير نصف ليمونة
• رشة ملح صغيرة
• رشة فلفل أسود
• رشة فلفل أبيض
• كوب زيت مازولا زيت الذرة حصرا
• بيضة نية
• عصير نصف ليمونة
• رشة ملح صغيرة
• رشة فلفل أسود
• رشة فلفل أبيض
</t>
  </si>
  <si>
    <t>امسكي الخلاط اليدوي وثبتيه في قاع الكوب أو الوعاء الذي فيه الزيت دون أن تحركي يدك، وشغليه على السرعة المنخفضة مدة دقيقة كاملة ستلاحظين بأن الزيت بدأ يتجمد في الأسفل في هذه المرحلة ارفعي يدك الى الأعلى بالتدريج وببطء حتى تصلي لأعلى الزيت عندئذ ابدأي بالحركة البطيئة من فوق لتحت ومن تحت لفوق لحين تجمد كامل الزيت، وهكذا تحصلين على مايونيز صحي منزلي بدون مواد حافظة وطازج للاستخدام في سلطة الملفوف.</t>
  </si>
  <si>
    <t>جربي ولو مرة واحدة عمل المايونيز في البيت ولن تشتريه بعد ذلك.</t>
  </si>
  <si>
    <t>Images/Mayonaise</t>
  </si>
  <si>
    <t>58</t>
  </si>
  <si>
    <t xml:space="preserve"> سلطة الخضار بالمايونيز</t>
  </si>
  <si>
    <t xml:space="preserve">• 1 بطاطا مسلوقة
• نصف كوب بازلاء مسلوقة
• ربع جزرة  مبشورة خشن
• بصلة خضراء مقطعة قطع صغيرة
• 3 ملاعق كبيرة مايونيز
• عصرة ليمون
• نصف ملعقة صغيرة ملح
</t>
  </si>
  <si>
    <t xml:space="preserve">تقطع البطاطا المسلوقة مكعبات متوسطة الحجم حوالي 2 سم للقطر، وكذلك يبشر الجزر .
تضاف الخضروات على بعض ثم تخلط مع الملح والليمون والمايونيز
</t>
  </si>
  <si>
    <t>تزين بالنعناع الأخضر وورق البقدونس</t>
  </si>
  <si>
    <t>سلطة مميزة ورائعة ولن تجديها على كثير من طاولات الأسر جربيها.
ان أحببت استبدال البازلاء بالفول الأخضر المسلوق ممكن، أو بالفاصوليا الخضراء أيضا.</t>
  </si>
  <si>
    <t>Images/Salata_Khodar.jpg</t>
  </si>
  <si>
    <t>59</t>
  </si>
  <si>
    <t>المقبلات , أكلات باللبن الزبادي</t>
  </si>
  <si>
    <t xml:space="preserve">بابا غنوج </t>
  </si>
  <si>
    <t xml:space="preserve">• نصف كيلو باذنجان مشوي أو علبة باتنجان مشوي فقط 250 جرام.
• بندورة وسط
•  بصلة وسط
• ملعقة كبيرة ثوم مطحون
• نصف ملعقة صغيرة كمون مطحون
• نصف ملعقة صغيرة ملح
• عصير ليمونتين أو ملعقة صغيرة ملح ليمون
• ربع كوب دبس رمان
• ربع ملعقة صغيرة نعناع يابس
• ربع ملعقة صغيرة فلفل أسود
• ربع ملعقة صغيرة فليفلة حمراء ناعمة
• ربع كوب حبوب رمان
</t>
  </si>
  <si>
    <t>دقي الباتنجان بالهاون حتى يتفتت بعد الشوي ويصبح قطعا صغيرة بعض الشيء.
افرمي البندورة والبصل قطعا مربعة صغيرة ثم اخلطي كل المكونات حتى تتجانس.</t>
  </si>
  <si>
    <t>يزين بورق بالنعناع الأخضر وحبوب الرمان الحامض</t>
  </si>
  <si>
    <t>Images/Baba_Ghannouj.jpg</t>
  </si>
  <si>
    <t>60</t>
  </si>
  <si>
    <t>متبل</t>
  </si>
  <si>
    <t xml:space="preserve">• نصف كيلو باذنجان مشوي أو علبة متبل 250 جرام.
• 100 غرام لبن
• 100 غرام طحينة او 4 ملاعق طعام
• ملعقة كبيرة ثوم مطحون
• ملعقة كبيرة كمون مطحون
• نصف ملعقة صغيرة ملح
• ملعقة صغيرة ملح ليمون
• ربع ملعقة صغيرة نعناع
• ربع ملعقة صغيرة فلفل أسود
• ربع ملعقة صغيرة فليفلة حمراء ناعمة
</t>
  </si>
  <si>
    <t xml:space="preserve">يهرس الباذنجان المشوي جيدا حتى يصبح مثل الكريم، تضاف جميع المواد على بعض عدا الطحينة، تخلط جيدا ثم يتم تذوق الطعم لضبطه، يجب أن يكون مخلوط جيدا ومتجانس مع اللبن، ثم تضاف الطحينة في الآخر وتخلط جيدا.
</t>
  </si>
  <si>
    <t xml:space="preserve">
يزين بالبندورة والبقدونس المفرومين جيدا ووردة في الوسط، أو بندورة مفرومة في الوسط.</t>
  </si>
  <si>
    <t>Images/Mutabbal.jpg</t>
  </si>
  <si>
    <t>61</t>
  </si>
  <si>
    <t>فول مدمس بطحينة الخلطة الحلبية</t>
  </si>
  <si>
    <t xml:space="preserve">• تستطيعين استخدام الفول المعلب فهو لايختلف كثيرا عن الفول المسلوق في البيت: 
• 2 علبة فول مدمس صيني وهو الأفضل بين كل أنواع الفول المدمس الجاهز.
• ملعقة طعام توم مدقوق ناعم
•  3 ملاعق طعام طحينة
• عصير ليمونتين أو ربع ملعقة ملح ليمون
• ربع ملعقة صغيرة كمون
• ربع ملعقة صغيرة نعناع يابس
• ربع ملعقة صغيرة فلفل أسود
• ربع ملعقة صغيرة ملح
• ربع كوب زيت زيتون جيد
• بصلة صغيرة مفرومة ناعم
• بندورة وسط مفرومة ناعم
• بقدونس نصف كوب مفروم ناعم
</t>
  </si>
  <si>
    <t>سخني الفول ودعيه يغلي 10 دقائق لتتخلصي من طعم التعليب ولاترمي الماء الذي فيه ولاتغسليه، وضعيه  في وعاء الخلط بلاستيكي مجوف هو الأفضل ضيفي الليمون والتوم واخلطيه جيدا ثم التوابل والملح واخلطي جيدا ثم الطحينة وحركي جيدا لتتجانس مع الليمون وماء الفول وتصبح كريمية القوام.
ضعي الفول في طبق التقديم ورشي عليه البقدونس ثم البصل المفروم في الوسط ثم البندورة المفرومة وصبي الزيت بالتساوي على الوجه واستمتعي بأطيب خلطة فول أكلتيها.</t>
  </si>
  <si>
    <t>زيني الطبق كما شرحت بالقدونس المفروم والبندورة والبصل الناعم 
نعناع ورق، فليفلة حارة أو حلوة، فجل، خيار (للأكل بجانب طبق الفول)</t>
  </si>
  <si>
    <t>ممكن أن تسلقي كيلو فول في البيت فهو أوفر بكثير سينتج لك حوالي 10 علب من التي في السوق لو كان لديك عائلة كبيرة وتحبون الفول بشكل دائم على مائدتك، القاعدة في سلق الفول هو الغسيل والنقع 24 ساعة بملعقة كربونات ثم تغسليه ثانية جيدا من الكربونات في اليوم التالي وتضعيه في طنجرة عميقة وعلى الفول حوالي 4 أضعافه من الماء وتحكمي غطاء الطنجرة ودعيه يغلي ثم خفضي النار الى الدرجة التي تجعله يغلي ببطء شديد تاكدي أنه يغلي.
اتركيه يغلي 6 ساعات وستحصلين على فول مدمس منزلي، ويمكن أن تضيفي عليه ربع كيلو عدس أحمر يعطيه تماسكا ونكهة رائعة، وكذلك يمكنك اضافة نصف كيلو حمص عليه ان كنت تحبين خلط الفول بالحمص.</t>
  </si>
  <si>
    <t>Images/Foul_Mdammas_Bethaineh.jpg</t>
  </si>
  <si>
    <t>62</t>
  </si>
  <si>
    <t>فول مدمس  الخلطة الشامية</t>
  </si>
  <si>
    <t xml:space="preserve">• تستطيعين استخدام الفول المعلب فهو لايختلف كثيرا عن الفول المسلوق في البيت: 
• 2 علبة فول مدمس صيني وهو الأفضل بين كل أنواع الفول المدمس الجاهز.
• ملعقة طعام توم مدقوق ناعم
• عصير 3 ليمونات أو نصف ملعقة ملح ليمون
• ربع ملعقة صغيرة كمون
• ربع ملعقة صغيرة نعناع يابس
• ربع ملعقة صغيرة فلفل أسود
• ربع ملعقة صغيرة ملح
• ربع كوب زيت زيتون جيد
• بصلة صغيرة مفرومة ناعم
• بندورة وسط مفرومة ناعم
• بقدونس نصف كوب مفروم ناعم
</t>
  </si>
  <si>
    <t>سخني الفول ودعيه يغلي 10 دقائق لتتخلصي من طعم التعليب ولاترمي الماء الذي فيه ولاتغسليه، وضعيه  في وعاء الخلط بلاستيكي مجوف هو الأفضل ضيفي الليمون والثوم واخلطيه جيدا ثم التوابل والملح واخلطي جيدا .
ضعي الفول في طبق التقديم ورشي عليه البقدونس ثم البصل المفروم في الوسط ثم البندورة المفرومة وصبي الزيت بالتساوي على الوجه.</t>
  </si>
  <si>
    <t>زيني الطبق كما شرحت بالقدونس المفروم والبندورة والبصل الناعم
نعناع ورق، فليفلة حارة أو حلوة، فجل، خيار (للأكل بجانب طبق الفول)</t>
  </si>
  <si>
    <t>الخلطة الشامية خفيفة على المعدة أكثر من الحلبية بسبب قلة الدهون والطحينة تعطي دسامة عالية للفول.</t>
  </si>
  <si>
    <t>63</t>
  </si>
  <si>
    <t>المحمرة الحلبية</t>
  </si>
  <si>
    <t>• ربع كيلو دبس أو هريس الفليفلة الحمراء
• ملعقتين طعام سمسم محمص
• ملعقة طعام حبة البركة
• ملعقة صغيرة نعناع
• ربع ملعقة صغيرة فلفل أسود
• ملعقتين كعك مدقوق
• 3 ملاعق دبس رمان
• ربع ملعقة صغيرة ملح
• ربع ملعقة صغيرة كمون مطحون
• 3 ملاعق زيت زيتون
• نصف كوب ماء
• جوز قطع على وجه الطبق</t>
  </si>
  <si>
    <t xml:space="preserve">يتم نقع هريس الفليفلة بالماء وخلطه جيدا ويترك في البراد قبل بيوم من تحضيرة لكي تتفتح الفليفلة وتستعيد الطعم الطازج،  ثم تضاف جميع المواد وتخلط جيدا ويتم تذوق الطعم ثم تغطى بزيت الزيتون .
توزع في الصحن وتضلع بالملعقة لتعطي شكلا جميلا حسب الصورة ثم تزين بالجوز المكسر.
</t>
  </si>
  <si>
    <t>زيني طبق المحمرة بالسمسم والجوز</t>
  </si>
  <si>
    <t>ان كنت تريدين تحضير دبس الفليفلة في المنزل وأنت تعيشين في منطقة باردة ليس فيها شمس، أحضري 5 كيلو فليفلة حلوة أو حارة حسبما ترغبين، اسحبي البزر منها لاتغسليها امسحيها بقطعة قماش ان كان عليها غبار.
صفي الفليفلة في صينية الفرن الداخل للأسفل عدة طبقات في الصينية على قدر ماتحتمل، حمي الفرن ربع ساعة على أعلى حرارة ثم خفضيها الى 70 درجة وضعي الصينية في أرضية الفرن واتركيها وبعد 3 ساعات سيخرج منها ماء اسحبي الصينية وصفي الماء من الفليفلة في مصفاة أعيديها للفرن وكرري العملية حتى تحصلين على فليفلة ناشفة تقريبا ولكنها طرية.
اتركيها تبرد ومكشوفة لتاني يوم ثم اطحنيها في مفرمة اللحم أضيفي ملعقة طعام ملح وكوب زيت زيتون وادعكيها جيدا وسينتج لديك كيلو دبس فليفلة رائع.</t>
  </si>
  <si>
    <t>Images/Muhammara.jpg</t>
  </si>
  <si>
    <t>64</t>
  </si>
  <si>
    <t>سلطة خيار باللبن</t>
  </si>
  <si>
    <t xml:space="preserve">• 250 جرام لبن
• ربع كوب ماء
• خيارة كبيرة
• ربع ملعقة نعناع يابس
• ربع ملعقة ملح
• نصف ملعقة طعام ثوم مدقوق ناعم جدا
</t>
  </si>
  <si>
    <t xml:space="preserve">يخفق اللبن جيدا باضافة قليل من الماء ثم يخلط بالتوم والنعناع بشكل جيد ومع باقي المواد.
يزين بالنعناع اليابس على وجه الطبق
</t>
  </si>
  <si>
    <t>نعناع يابس وقطع خيار</t>
  </si>
  <si>
    <t>Images/Salata_Kheyar_Blaban.jpg</t>
  </si>
  <si>
    <t>65</t>
  </si>
  <si>
    <t>أكلات متنوعة, أكلات باللبن الزبادي</t>
  </si>
  <si>
    <t>فتة الحمص</t>
  </si>
  <si>
    <t xml:space="preserve">• 2 كوب حمص حب مسلوق جيدا مسخن جيدا مغمورا بالماء.
• 2 رغيف خبز مقطع مربعات محمص .
• 3 ملاعق طحينة
• 3 ملاعق لبن
• عصير ليمونتين
• ملعقة صغيرة كمون
• ربع ملعقة صغيرة فلفل أٍسود
• بقدونس مفروم
• بندورة مفرومة
• لوز، كاجو، أو صنوبر محمص بالسمن البلدي (حسب الرغبة)
• حبوب رمان حامض
</t>
  </si>
  <si>
    <t xml:space="preserve">لو لديك خلاط يدوي استخدميه في خلط الطحينة واللبن والليمون والتوم والتوابل لتحصلي على قوام كريمي لما يسمى البدوة الخاصة بالفتة ، وان لم يكن لديك خلاط يمكنك خلط المواد بمضرب البيض اليدوي وان لاحظت بأن الخليط سميك أضيفي قليلا من ماء الحمص الساخن سيجعل الخليط كريميا رائعا.
اغلي الحمص وضعيه جانبا، وفي طبق التقديم ضعي الخبز المحمص في قاع الطبق، ثم يضاف عليه قليلا من ماء الحمص الساخن  لكي يرطب الخبز، ونصف كمية الحمص ويقلب جيدا.
ضعي الطحينة أو البدورة على الوجه ومهديها لتغطي الخبز بالكامل ثم وزعي الباقي من الحمص بدون الماء على الوجه.
حمصي الصنوبر بالسمن البلدي الحيواني ألأفضل من النباتي وصبيه ساخنا فوق طبق الفتة.
.
</t>
  </si>
  <si>
    <t>يزين بالبندورة والبقدونس والصنوبر  وحبوب الرمان</t>
  </si>
  <si>
    <t>Images/Fatteh.jpg</t>
  </si>
  <si>
    <t>66</t>
  </si>
  <si>
    <t>الملوخية الحلبية الناعمة</t>
  </si>
  <si>
    <t>مقادير الملوخية:
•  كيس ملوخية ناشفة 400 جرام مفروكة على مصفاة خشنة لتتكسر الى قطع صغيرة.
• 5 لاعق طعام سمنة 
• 3 ملاعق طعام ثوم مهروس جيدا
• 2 ملعقة طعام كزبرة ناشفة ناعمة
• ملعقة طعام ملح
• 4 أكواب مرق لحم مسلوق أودجاج
• ملعقة صغيرة فلفل أسود مطحون
•  صنوبر (ان وجد)
مقادير الدجاج: 
ربع كوب خل أبيض مع ملعقة طعام ملح للنقع
•  ككيلو صدور دجاج ونص كيلو فخاد بالجلد
•  3 بصلات وسط حوالي 400 جرام
•  5 ورقات غار
•  10 حبات هال كامل
• 5 حبات قرنفل كامل
• 3 عيدان قرفة وسط
•  ملعقة طعام ملح</t>
  </si>
  <si>
    <t xml:space="preserve">سلق الدجاج:
انقعي الدجاج بالخل والملح واعمريه بالماء واتركيه ساعة ان كان طازجا، أما ان كان مفرزا  اتركيه حتى يفك التلج ثم واشطفيه  وضعيه في مصفاة  حتى يصفي منه كل الماء والدم وأي سوائل غير مرغوب فيها.
طريقة سلق الدجاج:
قشري البصل وقطعيه جوانح كبيرة وضعي قليل من زيت القلي في طنجرة السلق والتوابل الخشنة بعد أن يحمى الزيت وقلبيهم دقيقتين لكي تنتشر رائحة التوابل في المطبخ وقطعي الفخاد الى جزئين عند المفصل لأن الدم يحتبس في هذه النقطة من جسم الطائرة واقطعي الصدر طولا الى نصفين من نقطة الوصل بين العضلات الصدر مؤلف من جزئين عادة.
ضعي الفخاد الجلد لفوق والعظم لتحت حتى تتخلص من السوائل التي بداخل بالحرارة لمدة 5 دقائق على نار مرتفعة ثم اقلبيهم الى الطرف الاخر 4 دقائق أخرى وهكذا يتشمع الدجاج ويعطي نكهة لذيذة بعد السلق.
صبي ليترين ماء مغلي عليه و اتركيه ساعة ونصف ليستوي ثم اسحبيه من المرق واتركيه جانبا، اسحبي العظام ان كنت تفضلين الدجاج بدون عظام .
طريقة طبخ الملوخية :
أنا لاأنصح بغسل الملوخية بالناعمة لأنه سيكون صعب جدا تصفيتها من الماء وستخسرين كمية كبيرة منها، سخني السمن في طنجرة الطبخ وبعد أن تسخن لدرجة الغليان يوضع الثوم ويقلب قليلا لكي يصفر ثم تضاف الكزبرة اليابسة وتقلب لكي تتحمر قليلا ليس أكثر من دقيقتين وبعدها تضاف الملوخية وتقلب لمدة 10 دقائق على نار متوسطة بشكل مستمر من الأسفل الى الأعلى اقلبي بالملعقة لكي لاتحترق  حمصي الصنوبر مع الملوخية ان كنت ستضيفينه للطبخة.
يضاف مرق اللحم أو الدجاج الى الملوخية مقدار 4 أكواب ماء حوالي ليتر، وتغطى وتترك على النار لمدة لاتقل عن 3 ساعات، نار هادئة جدا  بعد الغليان لكي يظهر طعم الملوخية الحقيقي.
</t>
  </si>
  <si>
    <t>زيني طبق الملوخية بشرائح الليمون 
تقدم مع الرز الأبيض</t>
  </si>
  <si>
    <t>Images/Moloukheieh.jpg</t>
  </si>
  <si>
    <t>67</t>
  </si>
  <si>
    <t>الرز بشعيرية</t>
  </si>
  <si>
    <t xml:space="preserve">• 2 كوب رز باسمتي
• 2 كوب ماء
• نصف كوب شعيرية
• 2 ملعقة سمنة 
• مكعب مرق الدجاج ماجي
• 2 كوب ماء
• نصف ملعقة صغيرة ملح
</t>
  </si>
  <si>
    <t xml:space="preserve">ينقع الرز قبل ساعة على الأقل.
تسخن السمنة قليلا ثم يضاف اليها الشعيرية وتقلب لحين ان يصبح لونها ذهبيا، يضاف الماء والملح والماجي ويترك حتى يغلي ويذوب الماجي تماما ثم يصفى الرز ويضاف الى الماء المغلي ويقلب اكثر من مرة لحين ان ينزل مستوى الماء ليصبح تحت الرز تخفض النار وتغطى الطنجرة لمدة 3 دقائق، ثم يقلب الرز تقليب خفيف من حافة الطنجرة الى الأسفل ويقلب ولايحرك  وتخفض النار الى أقصى درجة ممكنة لمدة 5 دقائق.
</t>
  </si>
  <si>
    <t>يزين طبخ الرز بشعيرية بالفلفل الأسود والبقدونس المفروم يعطيه جمالا خلابا ابيض مع أخضر</t>
  </si>
  <si>
    <t>نصيحتي يجب أن ينقع الرز على الأقل نصف ساعة القاعدة الأساسية في أي حبوب مهما كان نوعها هو النقع لأن الرز غير المنقوع حتى تحصلي عليه مستوي ودايب سيلتصق ببعض، لذا اتبعي النقع في كل أنواع الحبوب عدا عدس الشورية وعدس المجدرة.</t>
  </si>
  <si>
    <t>Images/Rez_Besheirieh.jpg</t>
  </si>
  <si>
    <t>68</t>
  </si>
  <si>
    <t xml:space="preserve"> فاصولياء بيضاء حب</t>
  </si>
  <si>
    <t xml:space="preserve">• نصف كيلو فاصوليا
•  كيلو لحمة مفرومة أو قطع غنم بالعظم وهو الموصى به وان لم يتوفر ممكن المفرومة
• 2 بصلة كبيرة  400 جرام
• 2 بندورة بالخلاط
• 3 ملاعق سمنة
•  نصف ملعقة صغيرة ملح
• ملعقة صغيرة فلفل اسود
• 3 ملاعق طعام صلصة بندورة
• 4 قطع بندورة متوسطة الحجم مخلوطة بالخلاط.
• 3 كوب ماء مغلي
</t>
  </si>
  <si>
    <t xml:space="preserve">سلق الفاصوليا: 
انقعي الفاصوليا بملعقة صغيرة كربونات الصودا قبل بيوم وفي اليوم التالي اغسليها جيدا وضعيها في طنجرة مناسبة واغمريها بالماء واسلقيها على نار عالية حتى تغلي ثم خفضي النار سلقها سيحتاج حوالي نصف ساعة افحصيها وتأكدي بأنها استوت تماما ولايوجد بداخلها أي قطع متحجرة.
ملاحظة: عدم ترك الفاصولياء البيضاء على النار زيادة لأنها ستذوب وتصبح مثل العجين.
تحضير اللحم المفروم :
يفرم البصل ناعما ويوضع فوق السمن الحامي  واللحم المفروم على النار حتى يصفر ويخرج ماء اللحم ثم يغطى حتى يستوي ويجف ماؤه، تضاف عليه البندورة وصلصة البندورة والماء وتترك على النار حتى يتعقد لمدة ربع ساعة على نار هادئة، في آخر مرحلة تضاف الفاصولياء المسلوقة والمصفاة ثم الملح والفلفل الأسود وتغلى لمدة ربع ساعة  لكي تتشرب طعم البندورة.
تحضير اللحم القطع:
قشري البصل وافرميه ناعم وضعي السمن وحمري البصل ثم ضعي اللحم وقلبيه مع البصل حتى يتشمع مدة 10 دقائق رشي الفلفل الأسود على اللحم ومن ثم تضاف عليه البندورة وصلصة البندورة والماء وتترك على نار هادئة حتى يستوي اللحم تماما.
تضاف الفاصولياء المسلوقة والمصفاة ثم الملح والفلفل الأسود وتغلى لمدة ربع ساعة  لكي تتشرب طعم البندورة.
</t>
  </si>
  <si>
    <t>رشي فلفل أسود على وجه طبق الفاصوليا وحضري طبق رز بالشعيرية وتمتعي بأطيب أكلة في العالم</t>
  </si>
  <si>
    <t>images/Fasoulia_Beida.jpg</t>
  </si>
  <si>
    <t>69</t>
  </si>
  <si>
    <t>الكبدة المقلية بزيت الزيتون</t>
  </si>
  <si>
    <t xml:space="preserve">• نصف كيلو كبدة مقطعة مكعبات وسط
• 5 حبات ثوم مفروم قطع شرائح 
• نصف ملعقة طعام توم مدقوق
• نصف ملعقة صغيرة فلفل ـأسود
• نصف ملعقة صغيرة كزبرة يابسة مطحونة
• عصير ليمونة 
• ربع كوب زيت زيتون 
</t>
  </si>
  <si>
    <t>يوضع الزيت على النار حتى يحمى ثم يضاف عليه الثوم ويقلب حتى يصبح لونه ذهبيا ومن ثم تضاف الكبدة وتقلب على نار مرتفعة حتى تتحمر قليلا، وبعدها يتم تغطية الكبدة لمدة 10 دقائق لكي تستوي من الداخل في آخر مرحلة يضاف الليمون عليها ويترك لمدة دقيقة على النار ثم توضع في طبق التقديم.</t>
  </si>
  <si>
    <t>الكمية تكفي شخصين</t>
  </si>
  <si>
    <t>زيني الكبدة بشرائح الليمون والمخلل</t>
  </si>
  <si>
    <t>لاتغسلي الكبدة أبدا وفكيها من التلج ان كانت مفرزة</t>
  </si>
  <si>
    <t>Images/Kebdeh.jpg</t>
  </si>
  <si>
    <t>70</t>
  </si>
  <si>
    <t>أكلات باللبن (الزبادي)</t>
  </si>
  <si>
    <t>شيشبرك باللبن</t>
  </si>
  <si>
    <t xml:space="preserve">مقادير العجين: 
• 2 كوب طحين متعدد الاستعمالات
• ربع ملعقة  صغيرة ملح
•  ملعقة صغيرة سكر
• ملعقتين طعام لبن
•كوب ماء دافئ
• 1 كيلو لبن
• نصف كيلو شيشبرك محشو
• ملعقة طعام كبيرة ثوم
• ملعقة  طعام كزبرة ناشفة ناعمة
• ملعقتين سمنة
• 2 كوب و نصفمن مرق لحم أو دجاج وان لم يتوفر عندك ممكن استخدام مكعبين ماجي 
</t>
  </si>
  <si>
    <t>طريقة تحضير الحشوة: 
نفس طريقة حشوة الكبة المقلية (لحمة مفرومة وبصل ناعم وفلفل أسود و7 بهارات وملح.
طريقة تحضير عجين الشيشبرك:
قبل بيوم من طبخ الشيشبرك ضعي اللبن والملح والسكر والماء الدافئ  في وعاء بلاستيك مناسب واخلطيهم جيدا ثم ابدأي بكوب طحين واحد واخلطيه جيدا ثم ضيفي الكوب الأخر بالتدريج واعجبني جيدا وان لاحظت بأن العجينة لينة ومازالت تلتصق بيدك رشي قليلا من الطحين وان كانت قاسية بخي عليها قليلا من الماء الدافئ.
ضعيها في كيس نايلون وغلفيها بفوطة في درجة حرارة المطبخ لليوم التالي.
قطعي العجينة 4 أقسام وتنركيها ترتاح 1- دقائق لتساعدك على الفرد والرق ورقيها دائرة كبيرة وقطعيها قطعا صغيرة باستخدام اما قالب دائري معدني ان كان متوفرا لديك أو باستخدام فنجان القهوة التركي .
خذي نصف ملعقة صغيرة من الحشوة وهي باردة من البراد وضعيها وسط الدائرة الصغيرة وأغلقيها بأسبعك جيدا ثم اوصلي الطرفين ببعض ليتشكل لديك قطع الشيشبرك صفيهم بصينية وضعيهم في الفريزر ساعة حتى تستطيعين وضعهم في الللبن بسهولة.
يوضع اللبن في الطنجرة نظيفة وناشفة ويحرك باتجاه واحد بشكل بطيء وعلى نار مرتفعة مع التحريك المستمر لحين الغليان، يضاف الماء ومرق اللحم أو الماجي على اللبن حتى يغلي ثم يضاف الشيشبرك، بعدها مباشرة يتم قلي الثوم في الزيت حتى يصفر ثم تضاف الكزبرة اليابسة وتقلب في الزيت حتى تتحمر قليلا ثم تضاف الى اللبن.
اتركيه على نار هادئة 10 دقائق .</t>
  </si>
  <si>
    <t>الكمية تكفي 3 أشخاص</t>
  </si>
  <si>
    <t>زيني الشيشبرك بورق النعناع أو رشي عليه قليلا من الفلفل الأسود</t>
  </si>
  <si>
    <t>Images/Shishbarak.jpg</t>
  </si>
  <si>
    <t>71</t>
  </si>
  <si>
    <t>الكبسة الخليجية</t>
  </si>
  <si>
    <t xml:space="preserve">• 1 كيلو رز باسمتي
• 2 بندورة متوسطة 
• نصف فليفلة خضراء حلوة
• 1 فليفلة حمراء حلوة
• 2 ملعقة دبس بندورة
• نصف كوب زيت قلي
• نصف كيلو بصل أو قطعتين كبار
• م2 لعقة كبيرة بهارات كبسة
• ملعقة كركم
• 10 هال حب
• 10 قرنفل
• 4 عيدان قرفة
• ربع ملعقة زعفران ان وجد
• 4 أكواب مرق لحم أو دجاج
</t>
  </si>
  <si>
    <t xml:space="preserve">ينقع الرز الباسمتي حصرا  قبل وقت كافي.
يفرم البصل ناعما ويوضع الزيت على النار مع البصل حتى يصفر، ثم يضاف الفليفلة الخضراء والحمراء وتقلب حتى تستوي قليلا يضاف التوابل جميعا ثم البندورة المقطعة ناعما، وتقلب خمس دقائق ثم يضاف كوب من مرق اللحم او الدجاج  وتترك حتى تتجانس كل المكونات مدة 10 دقائق على نار هادئة 
سلق الرز قبل خلطه مع الخضار: 
بكمية وافرة من الماء المغلي صفي الرز وضعيه على الماء المغلي مع الملح وقليلا من الزيت وحركيه جيدا وغطيه حتى يستوي الا قليلا ثم اخلطيه جيدا مع الخضار حتى يتشرب الطعم من كل الأطراف وخفضي النار على الاخر 10 دقائق وغطي الطنجرة ببشكير أو فوطة المطبخ .
سلق اللحم أو الدجاج: 
كما شرحت لك سابقا سلق اللحم أو الدجاج في الكبسة هناك طريقتين هناك من يفصل خلط اللحم أو الدجاج بالخضار ومن ثم خلطهم بالرز، وهناك من يرغب بتحميره في الفرن بعد أن نمسحه بالليمون وزيت الزيتون.
</t>
  </si>
  <si>
    <t>تزين بشرائح الفلفل الأخضر والأحمر وقطع الخيار</t>
  </si>
  <si>
    <t>Images/Kabseh.jpg</t>
  </si>
  <si>
    <t>72</t>
  </si>
  <si>
    <t>صرر الاوزي</t>
  </si>
  <si>
    <t xml:space="preserve">• كيلو لحم قطع مكعبات صغيرة 
 1 كيلو رز بسمتي ينقع مسبقا
• ربع كيلو بازلاء خضراء مسلوقة
• 200 جرام جزر مكعبات
• نصف كيلو لحم مسلوق مكعبات
• 4 ملاعق طعام سمنة
• ملعقة صغيرة فلفل أسود
• نصف ملعقة كبيرة ملح
• 4 بصلات كبار حوالي 800 جرام
• 2 مكعب ماجي
• 1 كوب مرق لحم
• 3 كوب ماء مغلي
• لوز وكاجو محمص 
</t>
  </si>
  <si>
    <t xml:space="preserve">
اسلقي مكعبات اللحم مع البصل والتوابل المعنادة حتى تستوي تماما واتركيها جانيا.
يفرم البصل ناعما ويوضع السمن على النار ثم يضاف البصل ويقلب ثم يغطى حتى يستوي تماما ويجف ماؤه تقريبا، ثم تضاف البازلاء والجزر وتقلب وتغطى لمدة 5 دقائق، بعدها يضاف مرق اللحم والماء المغلي وتركه المزيج 5 دقائق أخرى يغلي سويا.
يضاف الأرز المنقوع مسبقا بعد أن يصفى ويقلب جيدا مع المكونات ويترك مغطى 5 دقائق، عندما ينزل مستوى الماء الى النصف تخفض النار دقيقتين ثم خفضيها الى أدى درجة.حتى يجف الرز واطفئي النار.
طريقة تحضير الصرر: 
تستطيعين استخدام رقائق السبرينغ رول القياس الكبيرة للاوزي أو العجائن الجاهزة لأنها تعطي منظرا  أجمل ولونا ذهبيا.
في زبدية حجمها مناسب ضعي رقاقة العجين ثم عدة قطع من مكعبات اللحم وقليل من الكاجو واللوز المحمص وفوقهم الرز المخلوط بالبازلا والجزر  ولفي عليهم العجينة جيدا وضعيها في صينية الفرن الممسوحة بالسمن لكي لايلتصق.
بعد الانتهاء من الكمية ضعيهم في الفرن على الرف الأول عى لأعلى نار لديك وانتظري جنة يصبج لونه ذهبيا.</t>
  </si>
  <si>
    <t>زيني طبق الأوزي بورق الخس وشرائح البندورة والخيار</t>
  </si>
  <si>
    <t>Images/Sorar_Ouzi.jpg</t>
  </si>
  <si>
    <t>73</t>
  </si>
  <si>
    <t>دجاج مسالا الهندي</t>
  </si>
  <si>
    <t xml:space="preserve">• 1 كيلو صدور  أو دبابيس حصرا وليس الفخذ كامل أو أجنحة دجاج 
• نصف كيلو بصل مفروم اجنحة رفيعة 
• نصف كيلو بندورة مقطعة اجنحة رفيعة
• ربع علبة صلصة بندورة
• 1 فليفلة خضراء
• 1 فليفلة حمرا
• 3 ملاعق زيت قلي
• ربع ملعقة ملح
• ملعقتين كاري
• ملعقة بهارات مسالا 
• كوب ماء
</t>
  </si>
  <si>
    <t xml:space="preserve">قطعي الصدور قطعا مكعبة أو طويلة حسبما تحبين وانقعيهم بالخل والملح مدة ساعة ثم صفيهم واتركيهم جانبا.ضعي الزيت في وعاء وحميه ويضاف عليه البصل ويقلب حتى يصبح لونه ذهبيا، ضعي الدجاج وقلبيه مع الدجاج وغطيه مع البصل حوالي 10 دقائق .
تضاف الفليفلة الحمراء والخضراء المقطعة وتقلب دقائق قليلة ثم  البهارات جميعا  فوق الدجاج ومن ثم البندورة والصلصة والماء.
تترك على نار هادئة جدا حوالي نصف ساعة مع المتابعة. 
</t>
  </si>
  <si>
    <t>يقدم مع الرز الأبيض</t>
  </si>
  <si>
    <t>Images/Dajaj_Masala.jpg</t>
  </si>
  <si>
    <t>74</t>
  </si>
  <si>
    <t>عجة حلبية (أومليت خاص)</t>
  </si>
  <si>
    <t xml:space="preserve">• 200 غرام بقدونس مفروم او ملء كوبين
• بصلة واحدة مفرومة ناعم جدا
• 6 الى 8 بيضات حسب الحجم 
• ملعقة ثوم مهروس
• ملعقة صغيرة كزبرة يابس
• نصف ملعقة صغيرة فلفل أسود
• ملعقة صغيرة نعناع يابس أو أخضر ان وجد
• نصف ملعقة كمون
• نصف ملعقة فليفلة حمراء مطحونة
• نصف ملعقة صغيرة كربونات الصودا
• 2 ملعقة طحين
• نصف ملعقة صغيرة ملح
</t>
  </si>
  <si>
    <t xml:space="preserve">اغسلي البقدونس بنقعه بالخل مدة 10 دقائق وافرميه ناعم قدر المستطاع.
قشري البصلة وافرميها ناعم جدا ثم يوضع البقدونس المفروم والبصل والثوم في وعاء عميق ويرش عليه البهارات تدريجيا وتخلط، يضاف الطحين ويخلط جيدا مع البقدونس والبصل والثوم ثم يضاف الكربونات وبعدها يتم كسر البيض فوق الخليط وخلطه جيدا وتركه في الثلاجة ساعة قبل القلي
قلي العجة مباشرة بعد الفرم لن يعطيها الطعم اللازم ولن تختلط البهارات مع الخضروات جيدا بسبب عزل البيض لها عن الخضار، عندما تترك في الثلاجة ولو ساعة قبل القلي تخرج ماء البقدونس والبصل وتمتص البهارات.
اقلي العجة بالشكل الذي تفضلين أقراص صغيرة أو كبيرة مدورة أو في قوالب على أي شكل تختارين
</t>
  </si>
  <si>
    <t>زيني طبق العجة بشرائح البندورة والفليفلة الخضراء الحارة أو الحلوة</t>
  </si>
  <si>
    <t>Images/Ejjeh.jpg</t>
  </si>
  <si>
    <t>75</t>
  </si>
  <si>
    <t xml:space="preserve"> شوربة العدس</t>
  </si>
  <si>
    <t xml:space="preserve">• نصف كيلو عدس احمر مقشر
• ربع كيلو جزر مقطع
• نصف كيلو بصل شرائح
• ملعقة طعام كمون
• ملعقة صغيرة ملح
• 2 مكعب ماجي دجاج
• 6 أكواب ماء
</t>
  </si>
  <si>
    <t xml:space="preserve">يغسل العدس ويضاف عليه الماء والبصل والجزر ويوضع على النار لمدة نصف ساعة أو حتى يفقس ويذوب.
ملاحظة:  لاتغطى الشوربة في البداية لكي لايفور العدس.
بعد أن تستوي الخضروات ويفقس العدس تضاف الماجي والملح والكمون وتترك تغلي لمدة 5 دقائق أخرى ثم تخلط بالخلاط.
ذوبي ملعقة سمن في الشوربة سيعطيها نكهة جيدة
</t>
  </si>
  <si>
    <t xml:space="preserve">رشي بقدونس مفروم على طبق الشورية أو بصل أخضر مفروم ناعم </t>
  </si>
  <si>
    <t>Images/Shourba_Ades.jpg</t>
  </si>
  <si>
    <t>الخانة A1 (العنوان)</t>
  </si>
  <si>
    <t>الخانة B1 (الشعار)</t>
  </si>
  <si>
    <t>الخانة C1 (نبذة عن أم سامر)</t>
  </si>
  <si>
    <t>المطعم الحلبي السوري</t>
  </si>
  <si>
    <t>الأكل المهدا للملوك يتودا هكذا قالت جداتنا</t>
  </si>
  <si>
    <t>نبذة عن صانعة الأطباق والتطبيق: 
أنا أم سامر سيدة حلبية سورية أصيلة، أصولي تعود الى 300 سنة في حلب حيث نشأت في بيئة تحب اللقمة الذكية الطيبة المطبوخة بحب وعناية لكي يوزع هذا الحب على العائلة والمحيطين بها. 
أنا من مواليد 1960 وقضيت 50 عاما في حب الطبخ ولم يكن مهنتي ولكنني عاشقة لتحضير الطعام للعائلة بكل أصنافة، وبما أنني في سنوات آخر العمر خطر ببالي أن أنقل كل ماأملك من معلومات تجعل المجتمع باسره عربي أو يتحدث الإنجليزية أو السويدية بحكم اقامتي في السويد يتلذذ بكل لقمة يعدها من وصفاتي التي أعتبرها ساحرة بحكم من حولي ومن تذوق الطعام على مائدتي المتواضعة.
سأقدم لكم في هذا التطبيق الوصفات الحلبية السورية الأصيلة وبعض الوصفات الخليجية بحكم اقامتي الطويلة في الخليج العربي أيضا فلا تستغربوا وجود وصفات خليجية لأنها أيضا أسرتني عندما كنت في الامارات وشعرت كم الثقافات تنتج طعاما يغير وجه العالم ويبعدنا عن الملل من تكرار مانأكل.
أم سامر – المطبخ الحلبي السوري</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</si>
</sst>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scheme val="minor"/>
    </font>
    <font>
      <b/>
      <sz val="12"/>
      <color theme="1"/>
      <name val="Arial"/>
    </font>
    <font>
      <b/>
      <sz val="12"/>
      <color theme="1"/>
      <name val="Calibri"/>
    </font>
    <font>
      <sz val="10"/>
      <color theme="1"/>
      <name val="Arial"/>
    </font>
    <font>
      <sz val="11"/>
      <color theme="1"/>
      <name val="Calibri"/>
      <scheme val="minor"/>
    </font>
    <font>
      <sz val="11"/>
      <color theme="1"/>
      <name val="Calibri"/>
    </font>
    <font>
      <sz val="11"/>
      <color theme="1"/>
      <name val="Calibri"/>
    </font>
    <font>
      <b/>
      <sz val="11"/>
      <color theme="1"/>
      <name val="Calibri"/>
    </font>
    <font>
      <sz val="11"/>
      <color theme="1"/>
      <name val="Arial"/>
    </font>
  </fonts>
  <fills count="5">
    <fill>
      <patternFill patternType="none"/>
    </fill>
    <fill>
      <patternFill patternType="gray125"/>
    </fill>
    <fill>
      <patternFill patternType="solid">
        <fgColor rgb="FFD9D2E9"/>
        <bgColor rgb="FFD9D2E9"/>
      </patternFill>
    </fill>
    <fill>
      <patternFill patternType="solid">
        <fgColor rgb="FFC9DAF8"/>
        <bgColor rgb="FFC9DAF8"/>
      </patternFill>
    </fill>
    <fill>
      <patternFill patternType="solid">
        <fgColor rgb="FFFFE599"/>
        <bgColor rgb="FFFFE599"/>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66">
    <xf numFmtId="0" fontId="0" fillId="0" borderId="0" xfId="0" applyFont="1" applyAlignment="1"/>
    <xf numFmtId="49" fontId="1" fillId="2" borderId="0" xfId="0" applyNumberFormat="1" applyFont="1" applyFill="1" applyAlignment="1">
      <alignment horizontal="center" vertical="center"/>
    </xf>
    <xf numFmtId="49" fontId="1" fillId="2" borderId="0" xfId="0" applyNumberFormat="1" applyFont="1" applyFill="1" applyAlignment="1">
      <alignment horizontal="center" vertical="center"/>
    </xf>
    <xf numFmtId="0" fontId="2" fillId="2" borderId="0" xfId="0" applyFont="1" applyFill="1" applyAlignment="1">
      <alignment horizontal="center" vertical="center"/>
    </xf>
    <xf numFmtId="49"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49" fontId="3" fillId="2" borderId="0" xfId="0" applyNumberFormat="1" applyFont="1" applyFill="1" applyAlignment="1">
      <alignment horizontal="right" vertical="center" wrapText="1"/>
    </xf>
    <xf numFmtId="49" fontId="3" fillId="2" borderId="0" xfId="0" applyNumberFormat="1" applyFont="1" applyFill="1" applyAlignment="1">
      <alignment horizontal="right" vertical="center" wrapText="1"/>
    </xf>
    <xf numFmtId="49" fontId="3" fillId="2" borderId="1" xfId="0" applyNumberFormat="1" applyFont="1" applyFill="1" applyBorder="1" applyAlignment="1">
      <alignment horizontal="right" vertical="center" wrapText="1" readingOrder="2"/>
    </xf>
    <xf numFmtId="0" fontId="3" fillId="2" borderId="1" xfId="0" applyFont="1" applyFill="1" applyBorder="1" applyAlignment="1">
      <alignment horizontal="center" vertical="center" wrapText="1" readingOrder="2"/>
    </xf>
    <xf numFmtId="0" fontId="3" fillId="2" borderId="2" xfId="0" applyFont="1" applyFill="1" applyBorder="1" applyAlignment="1">
      <alignment horizontal="right" vertical="center" wrapText="1" readingOrder="2"/>
    </xf>
    <xf numFmtId="0" fontId="3" fillId="2" borderId="0" xfId="0" applyFont="1" applyFill="1" applyAlignment="1">
      <alignment horizontal="right" vertical="center" wrapText="1" readingOrder="2"/>
    </xf>
    <xf numFmtId="49" fontId="3" fillId="3" borderId="0" xfId="0" applyNumberFormat="1" applyFont="1" applyFill="1" applyAlignment="1">
      <alignment horizontal="right" vertical="center" wrapText="1" readingOrder="2"/>
    </xf>
    <xf numFmtId="0" fontId="3" fillId="3" borderId="0" xfId="0" applyFont="1" applyFill="1" applyAlignment="1">
      <alignment horizontal="left" vertical="center" wrapText="1" readingOrder="2"/>
    </xf>
    <xf numFmtId="49" fontId="3" fillId="4" borderId="0" xfId="0" applyNumberFormat="1" applyFont="1" applyFill="1" applyAlignment="1">
      <alignment horizontal="left" vertical="center" wrapText="1" readingOrder="2"/>
    </xf>
    <xf numFmtId="0" fontId="4" fillId="4" borderId="0" xfId="0" applyFont="1" applyFill="1"/>
    <xf numFmtId="49" fontId="3" fillId="2" borderId="1" xfId="0" applyNumberFormat="1" applyFont="1" applyFill="1" applyBorder="1" applyAlignment="1">
      <alignment horizontal="right" vertical="center" wrapText="1"/>
    </xf>
    <xf numFmtId="49" fontId="5" fillId="2" borderId="1" xfId="0" applyNumberFormat="1" applyFont="1" applyFill="1" applyBorder="1" applyAlignment="1">
      <alignment horizontal="right" vertical="center" wrapText="1" readingOrder="2"/>
    </xf>
    <xf numFmtId="0" fontId="3" fillId="2" borderId="1" xfId="0" applyFont="1" applyFill="1" applyBorder="1" applyAlignment="1">
      <alignment horizontal="center" vertical="center" wrapText="1" readingOrder="2"/>
    </xf>
    <xf numFmtId="49" fontId="3" fillId="2" borderId="1" xfId="0" applyNumberFormat="1" applyFont="1" applyFill="1" applyBorder="1" applyAlignment="1">
      <alignment vertical="center" wrapText="1"/>
    </xf>
    <xf numFmtId="49" fontId="5" fillId="2" borderId="1" xfId="0" applyNumberFormat="1" applyFont="1" applyFill="1" applyBorder="1" applyAlignment="1">
      <alignmen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right" vertical="center" wrapText="1"/>
    </xf>
    <xf numFmtId="0" fontId="3" fillId="2" borderId="0" xfId="0" applyFont="1" applyFill="1" applyAlignment="1">
      <alignment horizontal="right" vertical="center" wrapText="1"/>
    </xf>
    <xf numFmtId="49" fontId="5" fillId="2" borderId="1" xfId="0" applyNumberFormat="1" applyFont="1" applyFill="1" applyBorder="1" applyAlignment="1">
      <alignment vertical="center" wrapText="1"/>
    </xf>
    <xf numFmtId="49" fontId="3" fillId="2" borderId="3" xfId="0" applyNumberFormat="1" applyFont="1" applyFill="1" applyBorder="1" applyAlignment="1">
      <alignment vertical="center" wrapText="1"/>
    </xf>
    <xf numFmtId="49" fontId="3" fillId="2" borderId="3" xfId="0" applyNumberFormat="1" applyFont="1" applyFill="1" applyBorder="1" applyAlignment="1">
      <alignment horizontal="right" vertical="center" wrapText="1" readingOrder="2"/>
    </xf>
    <xf numFmtId="49" fontId="5" fillId="2" borderId="3" xfId="0" applyNumberFormat="1" applyFont="1" applyFill="1" applyBorder="1" applyAlignment="1">
      <alignment vertical="center" wrapText="1"/>
    </xf>
    <xf numFmtId="49" fontId="5" fillId="2" borderId="3" xfId="0" applyNumberFormat="1" applyFont="1" applyFill="1" applyBorder="1" applyAlignment="1">
      <alignmen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right" vertical="center" wrapText="1"/>
    </xf>
    <xf numFmtId="49" fontId="3" fillId="2" borderId="0" xfId="0" applyNumberFormat="1" applyFont="1" applyFill="1" applyAlignment="1">
      <alignment vertical="center" wrapText="1"/>
    </xf>
    <xf numFmtId="49" fontId="3" fillId="2" borderId="0" xfId="0" applyNumberFormat="1" applyFont="1" applyFill="1" applyAlignment="1">
      <alignment horizontal="right" vertical="center" wrapText="1" readingOrder="2"/>
    </xf>
    <xf numFmtId="49" fontId="5" fillId="2" borderId="0" xfId="0" applyNumberFormat="1" applyFont="1" applyFill="1" applyAlignment="1">
      <alignment vertical="center" wrapText="1"/>
    </xf>
    <xf numFmtId="0" fontId="3" fillId="2" borderId="0" xfId="0" applyFont="1" applyFill="1" applyAlignment="1">
      <alignment horizontal="center" vertical="center" wrapText="1"/>
    </xf>
    <xf numFmtId="49" fontId="3" fillId="2" borderId="0" xfId="0" applyNumberFormat="1" applyFont="1" applyFill="1" applyAlignment="1">
      <alignment vertical="center" wrapText="1"/>
    </xf>
    <xf numFmtId="49" fontId="5" fillId="2" borderId="0" xfId="0" applyNumberFormat="1" applyFont="1" applyFill="1" applyAlignment="1">
      <alignment horizontal="right" vertical="center"/>
    </xf>
    <xf numFmtId="49" fontId="5" fillId="2" borderId="0" xfId="0" applyNumberFormat="1" applyFont="1" applyFill="1" applyAlignment="1">
      <alignment vertical="center"/>
    </xf>
    <xf numFmtId="0" fontId="3" fillId="2" borderId="5" xfId="0" applyFont="1" applyFill="1" applyBorder="1" applyAlignment="1">
      <alignment horizontal="center" vertical="center" wrapText="1"/>
    </xf>
    <xf numFmtId="0" fontId="6" fillId="2" borderId="0" xfId="0" applyFont="1" applyFill="1" applyAlignment="1">
      <alignment vertical="center"/>
    </xf>
    <xf numFmtId="49" fontId="5" fillId="2" borderId="0" xfId="0" applyNumberFormat="1" applyFont="1" applyFill="1" applyAlignment="1">
      <alignment horizontal="right" vertical="center" wrapText="1" readingOrder="2"/>
    </xf>
    <xf numFmtId="49" fontId="5" fillId="2" borderId="0" xfId="0" applyNumberFormat="1" applyFont="1" applyFill="1" applyAlignment="1">
      <alignment horizontal="right" vertical="center" wrapText="1"/>
    </xf>
    <xf numFmtId="49" fontId="7" fillId="2" borderId="0" xfId="0" applyNumberFormat="1" applyFont="1" applyFill="1" applyAlignment="1">
      <alignment vertical="center" wrapText="1"/>
    </xf>
    <xf numFmtId="0" fontId="5" fillId="2" borderId="0" xfId="0" applyFont="1" applyFill="1" applyAlignment="1">
      <alignment horizontal="center" vertical="center"/>
    </xf>
    <xf numFmtId="0" fontId="5" fillId="2" borderId="0" xfId="0" applyFont="1" applyFill="1" applyAlignment="1">
      <alignment vertical="center"/>
    </xf>
    <xf numFmtId="0" fontId="6" fillId="2" borderId="0" xfId="0" applyFont="1" applyFill="1" applyAlignment="1">
      <alignment vertical="center"/>
    </xf>
    <xf numFmtId="49" fontId="5" fillId="2" borderId="0" xfId="0" applyNumberFormat="1" applyFont="1" applyFill="1" applyAlignment="1">
      <alignment vertical="center" wrapText="1"/>
    </xf>
    <xf numFmtId="0" fontId="4" fillId="2" borderId="0" xfId="0" applyFont="1" applyFill="1" applyAlignment="1"/>
    <xf numFmtId="0" fontId="5" fillId="0" borderId="0" xfId="0" applyFont="1" applyAlignment="1">
      <alignment vertical="center"/>
    </xf>
    <xf numFmtId="49" fontId="5" fillId="0" borderId="0" xfId="0" applyNumberFormat="1" applyFont="1" applyAlignment="1">
      <alignment horizontal="right" vertical="center"/>
    </xf>
    <xf numFmtId="49" fontId="5" fillId="0" borderId="0" xfId="0" applyNumberFormat="1" applyFont="1" applyAlignment="1">
      <alignment vertical="center"/>
    </xf>
    <xf numFmtId="49" fontId="5" fillId="0" borderId="0" xfId="0" applyNumberFormat="1" applyFont="1" applyAlignment="1">
      <alignment vertical="center" wrapText="1"/>
    </xf>
    <xf numFmtId="0" fontId="5" fillId="0" borderId="0" xfId="0" applyFont="1" applyAlignment="1">
      <alignment horizontal="center" vertical="center"/>
    </xf>
    <xf numFmtId="0" fontId="6" fillId="0" borderId="0" xfId="0" applyFont="1" applyAlignment="1">
      <alignment vertical="center"/>
    </xf>
    <xf numFmtId="0" fontId="3" fillId="0" borderId="0" xfId="0" applyFont="1" applyAlignment="1">
      <alignment horizontal="right" vertical="center" wrapText="1" readingOrder="2"/>
    </xf>
    <xf numFmtId="0" fontId="3" fillId="0" borderId="0" xfId="0" applyFont="1" applyAlignment="1">
      <alignment horizontal="left" vertical="center" wrapText="1" readingOrder="2"/>
    </xf>
    <xf numFmtId="49" fontId="5" fillId="0" borderId="0" xfId="0" applyNumberFormat="1" applyFont="1" applyAlignment="1">
      <alignment horizontal="right" vertical="center"/>
    </xf>
    <xf numFmtId="49" fontId="5" fillId="0" borderId="0" xfId="0" applyNumberFormat="1" applyFont="1" applyAlignment="1">
      <alignment horizontal="right" vertical="center" wrapText="1"/>
    </xf>
    <xf numFmtId="49" fontId="5" fillId="0" borderId="0" xfId="0" applyNumberFormat="1" applyFont="1" applyAlignment="1">
      <alignment horizontal="center" vertical="center" wrapText="1"/>
    </xf>
    <xf numFmtId="0" fontId="5" fillId="0" borderId="0" xfId="0" applyFont="1" applyAlignment="1">
      <alignment horizontal="center" vertical="center"/>
    </xf>
    <xf numFmtId="0" fontId="5" fillId="0" borderId="0" xfId="0" applyFont="1"/>
    <xf numFmtId="0" fontId="8" fillId="0" borderId="0" xfId="0" applyFont="1" applyAlignment="1">
      <alignment horizontal="right" vertical="center" wrapText="1"/>
    </xf>
    <xf numFmtId="0" fontId="8" fillId="0" borderId="0" xfId="0" applyFont="1" applyAlignment="1">
      <alignment horizontal="right" vertical="center" wrapText="1"/>
    </xf>
    <xf numFmtId="0" fontId="8" fillId="0" borderId="6" xfId="0" applyFont="1" applyBorder="1" applyAlignment="1">
      <alignment horizontal="right" vertical="center" wrapText="1"/>
    </xf>
  </cellXfs>
  <cellStyles count="1">
    <cellStyle name="Normal" xfId="0" builtinId="0"/>
  </cellStyles>
  <dxfs count="6">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Ask Data-style" pivot="0" count="3">
      <tableStyleElement type="headerRow" dxfId="5"/>
      <tableStyleElement type="firstRowStripe" dxfId="4"/>
      <tableStyleElement type="secondRowStripe" dxfId="3"/>
    </tableStyle>
    <tableStyle name="ِAbout-style" pivot="0" count="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1" name="Table_1" displayName="Table_1" ref="A1:AC109">
  <tableColumns count="29">
    <tableColumn id="1" name="ID"/>
    <tableColumn id="2" name="Category"/>
    <tableColumn id="3" name="Name"/>
    <tableColumn id="4" name="Time"/>
    <tableColumn id="5" name="Ingredients"/>
    <tableColumn id="6" name="Way"/>
    <tableColumn id="7" name="Shares"/>
    <tableColumn id="8" name="Decoration"/>
    <tableColumn id="9" name="Secrets"/>
    <tableColumn id="10" name="Images"/>
    <tableColumn id="11" name="Videos"/>
    <tableColumn id="12" name="Favorite"/>
    <tableColumn id="13" name="Pro_Tips"/>
    <tableColumn id="14" name="Where_To_buy"/>
    <tableColumn id="15" name="ID 2"/>
    <tableColumn id="16" name="Category 2"/>
    <tableColumn id="17" name="Name 2"/>
    <tableColumn id="18" name="Time 2"/>
    <tableColumn id="19" name="Ingredients 2"/>
    <tableColumn id="20" name="Way 2"/>
    <tableColumn id="21" name="Shares 2"/>
    <tableColumn id="22" name="Decoration 2"/>
    <tableColumn id="23" name="Secrets 2"/>
    <tableColumn id="24" name="Images 2"/>
    <tableColumn id="25" name="Videos 2"/>
    <tableColumn id="26" name="Favorite 2"/>
    <tableColumn id="27" name="Pro_Tips 2"/>
    <tableColumn id="28" name="Where_To_buy 2"/>
    <tableColumn id="29" name="ID 3"/>
  </tableColumns>
  <tableStyleInfo name="Ask Data-style" showFirstColumn="1" showLastColumn="1" showRowStripes="1" showColumnStripes="0"/>
</table>
</file>

<file path=xl/tables/table2.xml><?xml version="1.0" encoding="utf-8"?>
<table xmlns="http://schemas.openxmlformats.org/spreadsheetml/2006/main" id="2" name="Table_2" displayName="Table_2" ref="A1:D2">
  <tableColumns count="4">
    <tableColumn id="1" name="ID"/>
    <tableColumn id="2" name="الخانة A1 (العنوان)"/>
    <tableColumn id="3" name="الخانة B1 (الشعار)"/>
    <tableColumn id="4" name="الخانة C1 (نبذة عن أم سامر)"/>
  </tableColumns>
  <tableStyleInfo name="ِAbou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000"/>
  <sheetViews>
    <sheetView rightToLeft="1" tabSelected="1" topLeftCell="K1" workbookViewId="0">
      <pane ySplit="1" topLeftCell="A2" activePane="bottomLeft" state="frozen"/>
      <selection pane="bottomLeft" activeCell="AQ2" sqref="AQ2"/>
    </sheetView>
  </sheetViews>
  <sheetFormatPr defaultColWidth="14.44140625" defaultRowHeight="15" customHeight="1" x14ac:dyDescent="0.3"/>
  <cols>
    <col min="1" max="1" width="5.109375" customWidth="1"/>
    <col min="2" max="2" width="8.88671875" customWidth="1"/>
    <col min="3" max="3" width="21.44140625" customWidth="1"/>
    <col min="4" max="4" width="7.44140625" customWidth="1"/>
    <col min="5" max="5" width="38.5546875" customWidth="1"/>
    <col min="6" max="6" width="48.5546875" customWidth="1"/>
    <col min="7" max="7" width="11.33203125" customWidth="1"/>
    <col min="8" max="8" width="16.33203125" customWidth="1"/>
    <col min="9" max="9" width="29.33203125" customWidth="1"/>
    <col min="10" max="10" width="17.5546875" customWidth="1"/>
    <col min="11" max="11" width="9.44140625" customWidth="1"/>
    <col min="12" max="12" width="8.44140625" customWidth="1"/>
    <col min="13" max="15" width="8.88671875" customWidth="1"/>
    <col min="16" max="16" width="11" customWidth="1"/>
    <col min="17" max="18" width="8.88671875" customWidth="1"/>
    <col min="19" max="19" width="22.44140625" customWidth="1"/>
    <col min="20" max="20" width="37.6640625" customWidth="1"/>
    <col min="21" max="21" width="8.88671875" customWidth="1"/>
    <col min="22" max="22" width="20.44140625" customWidth="1"/>
    <col min="23" max="23" width="30.44140625" customWidth="1"/>
    <col min="24" max="29" width="8.88671875" customWidth="1"/>
    <col min="30" max="30" width="22.6640625" customWidth="1"/>
    <col min="31" max="32" width="8.88671875" customWidth="1"/>
    <col min="33" max="33" width="32.5546875" customWidth="1"/>
    <col min="34" max="36" width="8.88671875" customWidth="1"/>
    <col min="37" max="37" width="29.6640625" customWidth="1"/>
    <col min="38" max="50" width="8.88671875" customWidth="1"/>
  </cols>
  <sheetData>
    <row r="1" spans="1:43" ht="14.25" customHeight="1" x14ac:dyDescent="0.3">
      <c r="A1" s="1" t="s">
        <v>0</v>
      </c>
      <c r="B1" s="2" t="s">
        <v>1</v>
      </c>
      <c r="C1" s="2" t="s">
        <v>2</v>
      </c>
      <c r="D1" s="2" t="s">
        <v>3</v>
      </c>
      <c r="E1" s="2" t="s">
        <v>4</v>
      </c>
      <c r="F1" s="2" t="s">
        <v>5</v>
      </c>
      <c r="G1" s="2" t="s">
        <v>6</v>
      </c>
      <c r="H1" s="2" t="s">
        <v>7</v>
      </c>
      <c r="I1" s="2" t="s">
        <v>8</v>
      </c>
      <c r="J1" s="3" t="s">
        <v>9</v>
      </c>
      <c r="K1" s="3" t="s">
        <v>10</v>
      </c>
      <c r="L1" s="3" t="s">
        <v>11</v>
      </c>
      <c r="M1" s="3" t="s">
        <v>12</v>
      </c>
      <c r="N1" s="3" t="s">
        <v>13</v>
      </c>
      <c r="O1" s="4" t="s">
        <v>14</v>
      </c>
      <c r="P1" s="5" t="s">
        <v>15</v>
      </c>
      <c r="Q1" s="5" t="s">
        <v>16</v>
      </c>
      <c r="R1" s="5" t="s">
        <v>17</v>
      </c>
      <c r="S1" s="5" t="s">
        <v>18</v>
      </c>
      <c r="T1" s="5" t="s">
        <v>19</v>
      </c>
      <c r="U1" s="5" t="s">
        <v>20</v>
      </c>
      <c r="V1" s="5" t="s">
        <v>21</v>
      </c>
      <c r="W1" s="5" t="s">
        <v>22</v>
      </c>
      <c r="X1" s="6" t="s">
        <v>23</v>
      </c>
      <c r="Y1" s="6" t="s">
        <v>24</v>
      </c>
      <c r="Z1" s="6" t="s">
        <v>25</v>
      </c>
      <c r="AA1" s="6" t="s">
        <v>26</v>
      </c>
      <c r="AB1" s="6" t="s">
        <v>27</v>
      </c>
      <c r="AC1" s="7" t="str">
        <f ca="1">IFERROR(__xludf.DUMMYFUNCTION("GOOGLETRANSLATE(O1, ""en"", ""sv"")"),"ID")</f>
        <v>ID</v>
      </c>
      <c r="AD1" s="7" t="str">
        <f ca="1">IFERROR(__xludf.DUMMYFUNCTION("GOOGLETRANSLATE(P1, ""en"", ""sv"")"),"Kategori")</f>
        <v>Kategori</v>
      </c>
      <c r="AE1" s="7" t="str">
        <f ca="1">IFERROR(__xludf.DUMMYFUNCTION("GOOGLETRANSLATE(Q1, ""en"", ""sv"")"),"Namn")</f>
        <v>Namn</v>
      </c>
      <c r="AF1" s="7" t="str">
        <f ca="1">IFERROR(__xludf.DUMMYFUNCTION("GOOGLETRANSLATE(R1, ""en"", ""sv"")"),"Tid")</f>
        <v>Tid</v>
      </c>
      <c r="AG1" s="7" t="str">
        <f ca="1">IFERROR(__xludf.DUMMYFUNCTION("GOOGLETRANSLATE(S1, ""en"", ""sv"")"),"Ingredienser")</f>
        <v>Ingredienser</v>
      </c>
      <c r="AH1" s="7" t="str">
        <f ca="1">IFERROR(__xludf.DUMMYFUNCTION("GOOGLETRANSLATE(T1, ""en"", ""sv"")"),"Sätt")</f>
        <v>Sätt</v>
      </c>
      <c r="AI1" s="7" t="str">
        <f ca="1">IFERROR(__xludf.DUMMYFUNCTION("GOOGLETRANSLATE(U1, ""en"", ""sv"")"),"Aktier")</f>
        <v>Aktier</v>
      </c>
      <c r="AJ1" s="7" t="str">
        <f ca="1">IFERROR(__xludf.DUMMYFUNCTION("GOOGLETRANSLATE(V1, ""en"", ""sv"")"),"Dekoration")</f>
        <v>Dekoration</v>
      </c>
      <c r="AK1" s="7" t="str">
        <f ca="1">IFERROR(__xludf.DUMMYFUNCTION("GOOGLETRANSLATE(W1, ""en"", ""sv"")"),"Hemligheter")</f>
        <v>Hemligheter</v>
      </c>
      <c r="AL1" s="7" t="str">
        <f ca="1">IFERROR(__xludf.DUMMYFUNCTION("GOOGLETRANSLATE(X1, ""en"", ""sv"")"),"Bilder")</f>
        <v>Bilder</v>
      </c>
      <c r="AM1" s="7" t="str">
        <f ca="1">IFERROR(__xludf.DUMMYFUNCTION("GOOGLETRANSLATE(Y1, ""en"", ""sv"")"),"Videor")</f>
        <v>Videor</v>
      </c>
      <c r="AN1" s="7" t="str">
        <f ca="1">IFERROR(__xludf.DUMMYFUNCTION("GOOGLETRANSLATE(Z1, ""en"", ""sv"")"),"Favorit")</f>
        <v>Favorit</v>
      </c>
      <c r="AO1" s="7" t="str">
        <f ca="1">IFERROR(__xludf.DUMMYFUNCTION("GOOGLETRANSLATE(AA1, ""en"", ""sv"")"),"Proffstips")</f>
        <v>Proffstips</v>
      </c>
      <c r="AP1" s="7" t="str">
        <f ca="1">IFERROR(__xludf.DUMMYFUNCTION("GOOGLETRANSLATE(AB1, ""en"", ""sv"")"),"Var_att_köpa")</f>
        <v>Var_att_köpa</v>
      </c>
      <c r="AQ1" s="7"/>
    </row>
    <row r="2" spans="1:43" ht="409.6" x14ac:dyDescent="0.3">
      <c r="A2" s="8" t="s">
        <v>28</v>
      </c>
      <c r="B2" s="9" t="s">
        <v>29</v>
      </c>
      <c r="C2" s="10" t="s">
        <v>30</v>
      </c>
      <c r="D2" s="10" t="s">
        <v>31</v>
      </c>
      <c r="E2" s="10" t="s">
        <v>32</v>
      </c>
      <c r="F2" s="10" t="s">
        <v>33</v>
      </c>
      <c r="G2" s="10" t="s">
        <v>34</v>
      </c>
      <c r="H2" s="10" t="s">
        <v>35</v>
      </c>
      <c r="I2" s="10" t="s">
        <v>36</v>
      </c>
      <c r="J2" s="11" t="s">
        <v>37</v>
      </c>
      <c r="K2" s="12"/>
      <c r="L2" s="13"/>
      <c r="M2" s="13"/>
      <c r="N2" s="13"/>
      <c r="O2" s="14" t="str">
        <f t="shared" ref="O2:O76" si="0">A2</f>
        <v>1</v>
      </c>
      <c r="P2" s="15" t="str">
        <f ca="1">IFERROR(__xludf.DUMMYFUNCTION("GOOGLETRANSLATE(B2, ""ar"", ""en"")"),"Aleppo kibbeh")</f>
        <v>Aleppo kibbeh</v>
      </c>
      <c r="Q2" s="15" t="str">
        <f ca="1">IFERROR(__xludf.DUMMYFUNCTION("GOOGLETRANSLATE(C2, ""ar"", ""en"")"),"Fried Kibbeh")</f>
        <v>Fried Kibbeh</v>
      </c>
      <c r="R2" s="15" t="str">
        <f ca="1">IFERROR(__xludf.DUMMYFUNCTION("GOOGLETRANSLATE(D2, ""ar"", ""en"")"),"3 hours")</f>
        <v>3 hours</v>
      </c>
      <c r="S2" s="15" t="str">
        <f ca="1">IFERROR(__xludf.DUMMYFUNCTION("GOOGLETRANSLATE(E2, ""ar"", ""en"")"),"• 1 kg wholegrain bulgur wheat (white bulgur is good for cooking, not for kibbeh)
• 400 g lean beef or veal
• 200 g flour
• 2 large onions (400 g)
• 1 tsp each of black pepper and cinnamon
• 7 spices
• 1 tsp ground ginger
• 1 Maggi cube
• 1 tbsp sa"&amp;"lt
Filling:
• 1.5 kg lean ground beef (1.5 kg per 1 kg bulgur)
• 2 large onions (600 g)
• 100 g toasted pine nuts (if available)
• 250 g walnuts")</f>
        <v>• 1 kg wholegrain bulgur wheat (white bulgur is good for cooking, not for kibbeh)
• 400 g lean beef or veal
• 200 g flour
• 2 large onions (400 g)
• 1 tsp each of black pepper and cinnamon
• 7 spices
• 1 tsp ground ginger
• 1 Maggi cube
• 1 tbsp salt
Filling:
• 1.5 kg lean ground beef (1.5 kg per 1 kg bulgur)
• 2 large onions (600 g)
• 100 g toasted pine nuts (if available)
• 250 g walnuts</v>
      </c>
      <c r="T2" s="15" t="str">
        <f ca="1">IFERROR(__xludf.DUMMYFUNCTION("GOOGLETRANSLATE(F2, ""ar"", ""en"")"),"Pour 3 cups of cold tap water over the bulgur. Slice the onion into wedges and add it to the bulgur. Add the remaining ingredients to the bulgur, except for the lean meat (which you'll add later). Let the bulgur soak with the spices and sliced ​​onion for"&amp;" at least two hours, or longer if needed.
Grind the bulgur for the first time in a meat grinder, without the lean meat. After the first grinding is complete, mix the ground lean meat with the ground bulgur. If the mixture seems dry, gradually add a littl"&amp;"e water. Then, grind the bulgur and lean meat together again in the meat grinder until the kibbeh has a uniform color. Next, knead the mixture on a work surface until it is completely smooth. The dough should be firm, neither too soft nor too stiff, and e"&amp;"asily shaped.
There are different types of bulgur, and some require more water than others. Add the water by gently sprinkling and kneading as needed. For the kibbeh: Cut pieces about the size of your fist, half-closed, weighing approximately 70 grams. L"&amp;"ightly dampen your hands with water, but don't use too much so the kibbeh doesn't stick. Starting from the center of the circle, gently press down on the edges to flatten it. Roll the piece in your hand until it's about half a centimeter thick, or less if"&amp;" possible. Then fill it with the filling.
")</f>
        <v xml:space="preserve">Pour 3 cups of cold tap water over the bulgur. Slice the onion into wedges and add it to the bulgur. Add the remaining ingredients to the bulgur, except for the lean meat (which you'll add later). Let the bulgur soak with the spices and sliced ​​onion for at least two hours, or longer if needed.
Grind the bulgur for the first time in a meat grinder, without the lean meat. After the first grinding is complete, mix the ground lean meat with the ground bulgur. If the mixture seems dry, gradually add a little water. Then, grind the bulgur and lean meat together again in the meat grinder until the kibbeh has a uniform color. Next, knead the mixture on a work surface until it is completely smooth. The dough should be firm, neither too soft nor too stiff, and easily shaped.
There are different types of bulgur, and some require more water than others. Add the water by gently sprinkling and kneading as needed. For the kibbeh: Cut pieces about the size of your fist, half-closed, weighing approximately 70 grams. Lightly dampen your hands with water, but don't use too much so the kibbeh doesn't stick. Starting from the center of the circle, gently press down on the edges to flatten it. Roll the piece in your hand until it's about half a centimeter thick, or less if possible. Then fill it with the filling.
</v>
      </c>
      <c r="U2" s="15" t="str">
        <f ca="1">IFERROR(__xludf.DUMMYFUNCTION("GOOGLETRANSLATE(G2, ""ar"", ""en"")"),"10 people
")</f>
        <v xml:space="preserve">10 people
</v>
      </c>
      <c r="V2" s="15" t="str">
        <f ca="1">IFERROR(__xludf.DUMMYFUNCTION("GOOGLETRANSLATE(H2, ""ar"", ""en"")"),"Place lettuce leaves under the kibbeh dish and arrange them artistically on top, placing slices of tomato between each piece.")</f>
        <v>Place lettuce leaves under the kibbeh dish and arrange them artistically on top, placing slices of tomato between each piece.</v>
      </c>
      <c r="W2" s="15" t="str">
        <f ca="1">IFERROR(__xludf.DUMMYFUNCTION("GOOGLETRANSLATE(I2, ""ar"", ""en"")"),"A tip from Umm Samer's experience: Divide the work into two stages: prepare the filling the day before and prepare and stuff the kibbeh the next day.
Never fry frozen kibbeh. Spread it out on a tray and let it thaw, then fry it. It will be crispy and tas"&amp;"te like it's freshly made. A meat grinder is essential for preparing kibbeh.
Creative ways to roll out kibbeh for beginners:
1. You can roll out the kibbeh in a round glass after moistening the edges with water until it's about half a centimeter thick. "&amp;"Then fill it, remove it from the glass, seal the top, and shape it as desired.
2. Use a large carrot, brush it with a little oil, and shape the kibbeh around its circumference. Pull it out once it reaches the desired thickness, fill it, and then seal the"&amp;" top.
3. You can use an open plastic bag, like a sheet of paper. Place the kibbeh on one half, fold the other half over it, and press it down with a thin-bottomed kitchen plate until it reaches the desired thickness. Then, place the filling in the center"&amp;" of the circle, fold the bag over the two ends of the kibbeh, and seal them together. This will form a kibbeh cylinder open at both ends. Close the ends, and you'll have a wonderful kibbeh pastry.
You can store the kibbeh in the freezer for up to 6 month"&amp;"s, and it will stay as fresh as ever.")</f>
        <v>A tip from Umm Samer's experience: Divide the work into two stages: prepare the filling the day before and prepare and stuff the kibbeh the next day.
Never fry frozen kibbeh. Spread it out on a tray and let it thaw, then fry it. It will be crispy and taste like it's freshly made. A meat grinder is essential for preparing kibbeh.
Creative ways to roll out kibbeh for beginners:
1. You can roll out the kibbeh in a round glass after moistening the edges with water until it's about half a centimeter thick. Then fill it, remove it from the glass, seal the top, and shape it as desired.
2. Use a large carrot, brush it with a little oil, and shape the kibbeh around its circumference. Pull it out once it reaches the desired thickness, fill it, and then seal the top.
3. You can use an open plastic bag, like a sheet of paper. Place the kibbeh on one half, fold the other half over it, and press it down with a thin-bottomed kitchen plate until it reaches the desired thickness. Then, place the filling in the center of the circle, fold the bag over the two ends of the kibbeh, and seal them together. This will form a kibbeh cylinder open at both ends. Close the ends, and you'll have a wonderful kibbeh pastry.
You can store the kibbeh in the freezer for up to 6 months, and it will stay as fresh as ever.</v>
      </c>
      <c r="X2" s="15" t="str">
        <f ca="1">IFERROR(__xludf.DUMMYFUNCTION("GOOGLETRANSLATE(J2, ""ar"", ""en"")"),"images/Kebbe_Meqleyeh.jpg")</f>
        <v>images/Kebbe_Meqleyeh.jpg</v>
      </c>
      <c r="Y2" s="15" t="str">
        <f ca="1">IFERROR(__xludf.DUMMYFUNCTION("GOOGLETRANSLATE(K2, ""ar"", ""en"")"),"#VALUE!")</f>
        <v>#VALUE!</v>
      </c>
      <c r="Z2" s="15" t="str">
        <f ca="1">IFERROR(__xludf.DUMMYFUNCTION("GOOGLETRANSLATE(L2, ""ar"", ""en"")"),"#VALUE!")</f>
        <v>#VALUE!</v>
      </c>
      <c r="AA2" s="15" t="str">
        <f ca="1">IFERROR(__xludf.DUMMYFUNCTION("GOOGLETRANSLATE(M2, ""ar"", ""en"")"),"#VALUE!")</f>
        <v>#VALUE!</v>
      </c>
      <c r="AB2" s="15" t="str">
        <f ca="1">IFERROR(__xludf.DUMMYFUNCTION("GOOGLETRANSLATE(N2, ""ar"", ""en"")"),"#VALUE!")</f>
        <v>#VALUE!</v>
      </c>
      <c r="AC2" s="16" t="str">
        <f t="shared" ref="AC2:AC75" si="1">A2</f>
        <v>1</v>
      </c>
      <c r="AD2" s="17" t="str">
        <f ca="1">IFERROR(__xludf.DUMMYFUNCTION("GOOGLETRANSLATE(P2, ""en"", ""sv"")"),"Aleppo kibbeh")</f>
        <v>Aleppo kibbeh</v>
      </c>
      <c r="AE2" s="17" t="str">
        <f ca="1">IFERROR(__xludf.DUMMYFUNCTION("GOOGLETRANSLATE(Q2, ""en"", ""sv"")"),"Stekt Kibbeh")</f>
        <v>Stekt Kibbeh</v>
      </c>
      <c r="AF2" s="17" t="str">
        <f ca="1">IFERROR(__xludf.DUMMYFUNCTION("GOOGLETRANSLATE(R2, ""en"", ""sv"")"),"3 timmar")</f>
        <v>3 timmar</v>
      </c>
      <c r="AG2" s="17" t="str">
        <f ca="1">IFERROR(__xludf.DUMMYFUNCTION("GOOGLETRANSLATE(S2, ""en"", ""sv"")"),"• 1 kg fullkornsbulgur (vit bulgur är bra att tillaga, inte till kibbeh)
• 400 g magert nöt- eller kalvkött
• 200 g mjöl
• 2 stora lökar (400 g)
• 1 tsk vardera av svartpeppar och kanel
• 7 kryddor
• 1 tsk malen ingefära
• 1 Maggi-tärning
• 1 msk s"&amp;"alt
Fyllning:
• 1,5 kg mager nötfärs (1,5 kg per 1 kg bulgur)
• 2 stora lökar (600 g)
• 100 g rostade pinjenötter (om sådana finns)
• 250 g valnötter")</f>
        <v>• 1 kg fullkornsbulgur (vit bulgur är bra att tillaga, inte till kibbeh)
• 400 g magert nöt- eller kalvkött
• 200 g mjöl
• 2 stora lökar (400 g)
• 1 tsk vardera av svartpeppar och kanel
• 7 kryddor
• 1 tsk malen ingefära
• 1 Maggi-tärning
• 1 msk salt
Fyllning:
• 1,5 kg mager nötfärs (1,5 kg per 1 kg bulgur)
• 2 stora lökar (600 g)
• 100 g rostade pinjenötter (om sådana finns)
• 250 g valnötter</v>
      </c>
      <c r="AH2" s="17" t="str">
        <f ca="1">IFERROR(__xludf.DUMMYFUNCTION("GOOGLETRANSLATE(T2, ""en"", ""sv"")"),"Häll 7,5 dl kallt kranvatten över bulgurn. Skiva löken i klyftor och lägg den i bulgurn. Tillsätt resterande ingredienser i bulgurn, förutom det magra köttet (som du tillsätter senare). Låt bulgurn dra ihop sig med kryddorna och den skivade löken i minst "&amp;"två timmar, eller längre om det behövs.
Mala bulgurn för första gången i en köttkvarn, utan det magra köttet. Efter den första malningen är klar, blanda det malda magra köttet med den malda bulgurn. Om blandningen verkar torr, tillsätt gradvis lite vatt"&amp;"en. Mal sedan bulgurn och det magra köttet igen i köttkvarnen tills kibbehn har en jämn färg. Knåda sedan blandningen på en arbetsyta tills den är helt slät. Degen ska vara fast, varken för mjuk eller för stel, och lätt att forma.
Det finns olika typer "&amp;"av bulgur, och vissa kräver mer vatten än andra. Tillsätt vattnet genom att försiktigt strö och knåda efter behov. För kibbehn: Skär bitar ungefär lika stora som din knytnäve, halvt stängda, som väger cirka 70 gram. Fukta händerna lätt med vatten, men anv"&amp;"änd inte för mycket så att kibbehn inte fastnar. Börja från cirkelns mitt och tryck försiktigt ner kanterna för att platta till den. Rulla biten i handen tills den är ungefär en halv centimeter tjock, eller mindre om möjligt. Fyll den sedan med fyllningen"&amp;".
")</f>
        <v xml:space="preserve">Häll 7,5 dl kallt kranvatten över bulgurn. Skiva löken i klyftor och lägg den i bulgurn. Tillsätt resterande ingredienser i bulgurn, förutom det magra köttet (som du tillsätter senare). Låt bulgurn dra ihop sig med kryddorna och den skivade löken i minst två timmar, eller längre om det behövs.
Mala bulgurn för första gången i en köttkvarn, utan det magra köttet. Efter den första malningen är klar, blanda det malda magra köttet med den malda bulgurn. Om blandningen verkar torr, tillsätt gradvis lite vatten. Mal sedan bulgurn och det magra köttet igen i köttkvarnen tills kibbehn har en jämn färg. Knåda sedan blandningen på en arbetsyta tills den är helt slät. Degen ska vara fast, varken för mjuk eller för stel, och lätt att forma.
Det finns olika typer av bulgur, och vissa kräver mer vatten än andra. Tillsätt vattnet genom att försiktigt strö och knåda efter behov. För kibbehn: Skär bitar ungefär lika stora som din knytnäve, halvt stängda, som väger cirka 70 gram. Fukta händerna lätt med vatten, men använd inte för mycket så att kibbehn inte fastnar. Börja från cirkelns mitt och tryck försiktigt ner kanterna för att platta till den. Rulla biten i handen tills den är ungefär en halv centimeter tjock, eller mindre om möjligt. Fyll den sedan med fyllningen.
</v>
      </c>
      <c r="AI2" s="17" t="str">
        <f ca="1">IFERROR(__xludf.DUMMYFUNCTION("GOOGLETRANSLATE(U2, ""en"", ""sv"")"),"10 personer")</f>
        <v>10 personer</v>
      </c>
      <c r="AJ2" s="17" t="str">
        <f ca="1">IFERROR(__xludf.DUMMYFUNCTION("GOOGLETRANSLATE(V2, ""en"", ""sv"")"),"Lägg salladsblad under kibbeh-formen och arrangera dem konstnärligt ovanpå, med tomatskivor mellan varje bit.")</f>
        <v>Lägg salladsblad under kibbeh-formen och arrangera dem konstnärligt ovanpå, med tomatskivor mellan varje bit.</v>
      </c>
      <c r="AK2" s="17" t="str">
        <f ca="1">IFERROR(__xludf.DUMMYFUNCTION("GOOGLETRANSLATE(W2, ""en"", ""sv"")"),"Ett tips från Umm Samers erfarenhet: Dela upp arbetet i två steg: förbered fyllningen dagen innan och förbered och fyll kibbehen nästa dag.
Fritera aldrig fryst kibbeh. Bred ut den på en plåt och låt den tina, fritera den sedan. Den kommer att vara krisp"&amp;"ig och smaka som nygjord. En köttkvarn är avgörande för att tillaga kibbeh.
Kreativa sätt att kavla ut kibbeh för nybörjare:
1. Du kan kavla ut kibbehen i ett runt glas efter att ha fuktat kanterna med vatten tills den är ungefär en halv centimeter tjoc"&amp;"k. Fyll den sedan, ta ut den ur glaset, förslut toppen och forma den som du vill.
2. Använd en stor morot, pensla den med lite olja och forma kibbehen runt omkretsen. Dra ut den när den når önskad tjocklek, fyll den och förslut sedan toppen.
3. Du kan a"&amp;"nvända en öppen plastpåse, som ett pappersark. Lägg kibbehn på ena halvan, vik den andra halvan över den och tryck ner den med en tunnbottnad tallrik tills den når önskad tjocklek. Lägg sedan fyllningen i mitten av cirkeln, vik påsen över kibbehns två änd"&amp;"ar och förslut dem. Detta kommer att bilda en kibbehcylinder som är öppen i båda ändar. Stäng ändarna, så har du en underbar kibbehdeg.
Du kan förvara kibbehn i frysen i upp till 6 månader, och den kommer att hålla sig lika färsk som alltid.")</f>
        <v>Ett tips från Umm Samers erfarenhet: Dela upp arbetet i två steg: förbered fyllningen dagen innan och förbered och fyll kibbehen nästa dag.
Fritera aldrig fryst kibbeh. Bred ut den på en plåt och låt den tina, fritera den sedan. Den kommer att vara krispig och smaka som nygjord. En köttkvarn är avgörande för att tillaga kibbeh.
Kreativa sätt att kavla ut kibbeh för nybörjare:
1. Du kan kavla ut kibbehen i ett runt glas efter att ha fuktat kanterna med vatten tills den är ungefär en halv centimeter tjock. Fyll den sedan, ta ut den ur glaset, förslut toppen och forma den som du vill.
2. Använd en stor morot, pensla den med lite olja och forma kibbehen runt omkretsen. Dra ut den när den når önskad tjocklek, fyll den och förslut sedan toppen.
3. Du kan använda en öppen plastpåse, som ett pappersark. Lägg kibbehn på ena halvan, vik den andra halvan över den och tryck ner den med en tunnbottnad tallrik tills den når önskad tjocklek. Lägg sedan fyllningen i mitten av cirkeln, vik påsen över kibbehns två ändar och förslut dem. Detta kommer att bilda en kibbehcylinder som är öppen i båda ändar. Stäng ändarna, så har du en underbar kibbehdeg.
Du kan förvara kibbehn i frysen i upp till 6 månader, och den kommer att hålla sig lika färsk som alltid.</v>
      </c>
      <c r="AL2" s="17" t="str">
        <f ca="1">IFERROR(__xludf.DUMMYFUNCTION("GOOGLETRANSLATE(X2, ""en"", ""sv"")"),"bilder/Kebbe_Meqleyeh.jpg")</f>
        <v>bilder/Kebbe_Meqleyeh.jpg</v>
      </c>
      <c r="AM2" s="17" t="str">
        <f ca="1">IFERROR(__xludf.DUMMYFUNCTION("GOOGLETRANSLATE(Y2, ""en"", ""sv"")"),"#VALUE!")</f>
        <v>#VALUE!</v>
      </c>
      <c r="AN2" s="17" t="str">
        <f ca="1">IFERROR(__xludf.DUMMYFUNCTION("GOOGLETRANSLATE(Z2, ""en"", ""sv"")"),"#VALUE!")</f>
        <v>#VALUE!</v>
      </c>
      <c r="AO2" s="17" t="str">
        <f ca="1">IFERROR(__xludf.DUMMYFUNCTION("GOOGLETRANSLATE(AA2, ""en"", ""sv"")"),"#VALUE!")</f>
        <v>#VALUE!</v>
      </c>
      <c r="AP2" s="17" t="str">
        <f ca="1">IFERROR(__xludf.DUMMYFUNCTION("GOOGLETRANSLATE(AB2, ""en"", ""sv"")"),"#VALUE!")</f>
        <v>#VALUE!</v>
      </c>
      <c r="AQ2" s="17"/>
    </row>
    <row r="3" spans="1:43" ht="14.25" customHeight="1" x14ac:dyDescent="0.3">
      <c r="A3" s="8" t="s">
        <v>38</v>
      </c>
      <c r="B3" s="9" t="s">
        <v>29</v>
      </c>
      <c r="C3" s="10" t="s">
        <v>39</v>
      </c>
      <c r="D3" s="10" t="s">
        <v>31</v>
      </c>
      <c r="E3" s="10" t="s">
        <v>40</v>
      </c>
      <c r="F3" s="10" t="s">
        <v>41</v>
      </c>
      <c r="G3" s="10" t="s">
        <v>42</v>
      </c>
      <c r="H3" s="10" t="s">
        <v>43</v>
      </c>
      <c r="I3" s="10" t="s">
        <v>44</v>
      </c>
      <c r="J3" s="11" t="s">
        <v>45</v>
      </c>
      <c r="K3" s="12"/>
      <c r="L3" s="13"/>
      <c r="M3" s="13"/>
      <c r="N3" s="13"/>
      <c r="O3" s="14" t="str">
        <f t="shared" si="0"/>
        <v>2</v>
      </c>
      <c r="P3" s="15" t="str">
        <f ca="1">IFERROR(__xludf.DUMMYFUNCTION("GOOGLETRANSLATE(B3, ""ar"", ""en"")"),"Aleppo kibbeh")</f>
        <v>Aleppo kibbeh</v>
      </c>
      <c r="Q3" s="15" t="str">
        <f ca="1">IFERROR(__xludf.DUMMYFUNCTION("GOOGLETRANSLATE(C3, ""ar"", ""en"")"),"Grilled kibbeh")</f>
        <v>Grilled kibbeh</v>
      </c>
      <c r="R3" s="15" t="str">
        <f ca="1">IFERROR(__xludf.DUMMYFUNCTION("GOOGLETRANSLATE(D3, ""ar"", ""en"")"),"3 hours")</f>
        <v>3 hours</v>
      </c>
      <c r="S3" s="15" t="str">
        <f ca="1">IFERROR(__xludf.DUMMYFUNCTION("GOOGLETRANSLATE(E3, ""ar"", ""en"")"),"• 1 kg wholegrain bulgur wheat (white bulgur is good for cooking, not for kibbeh)
• 700 g lean beef or veal
• 200 g flour
• 2 large onions
• 400 g
• 1/2 tbsp seven-spice mix
• 1/2 tbsp cumin
• 1 tbsp salt
• 1/2 tbsp black pepper
• 1/4 tbsp ground cinnamon"&amp;"
• 2 Maggi cubes
Filling:
• 1 kg minced meat
• 1 kg lamb fat (kidney and belly fat only)
• 2 onions (600 g)
• 1 tsp dried mint
• 1/2 cup pomegranate molasses
• 1/4 kg walnuts
• 100 g toasted pine nuts (if available)")</f>
        <v>• 1 kg wholegrain bulgur wheat (white bulgur is good for cooking, not for kibbeh)
• 700 g lean beef or veal
• 200 g flour
• 2 large onions
• 400 g
• 1/2 tbsp seven-spice mix
• 1/2 tbsp cumin
• 1 tbsp salt
• 1/2 tbsp black pepper
• 1/4 tbsp ground cinnamon
• 2 Maggi cubes
Filling:
• 1 kg minced meat
• 1 kg lamb fat (kidney and belly fat only)
• 2 onions (600 g)
• 1 tsp dried mint
• 1/2 cup pomegranate molasses
• 1/4 kg walnuts
• 100 g toasted pine nuts (if available)</v>
      </c>
      <c r="T3" s="15" t="str">
        <f ca="1">IFERROR(__xludf.DUMMYFUNCTION("GOOGLETRANSLATE(F3, ""ar"", ""en"")"),"The basic principle in preparing kibbeh dough is simple, and the most important element is adding water gradually, never all at once. Pour 3 cups of cold tap water over the bulgur. Slice the onion into wedges and add it to the bulgur. Add the remaining in"&amp;"gredients to the bulgur, except for the lean meat, which will be added later.
Let the bulgur soak with the spices for at least two hours, or longer if needed. Grind the bulgur for the first time in a meat grinder, without the lean meat. After the first g"&amp;"rinding is complete, mix the ground lean meat with the flour and the ground bulgur. If the dough seems dry, gradually add a little water. Then, grind the bulgur and lean meat together again in the meat grinder until the kibbeh has a uniform color. Finally"&amp;", knead the mixture on a work surface until it is completely smooth. Start by cutting the kibbeh into fist-sized pieces, about 50 grams each, while they're half-closed. Open a freezer bag to lay it flat in a single layer. Place two pieces of kibbeh on the"&amp;" center of one half of the bag and cover them with the other half. Take a plate with a rounded, defined base (not just a flat one) and press the kibbeh down until you have two thin, even discs.
Now, cut a piece of the filling and flatten it slightly into"&amp;" a circle. Place it on top of one of the discs and cover it with the other disc. Start rolling it in your hands, pressing the edges together with your thumb as you roll. This will create a firm disc ready for grilling.")</f>
        <v>The basic principle in preparing kibbeh dough is simple, and the most important element is adding water gradually, never all at once. Pour 3 cups of cold tap water over the bulgur. Slice the onion into wedges and add it to the bulgur. Add the remaining ingredients to the bulgur, except for the lean meat, which will be added later.
Let the bulgur soak with the spices for at least two hours, or longer if needed. Grind the bulgur for the first time in a meat grinder, without the lean meat. After the first grinding is complete, mix the ground lean meat with the flour and the ground bulgur. If the dough seems dry, gradually add a little water. Then, grind the bulgur and lean meat together again in the meat grinder until the kibbeh has a uniform color. Finally, knead the mixture on a work surface until it is completely smooth. Start by cutting the kibbeh into fist-sized pieces, about 50 grams each, while they're half-closed. Open a freezer bag to lay it flat in a single layer. Place two pieces of kibbeh on the center of one half of the bag and cover them with the other half. Take a plate with a rounded, defined base (not just a flat one) and press the kibbeh down until you have two thin, even discs.
Now, cut a piece of the filling and flatten it slightly into a circle. Place it on top of one of the discs and cover it with the other disc. Start rolling it in your hands, pressing the edges together with your thumb as you roll. This will create a firm disc ready for grilling.</v>
      </c>
      <c r="U3" s="15" t="str">
        <f ca="1">IFERROR(__xludf.DUMMYFUNCTION("GOOGLETRANSLATE(G3, ""ar"", ""en"")"),"13 people")</f>
        <v>13 people</v>
      </c>
      <c r="V3" s="15" t="str">
        <f ca="1">IFERROR(__xludf.DUMMYFUNCTION("GOOGLETRANSLATE(H3, ""ar"", ""en"")"),"Place lettuce leaves under the kibbeh plate and arrange them artistically on top, adding slices of tomato between each kibbeh.")</f>
        <v>Place lettuce leaves under the kibbeh plate and arrange them artistically on top, adding slices of tomato between each kibbeh.</v>
      </c>
      <c r="W3" s="15" t="str">
        <f ca="1">IFERROR(__xludf.DUMMYFUNCTION("GOOGLETRANSLATE(I3, ""ar"", ""en"")"),"A tip from Umm Samer's experience: Divide the work into two stages: prepare the filling the day before, and prepare and stuff the kibbeh the next day.
The fat must be from the kidneys only. You can fry the kibbeh like you would fried kibbeh, and you'll g"&amp;"et a unique and delicious new flavor.
You can store the kibbeh in the freezer for up to 6 months, and it will stay as good as fresh.
")</f>
        <v xml:space="preserve">A tip from Umm Samer's experience: Divide the work into two stages: prepare the filling the day before, and prepare and stuff the kibbeh the next day.
The fat must be from the kidneys only. You can fry the kibbeh like you would fried kibbeh, and you'll get a unique and delicious new flavor.
You can store the kibbeh in the freezer for up to 6 months, and it will stay as good as fresh.
</v>
      </c>
      <c r="X3" s="15" t="str">
        <f ca="1">IFERROR(__xludf.DUMMYFUNCTION("GOOGLETRANSLATE(J3, ""ar"", ""en"")"),"images/Kebbe_Meshweyeh.jpeg")</f>
        <v>images/Kebbe_Meshweyeh.jpeg</v>
      </c>
      <c r="Y3" s="15" t="str">
        <f ca="1">IFERROR(__xludf.DUMMYFUNCTION("GOOGLETRANSLATE(K3, ""ar"", ""en"")"),"#VALUE!")</f>
        <v>#VALUE!</v>
      </c>
      <c r="Z3" s="15" t="str">
        <f ca="1">IFERROR(__xludf.DUMMYFUNCTION("GOOGLETRANSLATE(L3, ""ar"", ""en"")"),"#VALUE!")</f>
        <v>#VALUE!</v>
      </c>
      <c r="AA3" s="15" t="str">
        <f ca="1">IFERROR(__xludf.DUMMYFUNCTION("GOOGLETRANSLATE(M3, ""ar"", ""en"")"),"#VALUE!")</f>
        <v>#VALUE!</v>
      </c>
      <c r="AB3" s="15" t="str">
        <f ca="1">IFERROR(__xludf.DUMMYFUNCTION("GOOGLETRANSLATE(N3, ""ar"", ""en"")"),"#VALUE!")</f>
        <v>#VALUE!</v>
      </c>
      <c r="AC3" s="16" t="str">
        <f t="shared" si="1"/>
        <v>2</v>
      </c>
      <c r="AD3" s="17" t="str">
        <f ca="1">IFERROR(__xludf.DUMMYFUNCTION("GOOGLETRANSLATE(P3, ""en"", ""sv"")"),"Aleppo kibbeh")</f>
        <v>Aleppo kibbeh</v>
      </c>
      <c r="AE3" s="17" t="str">
        <f ca="1">IFERROR(__xludf.DUMMYFUNCTION("GOOGLETRANSLATE(Q3, ""en"", ""sv"")"),"Grillad kibbeh")</f>
        <v>Grillad kibbeh</v>
      </c>
      <c r="AF3" s="17" t="str">
        <f ca="1">IFERROR(__xludf.DUMMYFUNCTION("GOOGLETRANSLATE(R3, ""en"", ""sv"")"),"3 timmar")</f>
        <v>3 timmar</v>
      </c>
      <c r="AG3" s="17" t="str">
        <f ca="1">IFERROR(__xludf.DUMMYFUNCTION("GOOGLETRANSLATE(S3, ""en"", ""sv"")"),"• 1 kg fullkornsbulgur (vit bulgur är bra att tillaga, inte till kibbeh)
• 700 g magert nöt- eller kalvkött
• 200 g mjöl
• 2 stora lökar
• 400 g
• 1/2 msk sjukryddsmix
• 1/2 msk spiskummin
• 1 msk salt
• 1/2 msk svartpeppar
• 1/4 msk malen kanel
• 2 Maggi"&amp;"-tärningar
Fyllning:
• 1 kg köttfärs
• 1 kg lammfett (endast njur- och magfett)
• 2 lökar (600 g)
• 1 tsk torkad mynta
• 1/2 dl granatäpplemelass
• 1/4 kg valnötter
• 100 g rostade pinjenötter (om sådana finns)")</f>
        <v>• 1 kg fullkornsbulgur (vit bulgur är bra att tillaga, inte till kibbeh)
• 700 g magert nöt- eller kalvkött
• 200 g mjöl
• 2 stora lökar
• 400 g
• 1/2 msk sjukryddsmix
• 1/2 msk spiskummin
• 1 msk salt
• 1/2 msk svartpeppar
• 1/4 msk malen kanel
• 2 Maggi-tärningar
Fyllning:
• 1 kg köttfärs
• 1 kg lammfett (endast njur- och magfett)
• 2 lökar (600 g)
• 1 tsk torkad mynta
• 1/2 dl granatäpplemelass
• 1/4 kg valnötter
• 100 g rostade pinjenötter (om sådana finns)</v>
      </c>
      <c r="AH3" s="17" t="str">
        <f ca="1">IFERROR(__xludf.DUMMYFUNCTION("GOOGLETRANSLATE(T3, ""en"", ""sv"")"),"Grundprincipen för att tillaga kibbeh-deg är enkel, och det viktigaste är att tillsätta vatten gradvis, aldrig allt på en gång. Häll 7,5 dl kallt kranvatten över bulgurn. Skiva löken i klyftor och lägg den i bulgurn. Tillsätt resterande ingredienser i bul"&amp;"gurn, förutom det magra köttet, som tillsätts senare.
Låt bulgurn dra i kryddorna i minst två timmar, eller längre om det behövs. Mal bulgurn för första gången i en köttkvarn, utan det magra köttet. Efter den första malningen är klar, blanda det malda ma"&amp;"gra köttet med mjölet och den malda bulgurn. Om degen verkar torr, tillsätt gradvis lite vatten. Mal sedan bulgurn och det magra köttet igen i köttkvarnen tills kibbehn har en jämn färg. Knåda slutligen blandningen på en arbetsyta tills den är helt slät. "&amp;"Börja med att skära kibbehn i knytnävsstora bitar, cirka 50 gram styck, medan de är halvstängda. Öppna en fryspåse för att lägga den platt i ett enda lager. Placera två bitar kibbeh i mitten av ena halvan av påsen och täck dem med den andra halvan. Ta en "&amp;"tallrik med en rundad, markerad botten (inte bara en platt) och tryck ner kibbeh tills du har två tunna, jämna skivor.
Skär nu en bit av fyllningen och platta till den lätt till en cirkel. Lägg den ovanpå en av skivorna och täck den med den andra skivan."&amp;" Börja rulla den i dina händer och tryck ihop kanterna med tummen medan du rullar. Detta skapar en fast skiva redo för grillning.")</f>
        <v>Grundprincipen för att tillaga kibbeh-deg är enkel, och det viktigaste är att tillsätta vatten gradvis, aldrig allt på en gång. Häll 7,5 dl kallt kranvatten över bulgurn. Skiva löken i klyftor och lägg den i bulgurn. Tillsätt resterande ingredienser i bulgurn, förutom det magra köttet, som tillsätts senare.
Låt bulgurn dra i kryddorna i minst två timmar, eller längre om det behövs. Mal bulgurn för första gången i en köttkvarn, utan det magra köttet. Efter den första malningen är klar, blanda det malda magra köttet med mjölet och den malda bulgurn. Om degen verkar torr, tillsätt gradvis lite vatten. Mal sedan bulgurn och det magra köttet igen i köttkvarnen tills kibbehn har en jämn färg. Knåda slutligen blandningen på en arbetsyta tills den är helt slät. Börja med att skära kibbehn i knytnävsstora bitar, cirka 50 gram styck, medan de är halvstängda. Öppna en fryspåse för att lägga den platt i ett enda lager. Placera två bitar kibbeh i mitten av ena halvan av påsen och täck dem med den andra halvan. Ta en tallrik med en rundad, markerad botten (inte bara en platt) och tryck ner kibbeh tills du har två tunna, jämna skivor.
Skär nu en bit av fyllningen och platta till den lätt till en cirkel. Lägg den ovanpå en av skivorna och täck den med den andra skivan. Börja rulla den i dina händer och tryck ihop kanterna med tummen medan du rullar. Detta skapar en fast skiva redo för grillning.</v>
      </c>
      <c r="AI3" s="17" t="str">
        <f ca="1">IFERROR(__xludf.DUMMYFUNCTION("GOOGLETRANSLATE(U3, ""en"", ""sv"")"),"13 personer")</f>
        <v>13 personer</v>
      </c>
      <c r="AJ3" s="17" t="str">
        <f ca="1">IFERROR(__xludf.DUMMYFUNCTION("GOOGLETRANSLATE(V3, ""en"", ""sv"")"),"Lägg salladsblad under kibbeh-tallriken och arrangera dem konstnärligt ovanpå, med tomatskivor mellan varje kibbeh.")</f>
        <v>Lägg salladsblad under kibbeh-tallriken och arrangera dem konstnärligt ovanpå, med tomatskivor mellan varje kibbeh.</v>
      </c>
      <c r="AK3" s="17" t="str">
        <f ca="1">IFERROR(__xludf.DUMMYFUNCTION("GOOGLETRANSLATE(W3, ""en"", ""sv"")"),"Ett tips från Umm Samers erfarenhet: Dela upp arbetet i två steg: förbered fyllningen dagen innan och förbered och fyll kibbehn dagen efter.
Fettet får endast komma från njurarna. Du kan steka kibbehn som du skulle steka kibbehn, och du får en unik och u"&amp;"tsökt ny smak.
Du kan förvara kibbehn i frysen i upp till 6 månader, och den kommer att hålla sig lika färsk som den är.
")</f>
        <v xml:space="preserve">Ett tips från Umm Samers erfarenhet: Dela upp arbetet i två steg: förbered fyllningen dagen innan och förbered och fyll kibbehn dagen efter.
Fettet får endast komma från njurarna. Du kan steka kibbehn som du skulle steka kibbehn, och du får en unik och utsökt ny smak.
Du kan förvara kibbehn i frysen i upp till 6 månader, och den kommer att hålla sig lika färsk som den är.
</v>
      </c>
      <c r="AL3" s="17" t="str">
        <f ca="1">IFERROR(__xludf.DUMMYFUNCTION("GOOGLETRANSLATE(X3, ""en"", ""sv"")"),"bilder/Kebbe_Meshweyeh.jpeg")</f>
        <v>bilder/Kebbe_Meshweyeh.jpeg</v>
      </c>
      <c r="AM3" s="17" t="str">
        <f ca="1">IFERROR(__xludf.DUMMYFUNCTION("GOOGLETRANSLATE(Y3, ""en"", ""sv"")"),"#VALUE!")</f>
        <v>#VALUE!</v>
      </c>
      <c r="AN3" s="17" t="str">
        <f ca="1">IFERROR(__xludf.DUMMYFUNCTION("GOOGLETRANSLATE(Z3, ""en"", ""sv"")"),"#VALUE!")</f>
        <v>#VALUE!</v>
      </c>
      <c r="AO3" s="17" t="str">
        <f ca="1">IFERROR(__xludf.DUMMYFUNCTION("GOOGLETRANSLATE(AA3, ""en"", ""sv"")"),"#VALUE!")</f>
        <v>#VALUE!</v>
      </c>
      <c r="AP3" s="17" t="str">
        <f ca="1">IFERROR(__xludf.DUMMYFUNCTION("GOOGLETRANSLATE(AB3, ""en"", ""sv"")"),"#VALUE!")</f>
        <v>#VALUE!</v>
      </c>
      <c r="AQ3" s="17"/>
    </row>
    <row r="4" spans="1:43" ht="14.25" customHeight="1" x14ac:dyDescent="0.3">
      <c r="A4" s="8" t="s">
        <v>46</v>
      </c>
      <c r="B4" s="9" t="s">
        <v>29</v>
      </c>
      <c r="C4" s="18" t="s">
        <v>47</v>
      </c>
      <c r="D4" s="10" t="s">
        <v>48</v>
      </c>
      <c r="E4" s="10" t="s">
        <v>49</v>
      </c>
      <c r="F4" s="10" t="s">
        <v>50</v>
      </c>
      <c r="G4" s="19" t="s">
        <v>51</v>
      </c>
      <c r="H4" s="19" t="s">
        <v>52</v>
      </c>
      <c r="I4" s="10" t="s">
        <v>53</v>
      </c>
      <c r="J4" s="11" t="s">
        <v>54</v>
      </c>
      <c r="K4" s="12"/>
      <c r="L4" s="13"/>
      <c r="M4" s="13"/>
      <c r="N4" s="13"/>
      <c r="O4" s="14" t="str">
        <f t="shared" si="0"/>
        <v>3</v>
      </c>
      <c r="P4" s="15" t="str">
        <f ca="1">IFERROR(__xludf.DUMMYFUNCTION("GOOGLETRANSLATE(B4, ""ar"", ""en"")"),"Aleppo kibbeh")</f>
        <v>Aleppo kibbeh</v>
      </c>
      <c r="Q4" s="15" t="str">
        <f ca="1">IFERROR(__xludf.DUMMYFUNCTION("GOOGLETRANSLATE(C4, ""ar"", ""en"")"),"Kibbeh Labanieh, a dish made with yogurt")</f>
        <v>Kibbeh Labanieh, a dish made with yogurt</v>
      </c>
      <c r="R4" s="15" t="str">
        <f ca="1">IFERROR(__xludf.DUMMYFUNCTION("GOOGLETRANSLATE(D4, ""ar"", ""en"")"),"two hours")</f>
        <v>two hours</v>
      </c>
      <c r="S4" s="15" t="str">
        <f ca="1">IFERROR(__xludf.DUMMYFUNCTION("GOOGLETRANSLATE(E4, ""ar"", ""en"")"),"• 1 kg whole wheat bulgur (white bulgur is good for cooking, not for kibbeh)
• 600 g lean ground veal or beef
• 1 cup flour
• 3 onions
• 1 tbsp seven-spice mix
• 1 tbsp black pepper
• ½ tsp ground cinnamon
• 1 tbsp cumin
• 1 tsp ground ginger
• 1 tbsp sal"&amp;"t
Yogurt:
• 1 kg 10% fat yogurt
• 1 tbsp flour
• Salt
• 1 Maggi cube
• 1 tsp dried mint
• 3 tbsp ghee
• 1 tbsp minced garlic")</f>
        <v>• 1 kg whole wheat bulgur (white bulgur is good for cooking, not for kibbeh)
• 600 g lean ground veal or beef
• 1 cup flour
• 3 onions
• 1 tbsp seven-spice mix
• 1 tbsp black pepper
• ½ tsp ground cinnamon
• 1 tbsp cumin
• 1 tsp ground ginger
• 1 tbsp salt
Yogurt:
• 1 kg 10% fat yogurt
• 1 tbsp flour
• Salt
• 1 Maggi cube
• 1 tsp dried mint
• 3 tbsp ghee
• 1 tbsp minced garlic</v>
      </c>
      <c r="T4" s="15" t="str">
        <f ca="1">IFERROR(__xludf.DUMMYFUNCTION("GOOGLETRANSLATE(F4, ""ar"", ""en"")"),"The basic principle for preparing kibbeh dough is simple: add water gradually, never all at once. Pour 3 cups of cold tap water over the bulgur. Slice the onion into wedges and add it to the bulgur. Then add the remaining ingredients, except for the lean "&amp;"meat (which you'll add later). Let the bulgur soak with the spices for at least two hours, or longer if needed.
Grind the bulgur, onion, spices, and salt mixture for the first time in a meat grinder, without the lean meat. After the first grinding, mix t"&amp;"he ground lean meat with the flour and the bulgur that was ground in the grinder for the second time. If the dough seems dry, gradually add a little water, then grind the bulgur and lean meat together again in the meat grinder.
Now, cut the dough into sm"&amp;"all pieces, about the size of a closed fist (approximately 30 grams). Make a hole in the center and place the desired amount of filling inside. The thickness of the kibbeh in the labneh doesn't matter, but it's best if it's no more than 1 cm thick at the "&amp;"edges. Close the hole you made and press the kibbeh from all sides with your fist to ensure the dough and filling adhere. Then, roll it up to smooth the outer surface, shaping it into a long, pointed shape.
To boil the kibbeh: Fill a suitable pot halfway"&amp;" with water and bring it to a boil with a tablespoon of salt. Once boiling, carefully drop all the kibbeh pieces at once from the steamer into the boiling water. Stir them with the back of a spoon to separate them; they will separate easily as they don't "&amp;"stick together completely. Cover the pot and let it boil for 2 to 5 minutes maximum. After boiling, remove the kibbeh from the water with a slotted spoon and place them on a clean colander placed over a plate to drain. Let them cool, then spread them out "&amp;"on a tray. Use the steamer for the next serving.")</f>
        <v>The basic principle for preparing kibbeh dough is simple: add water gradually, never all at once. Pour 3 cups of cold tap water over the bulgur. Slice the onion into wedges and add it to the bulgur. Then add the remaining ingredients, except for the lean meat (which you'll add later). Let the bulgur soak with the spices for at least two hours, or longer if needed.
Grind the bulgur, onion, spices, and salt mixture for the first time in a meat grinder, without the lean meat. After the first grinding, mix the ground lean meat with the flour and the bulgur that was ground in the grinder for the second time. If the dough seems dry, gradually add a little water, then grind the bulgur and lean meat together again in the meat grinder.
Now, cut the dough into small pieces, about the size of a closed fist (approximately 30 grams). Make a hole in the center and place the desired amount of filling inside. The thickness of the kibbeh in the labneh doesn't matter, but it's best if it's no more than 1 cm thick at the edges. Close the hole you made and press the kibbeh from all sides with your fist to ensure the dough and filling adhere. Then, roll it up to smooth the outer surface, shaping it into a long, pointed shape.
To boil the kibbeh: Fill a suitable pot halfway with water and bring it to a boil with a tablespoon of salt. Once boiling, carefully drop all the kibbeh pieces at once from the steamer into the boiling water. Stir them with the back of a spoon to separate them; they will separate easily as they don't stick together completely. Cover the pot and let it boil for 2 to 5 minutes maximum. After boiling, remove the kibbeh from the water with a slotted spoon and place them on a clean colander placed over a plate to drain. Let them cool, then spread them out on a tray. Use the steamer for the next serving.</v>
      </c>
      <c r="U4" s="15" t="str">
        <f ca="1">IFERROR(__xludf.DUMMYFUNCTION("GOOGLETRANSLATE(G4, ""ar"", ""en"")"),"10 people")</f>
        <v>10 people</v>
      </c>
      <c r="V4" s="15" t="str">
        <f ca="1">IFERROR(__xludf.DUMMYFUNCTION("GOOGLETRANSLATE(H4, ""ar"", ""en"")"),"Garnish the kibbeh with labneh after pouring it over the filling by sprinkling mint in the center.")</f>
        <v>Garnish the kibbeh with labneh after pouring it over the filling by sprinkling mint in the center.</v>
      </c>
      <c r="W4" s="15" t="str">
        <f ca="1">IFERROR(__xludf.DUMMYFUNCTION("GOOGLETRANSLATE(I4, ""ar"", ""en"")"),"A tip from Umm Samer's experience: Divide the work into two stages: prepare the filling the day before, and prepare and stuff the kibbeh the next day. Don't put all the kibbeh in the yogurt sauce at once, or it will fall apart.")</f>
        <v>A tip from Umm Samer's experience: Divide the work into two stages: prepare the filling the day before, and prepare and stuff the kibbeh the next day. Don't put all the kibbeh in the yogurt sauce at once, or it will fall apart.</v>
      </c>
      <c r="X4" s="15" t="str">
        <f ca="1">IFERROR(__xludf.DUMMYFUNCTION("GOOGLETRANSLATE(J4, ""ar"", ""en"")"),"images/Kebbe_labaneyeh.jpeg")</f>
        <v>images/Kebbe_labaneyeh.jpeg</v>
      </c>
      <c r="Y4" s="15" t="str">
        <f ca="1">IFERROR(__xludf.DUMMYFUNCTION("GOOGLETRANSLATE(K4, ""ar"", ""en"")"),"#VALUE!")</f>
        <v>#VALUE!</v>
      </c>
      <c r="Z4" s="15" t="str">
        <f ca="1">IFERROR(__xludf.DUMMYFUNCTION("GOOGLETRANSLATE(L4, ""ar"", ""en"")"),"#VALUE!")</f>
        <v>#VALUE!</v>
      </c>
      <c r="AA4" s="15" t="str">
        <f ca="1">IFERROR(__xludf.DUMMYFUNCTION("GOOGLETRANSLATE(M4, ""ar"", ""en"")"),"#VALUE!")</f>
        <v>#VALUE!</v>
      </c>
      <c r="AB4" s="15" t="str">
        <f ca="1">IFERROR(__xludf.DUMMYFUNCTION("GOOGLETRANSLATE(N4, ""ar"", ""en"")"),"#VALUE!")</f>
        <v>#VALUE!</v>
      </c>
      <c r="AC4" s="16" t="str">
        <f t="shared" si="1"/>
        <v>3</v>
      </c>
      <c r="AD4" s="17" t="str">
        <f ca="1">IFERROR(__xludf.DUMMYFUNCTION("GOOGLETRANSLATE(P4, ""en"", ""sv"")"),"Aleppo kibbeh")</f>
        <v>Aleppo kibbeh</v>
      </c>
      <c r="AE4" s="17" t="str">
        <f ca="1">IFERROR(__xludf.DUMMYFUNCTION("GOOGLETRANSLATE(Q4, ""en"", ""sv"")"),"Kibbeh Labanieh, en rätt gjord på yoghurt")</f>
        <v>Kibbeh Labanieh, en rätt gjord på yoghurt</v>
      </c>
      <c r="AF4" s="17" t="str">
        <f ca="1">IFERROR(__xludf.DUMMYFUNCTION("GOOGLETRANSLATE(R4, ""en"", ""sv"")"),"två timmar")</f>
        <v>två timmar</v>
      </c>
      <c r="AG4" s="17" t="str">
        <f ca="1">IFERROR(__xludf.DUMMYFUNCTION("GOOGLETRANSLATE(S4, ""en"", ""sv"")"),"• 1 kg fullkornsbulgur (vit bulgur är bra att tillaga, inte till kibbeh)
• 600 g mager kalv- eller nötfärs
• 2,5 dl vetemjöl
• 3 lökar
• 1 msk sjukryddsmix
• 1 msk svartpeppar
• ½ tsk malen kanel
• 1 msk spiskummin
• 1 tsk malen ingefära
• 1 msk salt
Yog"&amp;"hurt:
• 1 kg yoghurt med 10 % fetthalt
• 1 msk vetemjöl
• Salt
• 1 Maggi-tärning
• 1 tsk torkad mynta
• 3 msk ghee
• 1 msk hackad vitlök")</f>
        <v>• 1 kg fullkornsbulgur (vit bulgur är bra att tillaga, inte till kibbeh)
• 600 g mager kalv- eller nötfärs
• 2,5 dl vetemjöl
• 3 lökar
• 1 msk sjukryddsmix
• 1 msk svartpeppar
• ½ tsk malen kanel
• 1 msk spiskummin
• 1 tsk malen ingefära
• 1 msk salt
Yoghurt:
• 1 kg yoghurt med 10 % fetthalt
• 1 msk vetemjöl
• Salt
• 1 Maggi-tärning
• 1 tsk torkad mynta
• 3 msk ghee
• 1 msk hackad vitlök</v>
      </c>
      <c r="AH4" s="17" t="str">
        <f ca="1">IFERROR(__xludf.DUMMYFUNCTION("GOOGLETRANSLATE(T4, ""en"", ""sv"")"),"Grundprincipen för att tillaga kibbeh-deg är enkel: tillsätt vatten gradvis, aldrig allt på en gång. Häll 7,5 dl kallt kranvatten över bulgurn. Skiva löken i klyftor och lägg den i bulgurn. Tillsätt sedan resterande ingredienser, förutom det magra köttet "&amp;"(som du tillsätter senare). Låt bulgurn dra i kryddorna i minst två timmar, eller längre om det behövs.
Mala bulgur-, lök-, krydd- och saltblandningen för första gången i en köttkvarn, utan det magra köttet. Efter den första malningen, blanda det malda "&amp;"magra köttet med mjölet och bulgurn som maldes i kvarnen för andra gången. Om degen verkar torr, tillsätt gradvis lite vatten och mal sedan bulgur och det magra köttet igen i köttkvarnen.
Skär nu degen i små bitar, ungefär stora som en knuten näve (cirk"&amp;"a 30 gram). Gör ett hål i mitten och placera önskad mängd fyllning inuti. Tjockleken på kibbehn i labnehn spelar ingen roll, men det är bäst om den inte är mer än 1 cm tjock i kanterna. Stäng hålet du gjorde och tryck till kibbehn från alla sidor med näve"&amp;"n för att säkerställa att deg och fyllning fäster. Rulla sedan ihop den för att jämna ut ytan och forma den till en lång, spetsig form.
För att koka kibbehn: Fyll en lämplig kastrull till hälften med vatten och koka upp den med en matsked salt. När det k"&amp;"okar, släpp försiktigt ner alla kibbehbitar på en gång från ångkokaren i det kokande vattnet. Rör om dem med baksidan av en sked för att separera dem; de kommer lätt att separera eftersom de inte klibbar ihop helt. Täck kastrullen och låt den koka i maxim"&amp;"alt 2 till 5 minuter. Efter kokning, ta upp kibbehn ur vattnet med en hålslev och lägg dem i ett rent durkslag placerat över en tallrik för att rinna av. Låt dem svalna och sprid sedan ut dem på en bricka. Använd ångkokaren till nästa portion.")</f>
        <v>Grundprincipen för att tillaga kibbeh-deg är enkel: tillsätt vatten gradvis, aldrig allt på en gång. Häll 7,5 dl kallt kranvatten över bulgurn. Skiva löken i klyftor och lägg den i bulgurn. Tillsätt sedan resterande ingredienser, förutom det magra köttet (som du tillsätter senare). Låt bulgurn dra i kryddorna i minst två timmar, eller längre om det behövs.
Mala bulgur-, lök-, krydd- och saltblandningen för första gången i en köttkvarn, utan det magra köttet. Efter den första malningen, blanda det malda magra köttet med mjölet och bulgurn som maldes i kvarnen för andra gången. Om degen verkar torr, tillsätt gradvis lite vatten och mal sedan bulgur och det magra köttet igen i köttkvarnen.
Skär nu degen i små bitar, ungefär stora som en knuten näve (cirka 30 gram). Gör ett hål i mitten och placera önskad mängd fyllning inuti. Tjockleken på kibbehn i labnehn spelar ingen roll, men det är bäst om den inte är mer än 1 cm tjock i kanterna. Stäng hålet du gjorde och tryck till kibbehn från alla sidor med näven för att säkerställa att deg och fyllning fäster. Rulla sedan ihop den för att jämna ut ytan och forma den till en lång, spetsig form.
För att koka kibbehn: Fyll en lämplig kastrull till hälften med vatten och koka upp den med en matsked salt. När det kokar, släpp försiktigt ner alla kibbehbitar på en gång från ångkokaren i det kokande vattnet. Rör om dem med baksidan av en sked för att separera dem; de kommer lätt att separera eftersom de inte klibbar ihop helt. Täck kastrullen och låt den koka i maximalt 2 till 5 minuter. Efter kokning, ta upp kibbehn ur vattnet med en hålslev och lägg dem i ett rent durkslag placerat över en tallrik för att rinna av. Låt dem svalna och sprid sedan ut dem på en bricka. Använd ångkokaren till nästa portion.</v>
      </c>
      <c r="AI4" s="17" t="str">
        <f ca="1">IFERROR(__xludf.DUMMYFUNCTION("GOOGLETRANSLATE(U4, ""en"", ""sv"")"),"10 personer")</f>
        <v>10 personer</v>
      </c>
      <c r="AJ4" s="17" t="str">
        <f ca="1">IFERROR(__xludf.DUMMYFUNCTION("GOOGLETRANSLATE(V4, ""en"", ""sv"")"),"Garnera kibbehen med labneh efter att du hällt den över fyllningen genom att strö mynta i mitten.")</f>
        <v>Garnera kibbehen med labneh efter att du hällt den över fyllningen genom att strö mynta i mitten.</v>
      </c>
      <c r="AK4" s="17" t="str">
        <f ca="1">IFERROR(__xludf.DUMMYFUNCTION("GOOGLETRANSLATE(W4, ""en"", ""sv"")"),"Ett tips från Umm Samers erfarenhet: Dela upp arbetet i två steg: förbered fyllningen dagen innan, och förbered och fyll kibbeh nästa dag. Lägg inte all kibbeh i yoghurtsåsen på en gång, då faller den isär.")</f>
        <v>Ett tips från Umm Samers erfarenhet: Dela upp arbetet i två steg: förbered fyllningen dagen innan, och förbered och fyll kibbeh nästa dag. Lägg inte all kibbeh i yoghurtsåsen på en gång, då faller den isär.</v>
      </c>
      <c r="AL4" s="17" t="str">
        <f ca="1">IFERROR(__xludf.DUMMYFUNCTION("GOOGLETRANSLATE(X4, ""en"", ""sv"")"),"bilder/Kebbe_labaneyeh.jpeg")</f>
        <v>bilder/Kebbe_labaneyeh.jpeg</v>
      </c>
      <c r="AM4" s="17" t="str">
        <f ca="1">IFERROR(__xludf.DUMMYFUNCTION("GOOGLETRANSLATE(Y4, ""en"", ""sv"")"),"#VALUE!")</f>
        <v>#VALUE!</v>
      </c>
      <c r="AN4" s="17" t="str">
        <f ca="1">IFERROR(__xludf.DUMMYFUNCTION("GOOGLETRANSLATE(Z4, ""en"", ""sv"")"),"#VALUE!")</f>
        <v>#VALUE!</v>
      </c>
      <c r="AO4" s="17" t="str">
        <f ca="1">IFERROR(__xludf.DUMMYFUNCTION("GOOGLETRANSLATE(AA4, ""en"", ""sv"")"),"#VALUE!")</f>
        <v>#VALUE!</v>
      </c>
      <c r="AP4" s="17" t="str">
        <f ca="1">IFERROR(__xludf.DUMMYFUNCTION("GOOGLETRANSLATE(AB4, ""en"", ""sv"")"),"#VALUE!")</f>
        <v>#VALUE!</v>
      </c>
      <c r="AQ4" s="17"/>
    </row>
    <row r="5" spans="1:43" ht="14.25" customHeight="1" x14ac:dyDescent="0.3">
      <c r="A5" s="8" t="s">
        <v>55</v>
      </c>
      <c r="B5" s="9" t="s">
        <v>29</v>
      </c>
      <c r="C5" s="18" t="s">
        <v>56</v>
      </c>
      <c r="D5" s="10" t="s">
        <v>31</v>
      </c>
      <c r="E5" s="10" t="s">
        <v>57</v>
      </c>
      <c r="F5" s="10" t="s">
        <v>58</v>
      </c>
      <c r="G5" s="19" t="s">
        <v>51</v>
      </c>
      <c r="H5" s="19" t="s">
        <v>59</v>
      </c>
      <c r="I5" s="10" t="s">
        <v>60</v>
      </c>
      <c r="J5" s="11" t="s">
        <v>61</v>
      </c>
      <c r="K5" s="12"/>
      <c r="L5" s="13"/>
      <c r="M5" s="13"/>
      <c r="N5" s="13"/>
      <c r="O5" s="14" t="str">
        <f t="shared" si="0"/>
        <v>4</v>
      </c>
      <c r="P5" s="15" t="str">
        <f ca="1">IFERROR(__xludf.DUMMYFUNCTION("GOOGLETRANSLATE(B5, ""ar"", ""en"")"),"Aleppo kibbeh")</f>
        <v>Aleppo kibbeh</v>
      </c>
      <c r="Q5" s="15" t="str">
        <f ca="1">IFERROR(__xludf.DUMMYFUNCTION("GOOGLETRANSLATE(C5, ""ar"", ""en"")"),"Quince Kibbeh")</f>
        <v>Quince Kibbeh</v>
      </c>
      <c r="R5" s="15" t="str">
        <f ca="1">IFERROR(__xludf.DUMMYFUNCTION("GOOGLETRANSLATE(D5, ""ar"", ""en"")"),"3 hours")</f>
        <v>3 hours</v>
      </c>
      <c r="S5" s="15" t="str">
        <f ca="1">IFERROR(__xludf.DUMMYFUNCTION("GOOGLETRANSLATE(E5, ""ar"", ""en"")"),"• 2 kg lamb with bone and some fat
• 1 kg quince
• 2 tomatoes, blended until smooth, or tomato juice
• 5 tablespoons tomato paste
• Juice of 5 lemons
• 1 tablespoon dried mint
• 3 tablespoons minced garlic
• 1 teaspoon black pepper
• 2 tablespoons ghee
"&amp;"Take the kibbeh ingredients from the kibbeh labanieh recipe (all kibbeh in broth has the same ingredients).")</f>
        <v>• 2 kg lamb with bone and some fat
• 1 kg quince
• 2 tomatoes, blended until smooth, or tomato juice
• 5 tablespoons tomato paste
• Juice of 5 lemons
• 1 tablespoon dried mint
• 3 tablespoons minced garlic
• 1 teaspoon black pepper
• 2 tablespoons ghee
Take the kibbeh ingredients from the kibbeh labanieh recipe (all kibbeh in broth has the same ingredients).</v>
      </c>
      <c r="T5" s="15" t="str">
        <f ca="1">IFERROR(__xludf.DUMMYFUNCTION("GOOGLETRANSLATE(F5, ""ar"", ""en"")"),"Wash the quince thoroughly and cut it into medium-sized cubes—not too small and not too large.
Place the garlic in the main cooking pot with two tablespoons of ghee and sauté until it turns slightly golden. Add the dried mint and sauté for one minute. Th"&amp;"en add the lamb (do not wash the lamb) and stir it briefly to sear it, which will seal in the juices and make it tender.
Boil 3 liters of water and pour it over the lamb. Add the tomatoes and half the tomato paste initially to prevent the broth from beco"&amp;"ming too thick and preventing the lamb from cooking properly. Let it simmer for 3 hours.
After 3 hours, when the lamb is fully cooked and very tender, add the quince, lemon, and the remaining tomato paste. Let it simmer for another 15 minutes, or slightl"&amp;"y longer, until the quince is cooked through.
Now add the chopped quince to the broth along with the remaining tomato paste and let it simmer until it reaches your desired consistency and the quince is fully cooked.
For kibbeh: Use the same method for m"&amp;"aking kibbeh labanieh; it's the same method used for all types of kibbeh that contain broth, such as quince, pumpkin, sumac, and others.
For kibbeh: Use the same method for making kibbeh labanieh; it's the same for all types of kibbeh that contain broth"&amp;", such as quince, pumpkin, sumac, and others.")</f>
        <v>Wash the quince thoroughly and cut it into medium-sized cubes—not too small and not too large.
Place the garlic in the main cooking pot with two tablespoons of ghee and sauté until it turns slightly golden. Add the dried mint and sauté for one minute. Then add the lamb (do not wash the lamb) and stir it briefly to sear it, which will seal in the juices and make it tender.
Boil 3 liters of water and pour it over the lamb. Add the tomatoes and half the tomato paste initially to prevent the broth from becoming too thick and preventing the lamb from cooking properly. Let it simmer for 3 hours.
After 3 hours, when the lamb is fully cooked and very tender, add the quince, lemon, and the remaining tomato paste. Let it simmer for another 15 minutes, or slightly longer, until the quince is cooked through.
Now add the chopped quince to the broth along with the remaining tomato paste and let it simmer until it reaches your desired consistency and the quince is fully cooked.
For kibbeh: Use the same method for making kibbeh labanieh; it's the same method used for all types of kibbeh that contain broth, such as quince, pumpkin, sumac, and others.
For kibbeh: Use the same method for making kibbeh labanieh; it's the same for all types of kibbeh that contain broth, such as quince, pumpkin, sumac, and others.</v>
      </c>
      <c r="U5" s="15" t="str">
        <f ca="1">IFERROR(__xludf.DUMMYFUNCTION("GOOGLETRANSLATE(G5, ""ar"", ""en"")"),"10 people")</f>
        <v>10 people</v>
      </c>
      <c r="V5" s="15" t="str">
        <f ca="1">IFERROR(__xludf.DUMMYFUNCTION("GOOGLETRANSLATE(H5, ""ar"", ""en"")"),"Quince kibbeh is a garnish that needs no additional decoration.")</f>
        <v>Quince kibbeh is a garnish that needs no additional decoration.</v>
      </c>
      <c r="W5" s="15" t="str">
        <f ca="1">IFERROR(__xludf.DUMMYFUNCTION("GOOGLETRANSLATE(I5, ""ar"", ""en"")"),"Cook this dish in two stages: the kibbeh one day and the quince the next day, so that you are not under pressure. Always add the spices of the dish on top of the meat because they stick to it and give a wonderful flavor.")</f>
        <v>Cook this dish in two stages: the kibbeh one day and the quince the next day, so that you are not under pressure. Always add the spices of the dish on top of the meat because they stick to it and give a wonderful flavor.</v>
      </c>
      <c r="X5" s="15" t="str">
        <f ca="1">IFERROR(__xludf.DUMMYFUNCTION("GOOGLETRANSLATE(J5, ""ar"", ""en"")"),"images/Kebbe_Safarjaleieh.jpg")</f>
        <v>images/Kebbe_Safarjaleieh.jpg</v>
      </c>
      <c r="Y5" s="15" t="str">
        <f ca="1">IFERROR(__xludf.DUMMYFUNCTION("GOOGLETRANSLATE(K5, ""ar"", ""en"")"),"#VALUE!")</f>
        <v>#VALUE!</v>
      </c>
      <c r="Z5" s="15" t="str">
        <f ca="1">IFERROR(__xludf.DUMMYFUNCTION("GOOGLETRANSLATE(L5, ""ar"", ""en"")"),"#VALUE!")</f>
        <v>#VALUE!</v>
      </c>
      <c r="AA5" s="15" t="str">
        <f ca="1">IFERROR(__xludf.DUMMYFUNCTION("GOOGLETRANSLATE(M5, ""ar"", ""en"")"),"#VALUE!")</f>
        <v>#VALUE!</v>
      </c>
      <c r="AB5" s="15" t="str">
        <f ca="1">IFERROR(__xludf.DUMMYFUNCTION("GOOGLETRANSLATE(N5, ""ar"", ""en"")"),"#VALUE!")</f>
        <v>#VALUE!</v>
      </c>
      <c r="AC5" s="16" t="str">
        <f t="shared" si="1"/>
        <v>4</v>
      </c>
      <c r="AD5" s="17" t="str">
        <f ca="1">IFERROR(__xludf.DUMMYFUNCTION("GOOGLETRANSLATE(P5, ""en"", ""sv"")"),"Aleppo kibbeh")</f>
        <v>Aleppo kibbeh</v>
      </c>
      <c r="AE5" s="17" t="str">
        <f ca="1">IFERROR(__xludf.DUMMYFUNCTION("GOOGLETRANSLATE(Q5, ""en"", ""sv"")"),"Quince Kibbeh")</f>
        <v>Quince Kibbeh</v>
      </c>
      <c r="AF5" s="17" t="str">
        <f ca="1">IFERROR(__xludf.DUMMYFUNCTION("GOOGLETRANSLATE(R5, ""en"", ""sv"")"),"3 timmar")</f>
        <v>3 timmar</v>
      </c>
      <c r="AG5" s="17" t="str">
        <f ca="1">IFERROR(__xludf.DUMMYFUNCTION("GOOGLETRANSLATE(S5, ""en"", ""sv"")"),"• 2 kg lammkött med ben och lite fett
• 1 kg kvitten
• 2 tomater, mixade tills de är släta, eller tomatjuice
• 5 msk tomatpuré
• Saft från 5 citroner
• 1 msk torkad mynta
• 3 msk finhackad vitlök
• 1 tsk svartpeppar
• 2 msk ghee
Ta kibbeh-ingredienserna"&amp;" från kibbeh labanieh-receptet (all kibbeh i buljong har samma ingredienser).")</f>
        <v>• 2 kg lammkött med ben och lite fett
• 1 kg kvitten
• 2 tomater, mixade tills de är släta, eller tomatjuice
• 5 msk tomatpuré
• Saft från 5 citroner
• 1 msk torkad mynta
• 3 msk finhackad vitlök
• 1 tsk svartpeppar
• 2 msk ghee
Ta kibbeh-ingredienserna från kibbeh labanieh-receptet (all kibbeh i buljong har samma ingredienser).</v>
      </c>
      <c r="AH5" s="17" t="str">
        <f ca="1">IFERROR(__xludf.DUMMYFUNCTION("GOOGLETRANSLATE(T5, ""en"", ""sv"")"),"Tvätta kvitten noggrant och skär den i medelstora tärningar – inte för små och inte för stora.
Lägg vitlöken i huvudgrytan med två matskedar ghee och fräs tills den blir lätt gyllenbrun. Tillsätt den torkade myntan och fräs i en minut. Tillsätt sedan lam"&amp;"met (tvätta inte lammet) och rör om det kort för att bryna det, vilket kommer att bevara saften och göra det mört.
Koka upp 3 liter vatten och häll det över lammet. Tillsätt tomaterna och hälften av tomatpurén först för att förhindra att buljongen blir f"&amp;"ör tjock och hindrar lammet från att tillagas ordentligt. Låt det sjuda i 3 timmar.
Efter 3 timmar, när lammet är helt tillagat och mycket mört, tillsätt kvitten, citron och resterande tomatpuré. Låt det sjuda i ytterligare 15 minuter, eller något längre"&amp;", tills kvitten är genomkokt.
Tillsätt nu den hackade kvitten till buljongen tillsammans med resterande tomatpuré och låt det sjuda tills den når önskad konsistens och kvitten är helt tillagad.
För kibbeh: Använd samma metod för att göra kibbeh labanieh"&amp;"; det är samma metod som används för alla typer av kibbeh som innehåller buljong, såsom kvitten, pumpa, sumak och andra.
För kibbeh: Använd samma metod för att göra kibbeh labanieh; det är samma metod för alla typer av kibbeh som innehåller buljong, såso"&amp;"m kvitten, pumpa, sumak och andra.")</f>
        <v>Tvätta kvitten noggrant och skär den i medelstora tärningar – inte för små och inte för stora.
Lägg vitlöken i huvudgrytan med två matskedar ghee och fräs tills den blir lätt gyllenbrun. Tillsätt den torkade myntan och fräs i en minut. Tillsätt sedan lammet (tvätta inte lammet) och rör om det kort för att bryna det, vilket kommer att bevara saften och göra det mört.
Koka upp 3 liter vatten och häll det över lammet. Tillsätt tomaterna och hälften av tomatpurén först för att förhindra att buljongen blir för tjock och hindrar lammet från att tillagas ordentligt. Låt det sjuda i 3 timmar.
Efter 3 timmar, när lammet är helt tillagat och mycket mört, tillsätt kvitten, citron och resterande tomatpuré. Låt det sjuda i ytterligare 15 minuter, eller något längre, tills kvitten är genomkokt.
Tillsätt nu den hackade kvitten till buljongen tillsammans med resterande tomatpuré och låt det sjuda tills den når önskad konsistens och kvitten är helt tillagad.
För kibbeh: Använd samma metod för att göra kibbeh labanieh; det är samma metod som används för alla typer av kibbeh som innehåller buljong, såsom kvitten, pumpa, sumak och andra.
För kibbeh: Använd samma metod för att göra kibbeh labanieh; det är samma metod för alla typer av kibbeh som innehåller buljong, såsom kvitten, pumpa, sumak och andra.</v>
      </c>
      <c r="AI5" s="17" t="str">
        <f ca="1">IFERROR(__xludf.DUMMYFUNCTION("GOOGLETRANSLATE(U5, ""en"", ""sv"")"),"10 personer")</f>
        <v>10 personer</v>
      </c>
      <c r="AJ5" s="17" t="str">
        <f ca="1">IFERROR(__xludf.DUMMYFUNCTION("GOOGLETRANSLATE(V5, ""en"", ""sv"")"),"Kvittenkibbeh är en garnering som inte behöver någon ytterligare dekoration.")</f>
        <v>Kvittenkibbeh är en garnering som inte behöver någon ytterligare dekoration.</v>
      </c>
      <c r="AK5" s="17" t="str">
        <f ca="1">IFERROR(__xludf.DUMMYFUNCTION("GOOGLETRANSLATE(W5, ""en"", ""sv"")"),"Tillaga denna rätt i två steg: kibbeh ena dagen och kvitten nästa dag, så att du inte känner dig pressad. Tillsätt alltid rättens kryddor ovanpå köttet eftersom de fastnar och ger en underbar smak.")</f>
        <v>Tillaga denna rätt i två steg: kibbeh ena dagen och kvitten nästa dag, så att du inte känner dig pressad. Tillsätt alltid rättens kryddor ovanpå köttet eftersom de fastnar och ger en underbar smak.</v>
      </c>
      <c r="AL5" s="17" t="str">
        <f ca="1">IFERROR(__xludf.DUMMYFUNCTION("GOOGLETRANSLATE(X5, ""en"", ""sv"")"),"bilder/Kebbe_Safarjaleieh.jpg")</f>
        <v>bilder/Kebbe_Safarjaleieh.jpg</v>
      </c>
      <c r="AM5" s="17" t="str">
        <f ca="1">IFERROR(__xludf.DUMMYFUNCTION("GOOGLETRANSLATE(Y5, ""en"", ""sv"")"),"#VALUE!")</f>
        <v>#VALUE!</v>
      </c>
      <c r="AN5" s="17" t="str">
        <f ca="1">IFERROR(__xludf.DUMMYFUNCTION("GOOGLETRANSLATE(Z5, ""en"", ""sv"")"),"#VALUE!")</f>
        <v>#VALUE!</v>
      </c>
      <c r="AO5" s="17" t="str">
        <f ca="1">IFERROR(__xludf.DUMMYFUNCTION("GOOGLETRANSLATE(AA5, ""en"", ""sv"")"),"#VALUE!")</f>
        <v>#VALUE!</v>
      </c>
      <c r="AP5" s="17" t="str">
        <f ca="1">IFERROR(__xludf.DUMMYFUNCTION("GOOGLETRANSLATE(AB5, ""en"", ""sv"")"),"#VALUE!")</f>
        <v>#VALUE!</v>
      </c>
      <c r="AQ5" s="17"/>
    </row>
    <row r="6" spans="1:43" ht="14.25" customHeight="1" x14ac:dyDescent="0.3">
      <c r="A6" s="8" t="s">
        <v>62</v>
      </c>
      <c r="B6" s="9" t="s">
        <v>29</v>
      </c>
      <c r="C6" s="10" t="s">
        <v>63</v>
      </c>
      <c r="D6" s="10" t="s">
        <v>31</v>
      </c>
      <c r="E6" s="10" t="s">
        <v>64</v>
      </c>
      <c r="F6" s="10" t="s">
        <v>65</v>
      </c>
      <c r="G6" s="19" t="s">
        <v>51</v>
      </c>
      <c r="H6" s="19" t="s">
        <v>66</v>
      </c>
      <c r="I6" s="10" t="s">
        <v>67</v>
      </c>
      <c r="J6" s="11" t="s">
        <v>68</v>
      </c>
      <c r="K6" s="12"/>
      <c r="L6" s="13"/>
      <c r="M6" s="13"/>
      <c r="N6" s="13"/>
      <c r="O6" s="14" t="str">
        <f t="shared" si="0"/>
        <v>5</v>
      </c>
      <c r="P6" s="15" t="str">
        <f ca="1">IFERROR(__xludf.DUMMYFUNCTION("GOOGLETRANSLATE(B6, ""ar"", ""en"")"),"Aleppo kibbeh")</f>
        <v>Aleppo kibbeh</v>
      </c>
      <c r="Q6" s="15" t="str">
        <f ca="1">IFERROR(__xludf.DUMMYFUNCTION("GOOGLETRANSLATE(C6, ""ar"", ""en"")"),"Pumpkin kibbeh")</f>
        <v>Pumpkin kibbeh</v>
      </c>
      <c r="R6" s="15" t="str">
        <f ca="1">IFERROR(__xludf.DUMMYFUNCTION("GOOGLETRANSLATE(D6, ""ar"", ""en"")"),"3 hours")</f>
        <v>3 hours</v>
      </c>
      <c r="S6" s="15" t="str">
        <f ca="1">IFERROR(__xludf.DUMMYFUNCTION("GOOGLETRANSLATE(E6, ""ar"", ""en"")"),"• 2 kg lamb with bone and some fat.
• 1 medium pumpkin
• 2 tomatoes
• 5 tablespoons tomato paste
• Juice of 5 lemons
• 3 tablespoons minced garlic
• 1 teaspoon dried mint
• 1 teaspoon black pepper
Take the kibbeh ingredients from the kibbeh labanieh rec"&amp;"ipe (all kibbeh in broth is the same).")</f>
        <v>• 2 kg lamb with bone and some fat.
• 1 medium pumpkin
• 2 tomatoes
• 5 tablespoons tomato paste
• Juice of 5 lemons
• 3 tablespoons minced garlic
• 1 teaspoon dried mint
• 1 teaspoon black pepper
Take the kibbeh ingredients from the kibbeh labanieh recipe (all kibbeh in broth is the same).</v>
      </c>
      <c r="T6" s="15" t="str">
        <f ca="1">IFERROR(__xludf.DUMMYFUNCTION("GOOGLETRANSLATE(F6, ""ar"", ""en"")"),"Peel the pumpkin and cut it into medium-sized cubes, neither too small nor too large.
Place the garlic in the main cooking pot with two tablespoons of ghee and sauté until it turns slightly golden. Add the dried mint and sauté for one minute. Then add th"&amp;"e lamb (do not wash it). Stir the lamb briefly to sear it, which will seal in the juices and make it tender. Bring 3 liters of water to a boil and pour it over the lamb. Add the tomatoes and half the tomato paste initially to prevent the broth from becomi"&amp;"ng too thick and preventing the meat from cooking properly. Let it simmer for 3 hours.
After 3 hours, when the meat is fully cooked and very tender, add the pumpkin, lemon, and the remaining tomato paste. Let it simmer for 15 minutes or slightly longer u"&amp;"ntil the pumpkin is tender, as it doesn't take long to cook and doesn't tolerate high heat. Check if the pumpkin is cooked by cutting it with a spoon; if it breaks easily, it's done. (The method for boiling kibbeh in water for two minutes and draining it "&amp;"is similar to that for quince and yogurt sauce.)
Kibbeh: Use the same method for making yogurt kibbeh, as it is the same method used for all types of kibbeh that contain broth, such as quince, pumpkin, sumac, and others.")</f>
        <v>Peel the pumpkin and cut it into medium-sized cubes, neither too small nor too large.
Place the garlic in the main cooking pot with two tablespoons of ghee and sauté until it turns slightly golden. Add the dried mint and sauté for one minute. Then add the lamb (do not wash it). Stir the lamb briefly to sear it, which will seal in the juices and make it tender. Bring 3 liters of water to a boil and pour it over the lamb. Add the tomatoes and half the tomato paste initially to prevent the broth from becoming too thick and preventing the meat from cooking properly. Let it simmer for 3 hours.
After 3 hours, when the meat is fully cooked and very tender, add the pumpkin, lemon, and the remaining tomato paste. Let it simmer for 15 minutes or slightly longer until the pumpkin is tender, as it doesn't take long to cook and doesn't tolerate high heat. Check if the pumpkin is cooked by cutting it with a spoon; if it breaks easily, it's done. (The method for boiling kibbeh in water for two minutes and draining it is similar to that for quince and yogurt sauce.)
Kibbeh: Use the same method for making yogurt kibbeh, as it is the same method used for all types of kibbeh that contain broth, such as quince, pumpkin, sumac, and others.</v>
      </c>
      <c r="U6" s="15" t="str">
        <f ca="1">IFERROR(__xludf.DUMMYFUNCTION("GOOGLETRANSLATE(G6, ""ar"", ""en"")"),"10 people")</f>
        <v>10 people</v>
      </c>
      <c r="V6" s="15" t="str">
        <f ca="1">IFERROR(__xludf.DUMMYFUNCTION("GOOGLETRANSLATE(H6, ""ar"", ""en"")"),"Pumpkin kibbeh is a garnish that doesn't need any additional decoration.")</f>
        <v>Pumpkin kibbeh is a garnish that doesn't need any additional decoration.</v>
      </c>
      <c r="W6" s="15" t="str">
        <f ca="1">IFERROR(__xludf.DUMMYFUNCTION("GOOGLETRANSLATE(I6, ""ar"", ""en"")"),"Do not drop the kibbeh into the whole dish. Always, with any kibbeh and any broth, leave the kibbeh aside and put in the serving dish the amount that you will eat in one day. On the second day, if there is more, repeat the process so that you do not put t"&amp;"he kibbeh in the broth and it falls apart and disintegrates.")</f>
        <v>Do not drop the kibbeh into the whole dish. Always, with any kibbeh and any broth, leave the kibbeh aside and put in the serving dish the amount that you will eat in one day. On the second day, if there is more, repeat the process so that you do not put the kibbeh in the broth and it falls apart and disintegrates.</v>
      </c>
      <c r="X6" s="15" t="str">
        <f ca="1">IFERROR(__xludf.DUMMYFUNCTION("GOOGLETRANSLATE(J6, ""ar"", ""en"")"),"images/Kebbe_Yaqtin.jpg")</f>
        <v>images/Kebbe_Yaqtin.jpg</v>
      </c>
      <c r="Y6" s="15" t="str">
        <f ca="1">IFERROR(__xludf.DUMMYFUNCTION("GOOGLETRANSLATE(K6, ""ar"", ""en"")"),"#VALUE!")</f>
        <v>#VALUE!</v>
      </c>
      <c r="Z6" s="15" t="str">
        <f ca="1">IFERROR(__xludf.DUMMYFUNCTION("GOOGLETRANSLATE(L6, ""ar"", ""en"")"),"#VALUE!")</f>
        <v>#VALUE!</v>
      </c>
      <c r="AA6" s="15" t="str">
        <f ca="1">IFERROR(__xludf.DUMMYFUNCTION("GOOGLETRANSLATE(M6, ""ar"", ""en"")"),"#VALUE!")</f>
        <v>#VALUE!</v>
      </c>
      <c r="AB6" s="15" t="str">
        <f ca="1">IFERROR(__xludf.DUMMYFUNCTION("GOOGLETRANSLATE(N6, ""ar"", ""en"")"),"#VALUE!")</f>
        <v>#VALUE!</v>
      </c>
      <c r="AC6" s="16" t="str">
        <f t="shared" si="1"/>
        <v>5</v>
      </c>
      <c r="AD6" s="17" t="str">
        <f ca="1">IFERROR(__xludf.DUMMYFUNCTION("GOOGLETRANSLATE(P6, ""en"", ""sv"")"),"Aleppo kibbeh")</f>
        <v>Aleppo kibbeh</v>
      </c>
      <c r="AE6" s="17" t="str">
        <f ca="1">IFERROR(__xludf.DUMMYFUNCTION("GOOGLETRANSLATE(Q6, ""en"", ""sv"")"),"Pumpa kibbeh")</f>
        <v>Pumpa kibbeh</v>
      </c>
      <c r="AF6" s="17" t="str">
        <f ca="1">IFERROR(__xludf.DUMMYFUNCTION("GOOGLETRANSLATE(R6, ""en"", ""sv"")"),"3 timmar")</f>
        <v>3 timmar</v>
      </c>
      <c r="AG6" s="17" t="str">
        <f ca="1">IFERROR(__xludf.DUMMYFUNCTION("GOOGLETRANSLATE(S6, ""en"", ""sv"")"),"• 2 kg lammkött med ben och lite fett.
• 1 medelstor pumpa
• 2 tomater
• 5 msk tomatpuré
• Saft från 5 citroner
• 3 msk hackad vitlök
• 1 tsk torkad mynta
• 1 tsk svartpeppar
Ta kibbeh-ingredienserna från kibbeh labanieh-receptet (all kibbeh i buljong ä"&amp;"r densamma).")</f>
        <v>• 2 kg lammkött med ben och lite fett.
• 1 medelstor pumpa
• 2 tomater
• 5 msk tomatpuré
• Saft från 5 citroner
• 3 msk hackad vitlök
• 1 tsk torkad mynta
• 1 tsk svartpeppar
Ta kibbeh-ingredienserna från kibbeh labanieh-receptet (all kibbeh i buljong är densamma).</v>
      </c>
      <c r="AH6" s="17" t="str">
        <f ca="1">IFERROR(__xludf.DUMMYFUNCTION("GOOGLETRANSLATE(T6, ""en"", ""sv"")"),"Skala pumpan och skär den i medelstora tärningar, varken för små eller för stora.
Lägg vitlöken i huvudgrytan med två matskedar ghee och fräs tills den blir lätt gyllenbrun. Tillsätt den torkade myntan och fräs i en minut. Tillsätt sedan lammet (tvätta d"&amp;"et inte). Rör om lammet kort för att bryna det, vilket kommer att bevara saften och göra det mört. Koka upp 3 liter vatten och häll det över lammet. Tillsätt tomaterna och hälften av tomatpurén först för att förhindra att buljongen blir för tjock och hind"&amp;"rar köttet från att tillagas ordentligt. Låt det sjuda i 3 timmar.
Efter 3 timmar, när köttet är helt tillagat och mycket mört, tillsätt pumpan, citronen och resterande tomatpuré. Låt det sjuda i 15 minuter eller något längre tills pumpan är mör, efterso"&amp;"m den inte tar lång tid att tillaga och inte tål hög värme. Kontrollera om pumpan är tillagad genom att skära den med en sked; om den går sönder lätt är den klar. (Metoden för att koka kibbeh i vatten i två minuter och sedan rinna av den liknar den för kv"&amp;"itten- och yoghurtsås.)
Kibbeh: Använd samma metod för att göra yoghurtkibbeh, eftersom det är samma metod som används för alla typer av kibbeh som innehåller buljong, såsom kvitten, pumpa, sumak och andra.")</f>
        <v>Skala pumpan och skär den i medelstora tärningar, varken för små eller för stora.
Lägg vitlöken i huvudgrytan med två matskedar ghee och fräs tills den blir lätt gyllenbrun. Tillsätt den torkade myntan och fräs i en minut. Tillsätt sedan lammet (tvätta det inte). Rör om lammet kort för att bryna det, vilket kommer att bevara saften och göra det mört. Koka upp 3 liter vatten och häll det över lammet. Tillsätt tomaterna och hälften av tomatpurén först för att förhindra att buljongen blir för tjock och hindrar köttet från att tillagas ordentligt. Låt det sjuda i 3 timmar.
Efter 3 timmar, när köttet är helt tillagat och mycket mört, tillsätt pumpan, citronen och resterande tomatpuré. Låt det sjuda i 15 minuter eller något längre tills pumpan är mör, eftersom den inte tar lång tid att tillaga och inte tål hög värme. Kontrollera om pumpan är tillagad genom att skära den med en sked; om den går sönder lätt är den klar. (Metoden för att koka kibbeh i vatten i två minuter och sedan rinna av den liknar den för kvitten- och yoghurtsås.)
Kibbeh: Använd samma metod för att göra yoghurtkibbeh, eftersom det är samma metod som används för alla typer av kibbeh som innehåller buljong, såsom kvitten, pumpa, sumak och andra.</v>
      </c>
      <c r="AI6" s="17" t="str">
        <f ca="1">IFERROR(__xludf.DUMMYFUNCTION("GOOGLETRANSLATE(U6, ""en"", ""sv"")"),"10 personer")</f>
        <v>10 personer</v>
      </c>
      <c r="AJ6" s="17" t="str">
        <f ca="1">IFERROR(__xludf.DUMMYFUNCTION("GOOGLETRANSLATE(V6, ""en"", ""sv"")"),"Pumpa kibbeh är en garnering som inte behöver någon ytterligare dekoration.")</f>
        <v>Pumpa kibbeh är en garnering som inte behöver någon ytterligare dekoration.</v>
      </c>
      <c r="AK6" s="17" t="str">
        <f ca="1">IFERROR(__xludf.DUMMYFUNCTION("GOOGLETRANSLATE(W6, ""en"", ""sv"")"),"Släpp inte ner kibbehn i hela fatet. Lägg alltid kibbehn åt sidan, oavsett kibbeh eller buljong, och lägg i serveringsskålen den mängd du ska äta under en dag. Om det blir mer på andra dagen, upprepa processen så att kibbehn inte faller isär och sönderfal"&amp;"ler om den läggs i buljongen.")</f>
        <v>Släpp inte ner kibbehn i hela fatet. Lägg alltid kibbehn åt sidan, oavsett kibbeh eller buljong, och lägg i serveringsskålen den mängd du ska äta under en dag. Om det blir mer på andra dagen, upprepa processen så att kibbehn inte faller isär och sönderfaller om den läggs i buljongen.</v>
      </c>
      <c r="AL6" s="17" t="str">
        <f ca="1">IFERROR(__xludf.DUMMYFUNCTION("GOOGLETRANSLATE(X6, ""en"", ""sv"")"),"bilder/Kebbe_Yaqtin.jpg")</f>
        <v>bilder/Kebbe_Yaqtin.jpg</v>
      </c>
      <c r="AM6" s="17" t="str">
        <f ca="1">IFERROR(__xludf.DUMMYFUNCTION("GOOGLETRANSLATE(Y6, ""en"", ""sv"")"),"#VALUE!")</f>
        <v>#VALUE!</v>
      </c>
      <c r="AN6" s="17" t="str">
        <f ca="1">IFERROR(__xludf.DUMMYFUNCTION("GOOGLETRANSLATE(Z6, ""en"", ""sv"")"),"#VALUE!")</f>
        <v>#VALUE!</v>
      </c>
      <c r="AO6" s="17" t="str">
        <f ca="1">IFERROR(__xludf.DUMMYFUNCTION("GOOGLETRANSLATE(AA6, ""en"", ""sv"")"),"#VALUE!")</f>
        <v>#VALUE!</v>
      </c>
      <c r="AP6" s="17" t="str">
        <f ca="1">IFERROR(__xludf.DUMMYFUNCTION("GOOGLETRANSLATE(AB6, ""en"", ""sv"")"),"#VALUE!")</f>
        <v>#VALUE!</v>
      </c>
      <c r="AQ6" s="17"/>
    </row>
    <row r="7" spans="1:43" ht="343.2" x14ac:dyDescent="0.3">
      <c r="A7" s="8" t="s">
        <v>69</v>
      </c>
      <c r="B7" s="9" t="s">
        <v>29</v>
      </c>
      <c r="C7" s="10" t="s">
        <v>70</v>
      </c>
      <c r="D7" s="10" t="s">
        <v>31</v>
      </c>
      <c r="E7" s="10" t="s">
        <v>71</v>
      </c>
      <c r="F7" s="10" t="s">
        <v>72</v>
      </c>
      <c r="G7" s="19" t="s">
        <v>51</v>
      </c>
      <c r="H7" s="19" t="s">
        <v>73</v>
      </c>
      <c r="I7" s="10" t="s">
        <v>74</v>
      </c>
      <c r="J7" s="11" t="s">
        <v>75</v>
      </c>
      <c r="K7" s="12"/>
      <c r="L7" s="13" t="b">
        <v>1</v>
      </c>
      <c r="M7" s="13"/>
      <c r="N7" s="13"/>
      <c r="O7" s="14" t="str">
        <f t="shared" si="0"/>
        <v>6</v>
      </c>
      <c r="P7" s="15" t="str">
        <f ca="1">IFERROR(__xludf.DUMMYFUNCTION("GOOGLETRANSLATE(B7, ""ar"", ""en"")"),"Aleppo kibbeh")</f>
        <v>Aleppo kibbeh</v>
      </c>
      <c r="Q7" s="15" t="str">
        <f ca="1">IFERROR(__xludf.DUMMYFUNCTION("GOOGLETRANSLATE(C7, ""ar"", ""en"")"),"Sumac kibbeh")</f>
        <v>Sumac kibbeh</v>
      </c>
      <c r="R7" s="15" t="str">
        <f ca="1">IFERROR(__xludf.DUMMYFUNCTION("GOOGLETRANSLATE(D7, ""ar"", ""en"")"),"3 hours")</f>
        <v>3 hours</v>
      </c>
      <c r="S7" s="15" t="str">
        <f ca="1">IFERROR(__xludf.DUMMYFUNCTION("GOOGLETRANSLATE(E7, ""ar"", ""en"")"),"• 2 kg lamb on the bone
• 1 kg large eggplant (or small black local eggplant)
• 500 g sumac berries
• 2 cups boiling water
• Juice of 5 lemons or 1 tablespoon citric acid
• 2 tomatoes
• 5 tablespoons tomato paste
• 3 tablespoons minced garlic
• 1 tablespo"&amp;"on dried mint
• 1 tablespoon black pepper
• 2 tablespoons ghee
Take the kibbeh ingredients from the kibbeh labanieh recipe (all kibbeh in broth is the same).")</f>
        <v>• 2 kg lamb on the bone
• 1 kg large eggplant (or small black local eggplant)
• 500 g sumac berries
• 2 cups boiling water
• Juice of 5 lemons or 1 tablespoon citric acid
• 2 tomatoes
• 5 tablespoons tomato paste
• 3 tablespoons minced garlic
• 1 tablespoon dried mint
• 1 tablespoon black pepper
• 2 tablespoons ghee
Take the kibbeh ingredients from the kibbeh labanieh recipe (all kibbeh in broth is the same).</v>
      </c>
      <c r="T7" s="15" t="str">
        <f ca="1">IFERROR(__xludf.DUMMYFUNCTION("GOOGLETRANSLATE(F7, ""ar"", ""en"")"),"The night before, soak the sumac in two cups of boiling water.
The next day, drain the sumac, rub it with your hands, and squeeze out the juice. Wash the seeds with a little water and squeeze again to extract all the sourness.
Wash the eggplant thorough"&amp;"ly and cut it into medium-sized cubes with the peel on.
Place the garlic in the main cooking pot with two tablespoons of ghee and sauté until it turns slightly golden. Add the dried mint and sauté for one minute. Then, place the lamb on top (do not wash "&amp;"the lamb). Stir the lamb briefly to sear it and seal in the juices. Boil three liters of water and pour it over the lamb. Add the sumac extract, tomatoes, and half the tomato paste initially. Simmer over very low heat for three hours.
Once the lamb is co"&amp;"oked, add the eggplant, lemon, and the remaining tomato paste. Cook for another half hour, or until the eggplant is tender.")</f>
        <v>The night before, soak the sumac in two cups of boiling water.
The next day, drain the sumac, rub it with your hands, and squeeze out the juice. Wash the seeds with a little water and squeeze again to extract all the sourness.
Wash the eggplant thoroughly and cut it into medium-sized cubes with the peel on.
Place the garlic in the main cooking pot with two tablespoons of ghee and sauté until it turns slightly golden. Add the dried mint and sauté for one minute. Then, place the lamb on top (do not wash the lamb). Stir the lamb briefly to sear it and seal in the juices. Boil three liters of water and pour it over the lamb. Add the sumac extract, tomatoes, and half the tomato paste initially. Simmer over very low heat for three hours.
Once the lamb is cooked, add the eggplant, lemon, and the remaining tomato paste. Cook for another half hour, or until the eggplant is tender.</v>
      </c>
      <c r="U7" s="15" t="str">
        <f ca="1">IFERROR(__xludf.DUMMYFUNCTION("GOOGLETRANSLATE(G7, ""ar"", ""en"")"),"10 people")</f>
        <v>10 people</v>
      </c>
      <c r="V7" s="15" t="str">
        <f ca="1">IFERROR(__xludf.DUMMYFUNCTION("GOOGLETRANSLATE(H7, ""ar"", ""en"")"),"Sumac kibbeh is a garnish that needs no additional decoration.")</f>
        <v>Sumac kibbeh is a garnish that needs no additional decoration.</v>
      </c>
      <c r="W7" s="15" t="str">
        <f ca="1">IFERROR(__xludf.DUMMYFUNCTION("GOOGLETRANSLATE(I7, ""ar"", ""en"")"),"Do not put all the kibbeh in the broth, but put the amount you will need in a serving dish and leave the rest in a bag in the refrigerator for the next day so that the kibbeh does not fall apart and disintegrate inside the sumac.")</f>
        <v>Do not put all the kibbeh in the broth, but put the amount you will need in a serving dish and leave the rest in a bag in the refrigerator for the next day so that the kibbeh does not fall apart and disintegrate inside the sumac.</v>
      </c>
      <c r="X7" s="15" t="str">
        <f ca="1">IFERROR(__xludf.DUMMYFUNCTION("GOOGLETRANSLATE(J7, ""ar"", ""en"")"),"images/Kebbe_Semmaqyeh.jpeg")</f>
        <v>images/Kebbe_Semmaqyeh.jpeg</v>
      </c>
      <c r="Y7" s="15" t="str">
        <f ca="1">IFERROR(__xludf.DUMMYFUNCTION("GOOGLETRANSLATE(K7, ""ar"", ""en"")"),"#VALUE!")</f>
        <v>#VALUE!</v>
      </c>
      <c r="Z7" s="15" t="str">
        <f ca="1">IFERROR(__xludf.DUMMYFUNCTION("GOOGLETRANSLATE(L7, ""ar"", ""en"")"),"TRUE")</f>
        <v>TRUE</v>
      </c>
      <c r="AA7" s="15" t="str">
        <f ca="1">IFERROR(__xludf.DUMMYFUNCTION("GOOGLETRANSLATE(M7, ""ar"", ""en"")"),"#VALUE!")</f>
        <v>#VALUE!</v>
      </c>
      <c r="AB7" s="15" t="str">
        <f ca="1">IFERROR(__xludf.DUMMYFUNCTION("GOOGLETRANSLATE(N7, ""ar"", ""en"")"),"#VALUE!")</f>
        <v>#VALUE!</v>
      </c>
      <c r="AC7" s="16" t="str">
        <f t="shared" si="1"/>
        <v>6</v>
      </c>
      <c r="AD7" s="17" t="str">
        <f ca="1">IFERROR(__xludf.DUMMYFUNCTION("GOOGLETRANSLATE(P7, ""en"", ""sv"")"),"Aleppo kibbeh")</f>
        <v>Aleppo kibbeh</v>
      </c>
      <c r="AE7" s="17" t="str">
        <f ca="1">IFERROR(__xludf.DUMMYFUNCTION("GOOGLETRANSLATE(Q7, ""en"", ""sv"")"),"Sumak kibbeh")</f>
        <v>Sumak kibbeh</v>
      </c>
      <c r="AF7" s="17" t="str">
        <f ca="1">IFERROR(__xludf.DUMMYFUNCTION("GOOGLETRANSLATE(R7, ""en"", ""sv"")"),"3 timmar")</f>
        <v>3 timmar</v>
      </c>
      <c r="AG7" s="17" t="str">
        <f ca="1">IFERROR(__xludf.DUMMYFUNCTION("GOOGLETRANSLATE(S7, ""en"", ""sv"")"),"• 2 kg lammkött med ben
• 1 kg stor aubergine (eller liten svart lokal aubergine)
• 500 g sumacbär
• 2 koppar kokande vatten
• Saft från 5 citroner eller 1 msk citronsyra
• 2 tomater
• 5 msk tomatpuré
• 3 msk hackad vitlök
• 1 msk torkad mynta
• 1 msk sva"&amp;"rtpeppar
• 2 msk ghee
Ta kibbeh-ingredienserna från kibbeh labanieh-receptet (all kibbeh i buljong är densamma).")</f>
        <v>• 2 kg lammkött med ben
• 1 kg stor aubergine (eller liten svart lokal aubergine)
• 500 g sumacbär
• 2 koppar kokande vatten
• Saft från 5 citroner eller 1 msk citronsyra
• 2 tomater
• 5 msk tomatpuré
• 3 msk hackad vitlök
• 1 msk torkad mynta
• 1 msk svartpeppar
• 2 msk ghee
Ta kibbeh-ingredienserna från kibbeh labanieh-receptet (all kibbeh i buljong är densamma).</v>
      </c>
      <c r="AH7" s="17" t="str">
        <f ca="1">IFERROR(__xludf.DUMMYFUNCTION("GOOGLETRANSLATE(T7, ""en"", ""sv"")"),"Kvällen innan, blötlägg sumacen i två koppar kokande vatten.
Nästa dag, häll av sumacen, gnugga den med händerna och pressa ur saften. Tvätta fröna med lite vatten och pressa igen för att få bort all surhet.
Tvätta auberginen noggrant och skär den i med"&amp;"elstora tärningar med skalet på.
Lägg vitlöken i huvudgrytan med två matskedar ghee och fräs tills den blir lätt gyllenbrun. Tillsätt den torkade myntan och fräs i en minut. Lägg sedan lammet ovanpå (tvätta inte lammet). Rör om lammet kort för att bryna "&amp;"det och bevara saften. Koka upp tre liter vatten och häll det över lammet. Tillsätt sumacextrakt, tomater och hälften av tomatpurén till en början. Låt sjuda på mycket låg värme i tre timmar.
När lammet är tillagat, tillsätt auberginen, citronen och rest"&amp;"erande tomatpuré. Koka i ytterligare en halvtimme, eller tills auberginen är mjuk.")</f>
        <v>Kvällen innan, blötlägg sumacen i två koppar kokande vatten.
Nästa dag, häll av sumacen, gnugga den med händerna och pressa ur saften. Tvätta fröna med lite vatten och pressa igen för att få bort all surhet.
Tvätta auberginen noggrant och skär den i medelstora tärningar med skalet på.
Lägg vitlöken i huvudgrytan med två matskedar ghee och fräs tills den blir lätt gyllenbrun. Tillsätt den torkade myntan och fräs i en minut. Lägg sedan lammet ovanpå (tvätta inte lammet). Rör om lammet kort för att bryna det och bevara saften. Koka upp tre liter vatten och häll det över lammet. Tillsätt sumacextrakt, tomater och hälften av tomatpurén till en början. Låt sjuda på mycket låg värme i tre timmar.
När lammet är tillagat, tillsätt auberginen, citronen och resterande tomatpuré. Koka i ytterligare en halvtimme, eller tills auberginen är mjuk.</v>
      </c>
      <c r="AI7" s="17" t="str">
        <f ca="1">IFERROR(__xludf.DUMMYFUNCTION("GOOGLETRANSLATE(U7, ""en"", ""sv"")"),"10 personer")</f>
        <v>10 personer</v>
      </c>
      <c r="AJ7" s="17" t="str">
        <f ca="1">IFERROR(__xludf.DUMMYFUNCTION("GOOGLETRANSLATE(V7, ""en"", ""sv"")"),"Sumak kibbeh är en garnering som inte behöver någon ytterligare dekoration.")</f>
        <v>Sumak kibbeh är en garnering som inte behöver någon ytterligare dekoration.</v>
      </c>
      <c r="AK7" s="17" t="str">
        <f ca="1">IFERROR(__xludf.DUMMYFUNCTION("GOOGLETRANSLATE(W7, ""en"", ""sv"")"),"Lägg inte all kibbeh i buljongen, utan lägg den mängd du behöver i en serveringsskål och låt resten stå i en påse i kylskåpet till nästa dag så att kibbehen inte faller isär och sönderfaller inuti sumacen.")</f>
        <v>Lägg inte all kibbeh i buljongen, utan lägg den mängd du behöver i en serveringsskål och låt resten stå i en påse i kylskåpet till nästa dag så att kibbehen inte faller isär och sönderfaller inuti sumacen.</v>
      </c>
      <c r="AL7" s="17" t="str">
        <f ca="1">IFERROR(__xludf.DUMMYFUNCTION("GOOGLETRANSLATE(X7, ""en"", ""sv"")"),"bilder/Kebbe_Semmaqyeh.jpeg")</f>
        <v>bilder/Kebbe_Semmaqyeh.jpeg</v>
      </c>
      <c r="AM7" s="17" t="str">
        <f ca="1">IFERROR(__xludf.DUMMYFUNCTION("GOOGLETRANSLATE(Y7, ""en"", ""sv"")"),"#VALUE!")</f>
        <v>#VALUE!</v>
      </c>
      <c r="AN7" s="17" t="str">
        <f ca="1">IFERROR(__xludf.DUMMYFUNCTION("GOOGLETRANSLATE(Z7, ""en"", ""sv"")"),"SANN")</f>
        <v>SANN</v>
      </c>
      <c r="AO7" s="17" t="str">
        <f ca="1">IFERROR(__xludf.DUMMYFUNCTION("GOOGLETRANSLATE(AA7, ""en"", ""sv"")"),"#VALUE!")</f>
        <v>#VALUE!</v>
      </c>
      <c r="AP7" s="17" t="str">
        <f ca="1">IFERROR(__xludf.DUMMYFUNCTION("GOOGLETRANSLATE(AB7, ""en"", ""sv"")"),"#VALUE!")</f>
        <v>#VALUE!</v>
      </c>
      <c r="AQ7" s="17"/>
    </row>
    <row r="8" spans="1:43" ht="14.25" customHeight="1" x14ac:dyDescent="0.3">
      <c r="A8" s="8" t="s">
        <v>76</v>
      </c>
      <c r="B8" s="9" t="s">
        <v>29</v>
      </c>
      <c r="C8" s="10" t="s">
        <v>77</v>
      </c>
      <c r="D8" s="18" t="s">
        <v>31</v>
      </c>
      <c r="E8" s="10" t="s">
        <v>78</v>
      </c>
      <c r="F8" s="10" t="s">
        <v>79</v>
      </c>
      <c r="G8" s="19" t="s">
        <v>80</v>
      </c>
      <c r="H8" s="19" t="s">
        <v>81</v>
      </c>
      <c r="I8" s="10" t="s">
        <v>82</v>
      </c>
      <c r="J8" s="11" t="s">
        <v>83</v>
      </c>
      <c r="K8" s="12"/>
      <c r="L8" s="13"/>
      <c r="M8" s="13"/>
      <c r="N8" s="13"/>
      <c r="O8" s="14" t="str">
        <f t="shared" si="0"/>
        <v>7</v>
      </c>
      <c r="P8" s="15" t="str">
        <f ca="1">IFERROR(__xludf.DUMMYFUNCTION("GOOGLETRANSLATE(B8, ""ar"", ""en"")"),"Aleppo kibbeh")</f>
        <v>Aleppo kibbeh</v>
      </c>
      <c r="Q8" s="15" t="str">
        <f ca="1">IFERROR(__xludf.DUMMYFUNCTION("GOOGLETRANSLATE(C8, ""ar"", ""en"")"),"Rolled kibbeh")</f>
        <v>Rolled kibbeh</v>
      </c>
      <c r="R8" s="15" t="str">
        <f ca="1">IFERROR(__xludf.DUMMYFUNCTION("GOOGLETRANSLATE(D8, ""ar"", ""en"")"),"3 hours")</f>
        <v>3 hours</v>
      </c>
      <c r="S8" s="15" t="str">
        <f ca="1">IFERROR(__xludf.DUMMYFUNCTION("GOOGLETRANSLATE(E8, ""ar"", ""en"")"),"• 1 kg wholegrain bulgur wheat (white bulgur is for cooking, not for kibbeh)
• 1 kg lean ground beef
• 1 cup flour
• 2 medium onions (300 g)
• 1 tsp black pepper
• 1 tsp cumin
• 1 tsp seven-spice mix
Filling:
• 1 kg lean ground beef
• 2 medium onions
•"&amp;" 1 cup whole, unroasted pistachios (a little bit is fine, but not ground)
• 1 Maggi cube
• Ghee for greasing the baking tray and the kibbeh before baking
")</f>
        <v xml:space="preserve">• 1 kg wholegrain bulgur wheat (white bulgur is for cooking, not for kibbeh)
• 1 kg lean ground beef
• 1 cup flour
• 2 medium onions (300 g)
• 1 tsp black pepper
• 1 tsp cumin
• 1 tsp seven-spice mix
Filling:
• 1 kg lean ground beef
• 2 medium onions
• 1 cup whole, unroasted pistachios (a little bit is fine, but not ground)
• 1 Maggi cube
• Ghee for greasing the baking tray and the kibbeh before baking
</v>
      </c>
      <c r="T8" s="15" t="str">
        <f ca="1">IFERROR(__xludf.DUMMYFUNCTION("GOOGLETRANSLATE(F8, ""ar"", ""en"")"),"Kibbeh Dough Preparation Method:
Place 3 cups of cold tap water on the bulgur. Slice the onion into wedges and add it to the bulgur. Add the remaining ingredients to the bulgur, except for the lean meat (which you'll add later). Let the bulgur soak with t"&amp;"he spices and sliced ​​onion for at least two hours, or longer if needed.
Grind the bulgur for the first time in a meat grinder, without the lean meat. After the first grinding is complete, mix the ground lean meat with the ground bulgur. If the dough se"&amp;"ems dry, gradually add a little water. Then, grind the bulgur and lean meat together again in the meat grinder until the kibbeh has a uniform color. Knead the mixture on a work surface until it is completely smooth. The dough should be firm, neither too s"&amp;"oft nor too stiff, and easily shaped.
There are different types of bulgur, and some require more water than others. Therefore, add water by gently sprinkling it on the ground and kneading as needed.
Cut the dough, which should be soft and pliable in you"&amp;"r hands so that it does not break while rolling. If you notice that it is dry, gradually spray water on it and knead it on the kitchen table so that it becomes easy to roll. Cut a large piece of about 200 grams. Cut a freezer bag and open it so that it be"&amp;"comes one page, and on the middle of it, put the piece that you rolled out in a dish, just like grilled kibbeh. If you can make it in the shape of a rectangle and not a circle, it will be easier. On the rectangular piece of dough, take the appropriate amo"&amp;"unt of filling to make the kibbeh about 5 cm in diameter and half a centimeter thick. Then, fold the top edge of the piping bag over the filling after pressing it down with your hand to form a cylinder. Now, fold the bottom edge of the bag over to meet th"&amp;"e top edge and firmly seal the dough together, pressing the edges together so that the point you are joining looks like one piece. Wipe your hand with a little water and smooth the seam. Then, seal the ends of the cylinder well with the kibbeh so that it "&amp;"doesn't unravel at the edges during baking. Now, roll the entire piping bag around the kibbeh cylinder and roll it on the baking sheet to hold it in place. Grease the baking tray before placing the kibbeh on it, and you will need to add a layer of ghee af"&amp;"ter melting it slightly. Place the kibbeh in the oven at the highest temperature on the first rack above the bottom and leave it for about 40 minutes or until it turns a light golden color. Rolled kibbeh doesn't need to be a dark color, otherwise it will "&amp;"dry out.")</f>
        <v>Kibbeh Dough Preparation Method:
Place 3 cups of cold tap water on the bulgur. Slice the onion into wedges and add it to the bulgur. Add the remaining ingredients to the bulgur, except for the lean meat (which you'll add later). Let the bulgur soak with the spices and sliced ​​onion for at least two hours, or longer if needed.
Grind the bulgur for the first time in a meat grinder, without the lean meat. After the first grinding is complete, mix the ground lean meat with the ground bulgur. If the dough seems dry, gradually add a little water. Then, grind the bulgur and lean meat together again in the meat grinder until the kibbeh has a uniform color. Knead the mixture on a work surface until it is completely smooth. The dough should be firm, neither too soft nor too stiff, and easily shaped.
There are different types of bulgur, and some require more water than others. Therefore, add water by gently sprinkling it on the ground and kneading as needed.
Cut the dough, which should be soft and pliable in your hands so that it does not break while rolling. If you notice that it is dry, gradually spray water on it and knead it on the kitchen table so that it becomes easy to roll. Cut a large piece of about 200 grams. Cut a freezer bag and open it so that it becomes one page, and on the middle of it, put the piece that you rolled out in a dish, just like grilled kibbeh. If you can make it in the shape of a rectangle and not a circle, it will be easier. On the rectangular piece of dough, take the appropriate amount of filling to make the kibbeh about 5 cm in diameter and half a centimeter thick. Then, fold the top edge of the piping bag over the filling after pressing it down with your hand to form a cylinder. Now, fold the bottom edge of the bag over to meet the top edge and firmly seal the dough together, pressing the edges together so that the point you are joining looks like one piece. Wipe your hand with a little water and smooth the seam. Then, seal the ends of the cylinder well with the kibbeh so that it doesn't unravel at the edges during baking. Now, roll the entire piping bag around the kibbeh cylinder and roll it on the baking sheet to hold it in place. Grease the baking tray before placing the kibbeh on it, and you will need to add a layer of ghee after melting it slightly. Place the kibbeh in the oven at the highest temperature on the first rack above the bottom and leave it for about 40 minutes or until it turns a light golden color. Rolled kibbeh doesn't need to be a dark color, otherwise it will dry out.</v>
      </c>
      <c r="U8" s="15" t="str">
        <f ca="1">IFERROR(__xludf.DUMMYFUNCTION("GOOGLETRANSLATE(G8, ""ar"", ""en"")"),"8 people")</f>
        <v>8 people</v>
      </c>
      <c r="V8" s="15" t="str">
        <f ca="1">IFERROR(__xludf.DUMMYFUNCTION("GOOGLETRANSLATE(H8, ""ar"", ""en"")"),"Distribute slices of green cucumber between each rolled piece, some of which are slices of red tomato, and arrange them in a tray; it will give a wonderful look.")</f>
        <v>Distribute slices of green cucumber between each rolled piece, some of which are slices of red tomato, and arrange them in a tray; it will give a wonderful look.</v>
      </c>
      <c r="W8" s="15" t="str">
        <f ca="1">IFERROR(__xludf.DUMMYFUNCTION("GOOGLETRANSLATE(I8, ""ar"", ""en"")"),"You can freeze rolled kibbeh for 6 months, whether grilled or raw, but seal it tightly so that other freezer smells do not seep into it.")</f>
        <v>You can freeze rolled kibbeh for 6 months, whether grilled or raw, but seal it tightly so that other freezer smells do not seep into it.</v>
      </c>
      <c r="X8" s="15" t="str">
        <f ca="1">IFERROR(__xludf.DUMMYFUNCTION("GOOGLETRANSLATE(J8, ""ar"", ""en"")"),"images/Kebbe_Mabroumeh.jpg")</f>
        <v>images/Kebbe_Mabroumeh.jpg</v>
      </c>
      <c r="Y8" s="15" t="str">
        <f ca="1">IFERROR(__xludf.DUMMYFUNCTION("GOOGLETRANSLATE(K8, ""ar"", ""en"")"),"#VALUE!")</f>
        <v>#VALUE!</v>
      </c>
      <c r="Z8" s="15" t="str">
        <f ca="1">IFERROR(__xludf.DUMMYFUNCTION("GOOGLETRANSLATE(L8, ""ar"", ""en"")"),"#VALUE!")</f>
        <v>#VALUE!</v>
      </c>
      <c r="AA8" s="15" t="str">
        <f ca="1">IFERROR(__xludf.DUMMYFUNCTION("GOOGLETRANSLATE(M8, ""ar"", ""en"")"),"#VALUE!")</f>
        <v>#VALUE!</v>
      </c>
      <c r="AB8" s="15" t="str">
        <f ca="1">IFERROR(__xludf.DUMMYFUNCTION("GOOGLETRANSLATE(N8, ""ar"", ""en"")"),"#VALUE!")</f>
        <v>#VALUE!</v>
      </c>
      <c r="AC8" s="16" t="str">
        <f t="shared" si="1"/>
        <v>7</v>
      </c>
      <c r="AD8" s="17" t="str">
        <f ca="1">IFERROR(__xludf.DUMMYFUNCTION("GOOGLETRANSLATE(P8, ""en"", ""sv"")"),"Aleppo kibbeh")</f>
        <v>Aleppo kibbeh</v>
      </c>
      <c r="AE8" s="17" t="str">
        <f ca="1">IFERROR(__xludf.DUMMYFUNCTION("GOOGLETRANSLATE(Q8, ""en"", ""sv"")"),"Rullad kibbeh")</f>
        <v>Rullad kibbeh</v>
      </c>
      <c r="AF8" s="17" t="str">
        <f ca="1">IFERROR(__xludf.DUMMYFUNCTION("GOOGLETRANSLATE(R8, ""en"", ""sv"")"),"3 timmar")</f>
        <v>3 timmar</v>
      </c>
      <c r="AG8" s="17" t="str">
        <f ca="1">IFERROR(__xludf.DUMMYFUNCTION("GOOGLETRANSLATE(S8, ""en"", ""sv"")"),"• 1 kg fullkornsbulgur (vit bulgur är till matlagning, inte till kibbeh)
• 1 kg mager nötfärs
• 2,5 dl mjöl
• 2 medelstora lökar (300 g)
• 1 tsk svartpeppar
• 1 tsk spiskummin
• 1 tsk kryddblandning
Fyllning:
• 1 kg mager nötfärs
• 2 medelstora lökar
•"&amp;" 2,5 dl hela, orostade pistagenötter (lite går bra, men inte malda)
• 1 Maggi-tärning
• Ghee för att smörja bakplåten och kibbeh före gräddning
")</f>
        <v xml:space="preserve">• 1 kg fullkornsbulgur (vit bulgur är till matlagning, inte till kibbeh)
• 1 kg mager nötfärs
• 2,5 dl mjöl
• 2 medelstora lökar (300 g)
• 1 tsk svartpeppar
• 1 tsk spiskummin
• 1 tsk kryddblandning
Fyllning:
• 1 kg mager nötfärs
• 2 medelstora lökar
• 2,5 dl hela, orostade pistagenötter (lite går bra, men inte malda)
• 1 Maggi-tärning
• Ghee för att smörja bakplåten och kibbeh före gräddning
</v>
      </c>
      <c r="AH8" s="17" t="str">
        <f ca="1">IFERROR(__xludf.DUMMYFUNCTION("GOOGLETRANSLATE(T8, ""en"", ""sv"")"),"Metod för att tillaga kibbehdeg:
Häll 7,5 dl kallt kranvatten över bulgurn. Skiva löken i klyftor och tillsätt den i bulgurn. Tillsätt resterande ingredienser i bulgurn, förutom det magra köttet (som du tillsätter senare). Låt bulgurn dra ihop sig med kry"&amp;"ddorna och den skivade löken i minst två timmar, eller längre om det behövs.
Mal bulgurn för första gången i en köttkvarn, utan det magra köttet. Efter den första malningen är klar, blanda det malda magra köttet med den malda bulgurn. Om degen verkar tor"&amp;"r, tillsätt gradvis lite vatten. Mal sedan bulgurn och det magra köttet igen i köttkvarnen tills kibbehn har en jämn färg. Knåda blandningen på en arbetsyta tills den är helt slät. Degen ska vara fast, varken för mjuk eller för stel, och lätt att forma.
"&amp;"Det finns olika typer av bulgur, och vissa kräver mer vatten än andra. Tillsätt därför vatten genom att försiktigt strö det över köttet och knåda efter behov.
Skär ut degen, som ska vara mjuk och smidig i dina händer så att den inte går sönder när du kav"&amp;"lar den. Om du märker att den är torr, spraya gradvis vatten på den och knåda den på köksbordet så att den blir lätt att kavla. Skär ut en stor bit på cirka 200 gram. Klipp ut en fryspåse och öppna den så att den blir en sida, och lägg den utkavlade biten"&amp;" i mitten i en form, precis som grillad kibbeh. Om du kan få den att formas som en rektangel och inte en cirkel, blir det lättare. Ta lämplig mängd fyllning på den rektangulära degbiten för att göra kibbeh cirka 5 cm i diameter och en halv centimeter tjoc"&amp;"k. Vik sedan spritspåsens övre kant över fyllningen efter att ha tryckt ner den med handen för att bilda en cylinder. Vik nu spritspåsens nedre kant över den övre kanten och förslut degen ordentligt genom att trycka ihop kanterna så att den punkt du samma"&amp;"nfogar ser ut som en enda bit. Torka av handen med lite vatten och släta ut skarven. Förslut sedan cylinderns ändar väl med kibbehn så att den inte nystar upp sig i kanterna under gräddningen. Rulla nu hela spritspåsen runt kibbehcylindern och rulla den p"&amp;"å en bakplåt för att hålla den på plats. Smörj bakplåten innan du lägger kibbehn på den, och du måste lägga på ett lager ghee efter att du har smält den lätt. Placera kibbehn i ugnen på högsta temperatur på det första gallret ovanför botten och låt den jä"&amp;"sa i cirka 40 minuter eller tills den får en ljusgyllen färg. Kavlad kibbeh behöver inte ha en mörk färg, annars kommer den att torka ut.")</f>
        <v>Metod för att tillaga kibbehdeg:
Häll 7,5 dl kallt kranvatten över bulgurn. Skiva löken i klyftor och tillsätt den i bulgurn. Tillsätt resterande ingredienser i bulgurn, förutom det magra köttet (som du tillsätter senare). Låt bulgurn dra ihop sig med kryddorna och den skivade löken i minst två timmar, eller längre om det behövs.
Mal bulgurn för första gången i en köttkvarn, utan det magra köttet. Efter den första malningen är klar, blanda det malda magra köttet med den malda bulgurn. Om degen verkar torr, tillsätt gradvis lite vatten. Mal sedan bulgurn och det magra köttet igen i köttkvarnen tills kibbehn har en jämn färg. Knåda blandningen på en arbetsyta tills den är helt slät. Degen ska vara fast, varken för mjuk eller för stel, och lätt att forma.
Det finns olika typer av bulgur, och vissa kräver mer vatten än andra. Tillsätt därför vatten genom att försiktigt strö det över köttet och knåda efter behov.
Skär ut degen, som ska vara mjuk och smidig i dina händer så att den inte går sönder när du kavlar den. Om du märker att den är torr, spraya gradvis vatten på den och knåda den på köksbordet så att den blir lätt att kavla. Skär ut en stor bit på cirka 200 gram. Klipp ut en fryspåse och öppna den så att den blir en sida, och lägg den utkavlade biten i mitten i en form, precis som grillad kibbeh. Om du kan få den att formas som en rektangel och inte en cirkel, blir det lättare. Ta lämplig mängd fyllning på den rektangulära degbiten för att göra kibbeh cirka 5 cm i diameter och en halv centimeter tjock. Vik sedan spritspåsens övre kant över fyllningen efter att ha tryckt ner den med handen för att bilda en cylinder. Vik nu spritspåsens nedre kant över den övre kanten och förslut degen ordentligt genom att trycka ihop kanterna så att den punkt du sammanfogar ser ut som en enda bit. Torka av handen med lite vatten och släta ut skarven. Förslut sedan cylinderns ändar väl med kibbehn så att den inte nystar upp sig i kanterna under gräddningen. Rulla nu hela spritspåsen runt kibbehcylindern och rulla den på en bakplåt för att hålla den på plats. Smörj bakplåten innan du lägger kibbehn på den, och du måste lägga på ett lager ghee efter att du har smält den lätt. Placera kibbehn i ugnen på högsta temperatur på det första gallret ovanför botten och låt den jäsa i cirka 40 minuter eller tills den får en ljusgyllen färg. Kavlad kibbeh behöver inte ha en mörk färg, annars kommer den att torka ut.</v>
      </c>
      <c r="AI8" s="17" t="str">
        <f ca="1">IFERROR(__xludf.DUMMYFUNCTION("GOOGLETRANSLATE(U8, ""en"", ""sv"")"),"8 personer")</f>
        <v>8 personer</v>
      </c>
      <c r="AJ8" s="17" t="str">
        <f ca="1">IFERROR(__xludf.DUMMYFUNCTION("GOOGLETRANSLATE(V8, ""en"", ""sv"")"),"Fördela skivor av grön gurka mellan varje rullad bit, varav några är skivor av röd tomat, och arrangera dem i en bricka; det ger ett underbart utseende.")</f>
        <v>Fördela skivor av grön gurka mellan varje rullad bit, varav några är skivor av röd tomat, och arrangera dem i en bricka; det ger ett underbart utseende.</v>
      </c>
      <c r="AK8" s="17" t="str">
        <f ca="1">IFERROR(__xludf.DUMMYFUNCTION("GOOGLETRANSLATE(W8, ""en"", ""sv"")"),"Du kan frysa rullad kibbeh i 6 månader, oavsett om den är grillad eller rå, men förslut den ordentligt så att andra fryslukter inte sipprar in i den.")</f>
        <v>Du kan frysa rullad kibbeh i 6 månader, oavsett om den är grillad eller rå, men förslut den ordentligt så att andra fryslukter inte sipprar in i den.</v>
      </c>
      <c r="AL8" s="17" t="str">
        <f ca="1">IFERROR(__xludf.DUMMYFUNCTION("GOOGLETRANSLATE(X8, ""en"", ""sv"")"),"bilder/Kebbe_Mabroumeh.jpg")</f>
        <v>bilder/Kebbe_Mabroumeh.jpg</v>
      </c>
      <c r="AM8" s="17" t="str">
        <f ca="1">IFERROR(__xludf.DUMMYFUNCTION("GOOGLETRANSLATE(Y8, ""en"", ""sv"")"),"#VALUE!")</f>
        <v>#VALUE!</v>
      </c>
      <c r="AN8" s="17" t="str">
        <f ca="1">IFERROR(__xludf.DUMMYFUNCTION("GOOGLETRANSLATE(Z8, ""en"", ""sv"")"),"#VALUE!")</f>
        <v>#VALUE!</v>
      </c>
      <c r="AO8" s="17" t="str">
        <f ca="1">IFERROR(__xludf.DUMMYFUNCTION("GOOGLETRANSLATE(AA8, ""en"", ""sv"")"),"#VALUE!")</f>
        <v>#VALUE!</v>
      </c>
      <c r="AP8" s="17" t="str">
        <f ca="1">IFERROR(__xludf.DUMMYFUNCTION("GOOGLETRANSLATE(AB8, ""en"", ""sv"")"),"#VALUE!")</f>
        <v>#VALUE!</v>
      </c>
      <c r="AQ8" s="17"/>
    </row>
    <row r="9" spans="1:43" ht="14.25" customHeight="1" x14ac:dyDescent="0.3">
      <c r="A9" s="8" t="s">
        <v>84</v>
      </c>
      <c r="B9" s="9" t="s">
        <v>29</v>
      </c>
      <c r="C9" s="10" t="s">
        <v>85</v>
      </c>
      <c r="D9" s="18" t="s">
        <v>86</v>
      </c>
      <c r="E9" s="10" t="s">
        <v>87</v>
      </c>
      <c r="F9" s="10" t="s">
        <v>88</v>
      </c>
      <c r="G9" s="19" t="s">
        <v>89</v>
      </c>
      <c r="H9" s="19" t="s">
        <v>90</v>
      </c>
      <c r="I9" s="10" t="s">
        <v>91</v>
      </c>
      <c r="J9" s="11" t="s">
        <v>92</v>
      </c>
      <c r="K9" s="12"/>
      <c r="L9" s="13"/>
      <c r="M9" s="13"/>
      <c r="N9" s="13"/>
      <c r="O9" s="14" t="str">
        <f t="shared" si="0"/>
        <v>8</v>
      </c>
      <c r="P9" s="15" t="str">
        <f ca="1">IFERROR(__xludf.DUMMYFUNCTION("GOOGLETRANSLATE(B9, ""ar"", ""en"")"),"Aleppo kibbeh")</f>
        <v>Aleppo kibbeh</v>
      </c>
      <c r="Q9" s="15" t="str">
        <f ca="1">IFERROR(__xludf.DUMMYFUNCTION("GOOGLETRANSLATE(C9, ""ar"", ""en"")"),"Kibbeh on a skewer (kibbeh grilled on a meat skewer over charcoal)")</f>
        <v>Kibbeh on a skewer (kibbeh grilled on a meat skewer over charcoal)</v>
      </c>
      <c r="R9" s="15" t="str">
        <f ca="1">IFERROR(__xludf.DUMMYFUNCTION("GOOGLETRANSLATE(D9, ""ar"", ""en"")"),"One hour")</f>
        <v>One hour</v>
      </c>
      <c r="S9" s="15" t="str">
        <f ca="1">IFERROR(__xludf.DUMMYFUNCTION("GOOGLETRANSLATE(E9, ""ar"", ""en"")"),"• 1 kg fatty lamb kebab (25-30% fat)
• 1 cup fine bulgur (200 g)
• 1/2 cup finely ground freekeh
• 1 medium onion, sliced
• 1/2 cup green freekeh
• 2 tablespoons red pepper paste
• 1/2 cup ground walnuts
• 1/2 tablespoon salt
• 1 teaspoon black pepper
• 1"&amp;" teaspoon cinnamon")</f>
        <v>• 1 kg fatty lamb kebab (25-30% fat)
• 1 cup fine bulgur (200 g)
• 1/2 cup finely ground freekeh
• 1 medium onion, sliced
• 1/2 cup green freekeh
• 2 tablespoons red pepper paste
• 1/2 cup ground walnuts
• 1/2 tablespoon salt
• 1 teaspoon black pepper
• 1 teaspoon cinnamon</v>
      </c>
      <c r="T9" s="15" t="str">
        <f ca="1">IFERROR(__xludf.DUMMYFUNCTION("GOOGLETRANSLATE(F9, ""ar"", ""en"")"),"Wash and drain the bulgur. Mix all the ingredients and spices, then refrigerate for one hour. Next, grind everything in a meat grinder, including the walnuts and freekeh. As with any kibbeh, grind the bulgur once without the meat, then mix in the meat and"&amp;" grind everything again in the grinder.
Knead the kibbeh mixture well to ensure the ingredients are thoroughly combined. Then, refrigerate for at least another hour before shaping or skewering it. Moisten or wipe your hands with water to prevent the kibb"&amp;"eh from sticking while cutting. Cut small pieces, about the size of a small ball and weighing approximately 25 grams each. Roll each piece into a small ball and arrange them on a tray. If you have time while waiting for the fire to start and the charcoal "&amp;"to heat up, put them in the refrigerator until the fire is ready. Then thread them onto skewers; they don't take long. Once finished, press each piece onto the skewer with the palm of your hand and fingers so that it adheres properly, but without distorti"&amp;"ng the shape of the balls. If you like, you can leave your finger prints on the balls; that's fine. Arrange the finished skewers on a deep tray so the kibbeh doesn't stick to the bottom, or on a charcoal grill if it's ready.
Gasp gently, as kibbeh burns "&amp;"easily. Let them brown and become golden without generating additional heat through fanning, as they will cook on the outside but remain raw on the inside.")</f>
        <v>Wash and drain the bulgur. Mix all the ingredients and spices, then refrigerate for one hour. Next, grind everything in a meat grinder, including the walnuts and freekeh. As with any kibbeh, grind the bulgur once without the meat, then mix in the meat and grind everything again in the grinder.
Knead the kibbeh mixture well to ensure the ingredients are thoroughly combined. Then, refrigerate for at least another hour before shaping or skewering it. Moisten or wipe your hands with water to prevent the kibbeh from sticking while cutting. Cut small pieces, about the size of a small ball and weighing approximately 25 grams each. Roll each piece into a small ball and arrange them on a tray. If you have time while waiting for the fire to start and the charcoal to heat up, put them in the refrigerator until the fire is ready. Then thread them onto skewers; they don't take long. Once finished, press each piece onto the skewer with the palm of your hand and fingers so that it adheres properly, but without distorting the shape of the balls. If you like, you can leave your finger prints on the balls; that's fine. Arrange the finished skewers on a deep tray so the kibbeh doesn't stick to the bottom, or on a charcoal grill if it's ready.
Gasp gently, as kibbeh burns easily. Let them brown and become golden without generating additional heat through fanning, as they will cook on the outside but remain raw on the inside.</v>
      </c>
      <c r="U9" s="15" t="str">
        <f ca="1">IFERROR(__xludf.DUMMYFUNCTION("GOOGLETRANSLATE(G9, ""ar"", ""en"")"),"5 people")</f>
        <v>5 people</v>
      </c>
      <c r="V9" s="15" t="str">
        <f ca="1">IFERROR(__xludf.DUMMYFUNCTION("GOOGLETRANSLATE(H9, ""ar"", ""en"")"),"Grill red and green peppers and distribute them among the kibbeh pieces after grilling to give them delicious colors.")</f>
        <v>Grill red and green peppers and distribute them among the kibbeh pieces after grilling to give them delicious colors.</v>
      </c>
      <c r="W9" s="15" t="str">
        <f ca="1">IFERROR(__xludf.DUMMYFUNCTION("GOOGLETRANSLATE(I9, ""ar"", ""en"")"),"Bulgur wheat is not soaked in water; it is simply washed and drained well to absorb the onion juice and flavor, giving the kibbeh a golden color due to the sugar in the onion juice. Aleppo-style kebabs and kibbeh on a skewer are distinguished by their min"&amp;"imal use of spices.
Some culinary experts recommend squeezing out the onion juice, but in my opinion, after researching the topic, I found that the onion juice, prepared this way, becomes tasteless and fibrous. So why add it?")</f>
        <v>Bulgur wheat is not soaked in water; it is simply washed and drained well to absorb the onion juice and flavor, giving the kibbeh a golden color due to the sugar in the onion juice. Aleppo-style kebabs and kibbeh on a skewer are distinguished by their minimal use of spices.
Some culinary experts recommend squeezing out the onion juice, but in my opinion, after researching the topic, I found that the onion juice, prepared this way, becomes tasteless and fibrous. So why add it?</v>
      </c>
      <c r="X9" s="15" t="str">
        <f ca="1">IFERROR(__xludf.DUMMYFUNCTION("GOOGLETRANSLATE(J9, ""ar"", ""en"")"),"images/Kebbe_seikh.jpg")</f>
        <v>images/Kebbe_seikh.jpg</v>
      </c>
      <c r="Y9" s="15" t="str">
        <f ca="1">IFERROR(__xludf.DUMMYFUNCTION("GOOGLETRANSLATE(K9, ""ar"", ""en"")"),"#VALUE!")</f>
        <v>#VALUE!</v>
      </c>
      <c r="Z9" s="15" t="str">
        <f ca="1">IFERROR(__xludf.DUMMYFUNCTION("GOOGLETRANSLATE(L9, ""ar"", ""en"")"),"#VALUE!")</f>
        <v>#VALUE!</v>
      </c>
      <c r="AA9" s="15" t="str">
        <f ca="1">IFERROR(__xludf.DUMMYFUNCTION("GOOGLETRANSLATE(M9, ""ar"", ""en"")"),"#VALUE!")</f>
        <v>#VALUE!</v>
      </c>
      <c r="AB9" s="15" t="str">
        <f ca="1">IFERROR(__xludf.DUMMYFUNCTION("GOOGLETRANSLATE(N9, ""ar"", ""en"")"),"#VALUE!")</f>
        <v>#VALUE!</v>
      </c>
      <c r="AC9" s="16" t="str">
        <f t="shared" si="1"/>
        <v>8</v>
      </c>
      <c r="AD9" s="17" t="str">
        <f ca="1">IFERROR(__xludf.DUMMYFUNCTION("GOOGLETRANSLATE(P9, ""en"", ""sv"")"),"Aleppo kibbeh")</f>
        <v>Aleppo kibbeh</v>
      </c>
      <c r="AE9" s="17" t="str">
        <f ca="1">IFERROR(__xludf.DUMMYFUNCTION("GOOGLETRANSLATE(Q9, ""en"", ""sv"")"),"Kibbeh på spett (kibbeh grillad på ett köttspett över kol)")</f>
        <v>Kibbeh på spett (kibbeh grillad på ett köttspett över kol)</v>
      </c>
      <c r="AF9" s="17" t="str">
        <f ca="1">IFERROR(__xludf.DUMMYFUNCTION("GOOGLETRANSLATE(R9, ""en"", ""sv"")"),"En timme")</f>
        <v>En timme</v>
      </c>
      <c r="AG9" s="17" t="str">
        <f ca="1">IFERROR(__xludf.DUMMYFUNCTION("GOOGLETRANSLATE(S9, ""en"", ""sv"")"),"• 1 kg fet lammkebab (25–30 % fett)
• 2,5 dl fin bulgur (200 g)
• 1,5 dl finmalen freekeh
• 1 medelstor lök, skivad
• 1,5 dl grön freekeh
• 2 msk röd paprikapasta
• 1,5 dl malda valnötter
• 1,5 msk salt
• 1 tsk svartpeppar
• 1 tsk kanel")</f>
        <v>• 1 kg fet lammkebab (25–30 % fett)
• 2,5 dl fin bulgur (200 g)
• 1,5 dl finmalen freekeh
• 1 medelstor lök, skivad
• 1,5 dl grön freekeh
• 2 msk röd paprikapasta
• 1,5 dl malda valnötter
• 1,5 msk salt
• 1 tsk svartpeppar
• 1 tsk kanel</v>
      </c>
      <c r="AH9" s="17" t="str">
        <f ca="1">IFERROR(__xludf.DUMMYFUNCTION("GOOGLETRANSLATE(T9, ""en"", ""sv"")"),"Tvätta och häll av vattnet från bulguren. Blanda alla ingredienser och kryddor och ställ sedan i kylskåpet i en timme. Mal sedan allt i en köttkvarn, inklusive valnötter och freekeh. Som med all kibbeh, mal bulguren en gång utan köttet, blanda sedan i köt"&amp;"tet och mal allt igen i kvarnen.
Knåda kibbeh-blandningen väl för att säkerställa att ingredienserna är ordentligt blandade. Ställ sedan i kylskåpet i minst en timme till innan du formar eller stickar på spett. Fukta eller torka av händerna med vatten fö"&amp;"r att förhindra att kibbeh fastnar när du skär. Skär små bitar, ungefär lika stora som en liten boll och väger cirka 25 gram styck. Rulla varje bit till en liten boll och lägg dem på en bricka. Om du har tid medan du väntar på att elden ska börja och kole"&amp;"n ska värmas upp, ställ dem i kylskåpet tills elden är klar. Trä sedan upp dem på spett; det tar inte lång tid. När du är klar, tryck varje bit på spetten med handflatan och fingrarna så att den fäster ordentligt, men utan att bollarnas form förvrängs. Om"&amp;" du vill kan du lämna dina fingeravtryck på bollarna; det går bra. Lägg de färdiga spetten på en djup plåt så att kibbehn inte fastnar i botten, eller på en kolgrill om den är klar.
Kipp försiktigt, eftersom kibbehn lätt bränns. Låt dem brynas och bli gy"&amp;"llenbruna utan att generera ytterligare värme genom fläktning, eftersom de kommer att tillagas på utsidan men förbli råa på insidan.")</f>
        <v>Tvätta och häll av vattnet från bulguren. Blanda alla ingredienser och kryddor och ställ sedan i kylskåpet i en timme. Mal sedan allt i en köttkvarn, inklusive valnötter och freekeh. Som med all kibbeh, mal bulguren en gång utan köttet, blanda sedan i köttet och mal allt igen i kvarnen.
Knåda kibbeh-blandningen väl för att säkerställa att ingredienserna är ordentligt blandade. Ställ sedan i kylskåpet i minst en timme till innan du formar eller stickar på spett. Fukta eller torka av händerna med vatten för att förhindra att kibbeh fastnar när du skär. Skär små bitar, ungefär lika stora som en liten boll och väger cirka 25 gram styck. Rulla varje bit till en liten boll och lägg dem på en bricka. Om du har tid medan du väntar på att elden ska börja och kolen ska värmas upp, ställ dem i kylskåpet tills elden är klar. Trä sedan upp dem på spett; det tar inte lång tid. När du är klar, tryck varje bit på spetten med handflatan och fingrarna så att den fäster ordentligt, men utan att bollarnas form förvrängs. Om du vill kan du lämna dina fingeravtryck på bollarna; det går bra. Lägg de färdiga spetten på en djup plåt så att kibbehn inte fastnar i botten, eller på en kolgrill om den är klar.
Kipp försiktigt, eftersom kibbehn lätt bränns. Låt dem brynas och bli gyllenbruna utan att generera ytterligare värme genom fläktning, eftersom de kommer att tillagas på utsidan men förbli råa på insidan.</v>
      </c>
      <c r="AI9" s="17" t="str">
        <f ca="1">IFERROR(__xludf.DUMMYFUNCTION("GOOGLETRANSLATE(U9, ""en"", ""sv"")"),"5 personer")</f>
        <v>5 personer</v>
      </c>
      <c r="AJ9" s="17" t="str">
        <f ca="1">IFERROR(__xludf.DUMMYFUNCTION("GOOGLETRANSLATE(V9, ""en"", ""sv"")"),"Grilla röda och gröna paprikor och fördela dem bland kibbehbitarna efter grillning för att ge dem läckra färger.")</f>
        <v>Grilla röda och gröna paprikor och fördela dem bland kibbehbitarna efter grillning för att ge dem läckra färger.</v>
      </c>
      <c r="AK9" s="17" t="str">
        <f ca="1">IFERROR(__xludf.DUMMYFUNCTION("GOOGLETRANSLATE(W9, ""en"", ""sv"")"),"Bulgurvete blötläggs inte i vatten; det tvättas helt enkelt och avrinns väl för att absorbera löksaften och smaken, vilket ger kibbeh en gyllene färg på grund av sockret i löksaften. Aleppo-stil kebaber och kibbeh på spett kännetecknas av sin minimala anv"&amp;"ändning av kryddor.
Vissa kulinariska experter rekommenderar att pressa ut löksaften, men enligt min mening, efter att ha undersökt ämnet, upptäckte jag att löksaften, tillagad på detta sätt, blir smaklös och fibrös. Så varför tillsätta den?")</f>
        <v>Bulgurvete blötläggs inte i vatten; det tvättas helt enkelt och avrinns väl för att absorbera löksaften och smaken, vilket ger kibbeh en gyllene färg på grund av sockret i löksaften. Aleppo-stil kebaber och kibbeh på spett kännetecknas av sin minimala användning av kryddor.
Vissa kulinariska experter rekommenderar att pressa ut löksaften, men enligt min mening, efter att ha undersökt ämnet, upptäckte jag att löksaften, tillagad på detta sätt, blir smaklös och fibrös. Så varför tillsätta den?</v>
      </c>
      <c r="AL9" s="17" t="str">
        <f ca="1">IFERROR(__xludf.DUMMYFUNCTION("GOOGLETRANSLATE(X9, ""en"", ""sv"")"),"bilder/Kebbe_seikh.jpg")</f>
        <v>bilder/Kebbe_seikh.jpg</v>
      </c>
      <c r="AM9" s="17" t="str">
        <f ca="1">IFERROR(__xludf.DUMMYFUNCTION("GOOGLETRANSLATE(Y9, ""en"", ""sv"")"),"#VALUE!")</f>
        <v>#VALUE!</v>
      </c>
      <c r="AN9" s="17" t="str">
        <f ca="1">IFERROR(__xludf.DUMMYFUNCTION("GOOGLETRANSLATE(Z9, ""en"", ""sv"")"),"#VALUE!")</f>
        <v>#VALUE!</v>
      </c>
      <c r="AO9" s="17" t="str">
        <f ca="1">IFERROR(__xludf.DUMMYFUNCTION("GOOGLETRANSLATE(AA9, ""en"", ""sv"")"),"#VALUE!")</f>
        <v>#VALUE!</v>
      </c>
      <c r="AP9" s="17" t="str">
        <f ca="1">IFERROR(__xludf.DUMMYFUNCTION("GOOGLETRANSLATE(AB9, ""en"", ""sv"")"),"#VALUE!")</f>
        <v>#VALUE!</v>
      </c>
      <c r="AQ9" s="17"/>
    </row>
    <row r="10" spans="1:43" ht="14.25" customHeight="1" x14ac:dyDescent="0.3">
      <c r="A10" s="8" t="s">
        <v>93</v>
      </c>
      <c r="B10" s="9" t="s">
        <v>29</v>
      </c>
      <c r="C10" s="10" t="s">
        <v>94</v>
      </c>
      <c r="D10" s="10" t="s">
        <v>86</v>
      </c>
      <c r="E10" s="10" t="s">
        <v>95</v>
      </c>
      <c r="F10" s="10" t="s">
        <v>96</v>
      </c>
      <c r="G10" s="19" t="s">
        <v>97</v>
      </c>
      <c r="H10" s="19" t="s">
        <v>98</v>
      </c>
      <c r="I10" s="10" t="s">
        <v>99</v>
      </c>
      <c r="J10" s="11" t="s">
        <v>100</v>
      </c>
      <c r="K10" s="12"/>
      <c r="L10" s="13"/>
      <c r="M10" s="13"/>
      <c r="N10" s="13"/>
      <c r="O10" s="14" t="str">
        <f t="shared" si="0"/>
        <v>9</v>
      </c>
      <c r="P10" s="15" t="str">
        <f ca="1">IFERROR(__xludf.DUMMYFUNCTION("GOOGLETRANSLATE(B10, ""ar"", ""en"")"),"Aleppo kibbeh")</f>
        <v>Aleppo kibbeh</v>
      </c>
      <c r="Q10" s="15" t="str">
        <f ca="1">IFERROR(__xludf.DUMMYFUNCTION("GOOGLETRANSLATE(C10, ""ar"", ""en"")"),"Kibbeh in a tray")</f>
        <v>Kibbeh in a tray</v>
      </c>
      <c r="R10" s="15" t="str">
        <f ca="1">IFERROR(__xludf.DUMMYFUNCTION("GOOGLETRANSLATE(D10, ""ar"", ""en"")"),"One hour")</f>
        <v>One hour</v>
      </c>
      <c r="S10" s="15" t="str">
        <f ca="1">IFERROR(__xludf.DUMMYFUNCTION("GOOGLETRANSLATE(E10, ""ar"", ""en"")"),"• 600g bulgur wheat
• 400g lean veal
• 150g flour
• 3 medium onions
• ½ tsp seven-spice mix
• ½ tsp black pepper
• ¼ tsp ground cinnamon
• 1 tbsp salt
• 1 tsp ground ginger
• 5 tbsp ghee
Filling:
• 600g minced meat
• 2 onions (400g)
• 100g pine nuts
• 1"&amp;"00g cashew nuts
• 100g blanched almonds (for filling and garnish)")</f>
        <v>• 600g bulgur wheat
• 400g lean veal
• 150g flour
• 3 medium onions
• ½ tsp seven-spice mix
• ½ tsp black pepper
• ¼ tsp ground cinnamon
• 1 tbsp salt
• 1 tsp ground ginger
• 5 tbsp ghee
Filling:
• 600g minced meat
• 2 onions (400g)
• 100g pine nuts
• 100g cashew nuts
• 100g blanched almonds (for filling and garnish)</v>
      </c>
      <c r="T10" s="15" t="str">
        <f ca="1">IFERROR(__xludf.DUMMYFUNCTION("GOOGLETRANSLATE(F10, ""ar"", ""en"")"),"The same principle applies to preparing kibbeh: soak the bulgur with the onion, spices, and bouillon cube. Grind the bulgur in a meat grinder, first without the meat and then with it, ensuring it's soft and easy to flatten. Divide the kibbeh mixture in ha"&amp;"lf so you don't have to cover it after spreading the filling.
Grease the bottom and sides of a 45cm round baking dish with a light layer of ghee. Take a handful of bulgur and shape it into a thin disc. Place it on the dish and press it down evenly to ens"&amp;"ure a uniform thickness. Repeat this process until the entire dish is covered.
Spread the filling evenly over the first layer and distribute the nuts as needed to cover the entire kibbeh. Then, take the second half of the bulgur mixture and use it to cov"&amp;"er the meat layer. As you place one disc next to another, join them together, keeping your hands moist with water to help you spread the kibbeh evenly. Continue until you've used all of the second half of the kibbeh mixture. Cut the surface of the kibbeh "&amp;"in the dish into equal diamond shapes, creating a beautiful star shape in the center. Garnish each diamond with an almond.
Melt the remaining ghee and pour it hot over the kibbeh. Gently swirl the tray to distribute the ghee evenly. Place the tray on the"&amp;" lowest rack of the oven and bake at your highest temperature setting (top and bottom heat) for 45 minutes. If your oven has separate heating elements, use the bottom element first and bake for 30 minutes, or until the edges of the tray are lightly browne"&amp;"d. Then, turn on the top element for 15 minutes, or until the kibbeh is golden brown and the garnished almonds are toasted and golden.
(Note: The text also mentions ""Broth"" which appears to be a mistake and should be omitted.)")</f>
        <v>The same principle applies to preparing kibbeh: soak the bulgur with the onion, spices, and bouillon cube. Grind the bulgur in a meat grinder, first without the meat and then with it, ensuring it's soft and easy to flatten. Divide the kibbeh mixture in half so you don't have to cover it after spreading the filling.
Grease the bottom and sides of a 45cm round baking dish with a light layer of ghee. Take a handful of bulgur and shape it into a thin disc. Place it on the dish and press it down evenly to ensure a uniform thickness. Repeat this process until the entire dish is covered.
Spread the filling evenly over the first layer and distribute the nuts as needed to cover the entire kibbeh. Then, take the second half of the bulgur mixture and use it to cover the meat layer. As you place one disc next to another, join them together, keeping your hands moist with water to help you spread the kibbeh evenly. Continue until you've used all of the second half of the kibbeh mixture. Cut the surface of the kibbeh in the dish into equal diamond shapes, creating a beautiful star shape in the center. Garnish each diamond with an almond.
Melt the remaining ghee and pour it hot over the kibbeh. Gently swirl the tray to distribute the ghee evenly. Place the tray on the lowest rack of the oven and bake at your highest temperature setting (top and bottom heat) for 45 minutes. If your oven has separate heating elements, use the bottom element first and bake for 30 minutes, or until the edges of the tray are lightly browned. Then, turn on the top element for 15 minutes, or until the kibbeh is golden brown and the garnished almonds are toasted and golden.
(Note: The text also mentions "Broth" which appears to be a mistake and should be omitted.)</v>
      </c>
      <c r="U10" s="15" t="str">
        <f ca="1">IFERROR(__xludf.DUMMYFUNCTION("GOOGLETRANSLATE(G10, ""ar"", ""en"")"),"6 people")</f>
        <v>6 people</v>
      </c>
      <c r="V10" s="15" t="str">
        <f ca="1">IFERROR(__xludf.DUMMYFUNCTION("GOOGLETRANSLATE(H10, ""ar"", ""en"")"),"It doesn't need any decoration; it's beautiful in itself if you leave it in the same star-shaped tray.
If you cut it into large triangles and want to decorate them, you can do so by placing lettuce under each triangle and tomato and cucumber slices betwe"&amp;"en each triangle.")</f>
        <v>It doesn't need any decoration; it's beautiful in itself if you leave it in the same star-shaped tray.
If you cut it into large triangles and want to decorate them, you can do so by placing lettuce under each triangle and tomato and cucumber slices between each triangle.</v>
      </c>
      <c r="W10" s="15" t="str">
        <f ca="1">IFERROR(__xludf.DUMMYFUNCTION("GOOGLETRANSLATE(I10, ""ar"", ""en"")"),"The kibbeh dough in the tray should be very soft, like bread dough. You can spread it easily in the tray. If you don't make it soft, the kibbeh will be dry after baking and will not be as delicious as the well-known Aleppo-style Chinese kibbeh.")</f>
        <v>The kibbeh dough in the tray should be very soft, like bread dough. You can spread it easily in the tray. If you don't make it soft, the kibbeh will be dry after baking and will not be as delicious as the well-known Aleppo-style Chinese kibbeh.</v>
      </c>
      <c r="X10" s="15" t="str">
        <f ca="1">IFERROR(__xludf.DUMMYFUNCTION("GOOGLETRANSLATE(J10, ""ar"", ""en"")"),"images/Kebbe_Seneyeh.jpg")</f>
        <v>images/Kebbe_Seneyeh.jpg</v>
      </c>
      <c r="Y10" s="15" t="str">
        <f ca="1">IFERROR(__xludf.DUMMYFUNCTION("GOOGLETRANSLATE(K10, ""ar"", ""en"")"),"#VALUE!")</f>
        <v>#VALUE!</v>
      </c>
      <c r="Z10" s="15" t="str">
        <f ca="1">IFERROR(__xludf.DUMMYFUNCTION("GOOGLETRANSLATE(L10, ""ar"", ""en"")"),"#VALUE!")</f>
        <v>#VALUE!</v>
      </c>
      <c r="AA10" s="15" t="str">
        <f ca="1">IFERROR(__xludf.DUMMYFUNCTION("GOOGLETRANSLATE(M10, ""ar"", ""en"")"),"#VALUE!")</f>
        <v>#VALUE!</v>
      </c>
      <c r="AB10" s="15" t="str">
        <f ca="1">IFERROR(__xludf.DUMMYFUNCTION("GOOGLETRANSLATE(N10, ""ar"", ""en"")"),"#VALUE!")</f>
        <v>#VALUE!</v>
      </c>
      <c r="AC10" s="16" t="str">
        <f t="shared" si="1"/>
        <v>9</v>
      </c>
      <c r="AD10" s="17" t="str">
        <f ca="1">IFERROR(__xludf.DUMMYFUNCTION("GOOGLETRANSLATE(P10, ""en"", ""sv"")"),"Aleppo kibbeh")</f>
        <v>Aleppo kibbeh</v>
      </c>
      <c r="AE10" s="17" t="str">
        <f ca="1">IFERROR(__xludf.DUMMYFUNCTION("GOOGLETRANSLATE(Q10, ""en"", ""sv"")"),"Kibbeh i en bricka")</f>
        <v>Kibbeh i en bricka</v>
      </c>
      <c r="AF10" s="17" t="str">
        <f ca="1">IFERROR(__xludf.DUMMYFUNCTION("GOOGLETRANSLATE(R10, ""en"", ""sv"")"),"En timme")</f>
        <v>En timme</v>
      </c>
      <c r="AG10" s="17" t="str">
        <f ca="1">IFERROR(__xludf.DUMMYFUNCTION("GOOGLETRANSLATE(S10, ""en"", ""sv"")"),"• 600 g bulgurvete
• 400 g magert kalvkött
• 150 g mjöl
• 3 medelstora lökar
• ½ tsk kryddblandning
• ½ tsk svartpeppar
• ¼ tsk malen kanel
• 1 msk salt
• 1 tsk malen ingefära
• 5 msk ghee
Fyllning:
• 600 g köttfärs
• 2 lökar (400 g)
• 100 g pinjenötter"&amp;"
• 100 g cashewnötter
• 100 g skållda mandlar (till fyllning och garnering)")</f>
        <v>• 600 g bulgurvete
• 400 g magert kalvkött
• 150 g mjöl
• 3 medelstora lökar
• ½ tsk kryddblandning
• ½ tsk svartpeppar
• ¼ tsk malen kanel
• 1 msk salt
• 1 tsk malen ingefära
• 5 msk ghee
Fyllning:
• 600 g köttfärs
• 2 lökar (400 g)
• 100 g pinjenötter
• 100 g cashewnötter
• 100 g skållda mandlar (till fyllning och garnering)</v>
      </c>
      <c r="AH10" s="17" t="str">
        <f ca="1">IFERROR(__xludf.DUMMYFUNCTION("GOOGLETRANSLATE(T10, ""en"", ""sv"")"),"Samma princip gäller för att tillaga kibbeh: blötlägg bulgurn med lök, kryddor och buljongtärning. Mal bulgurn i en köttkvarn, först utan köttet och sedan med den, se till att den är mjuk och lätt att platta till. Dela kibbeh-blandningen på mitten så att "&amp;"du inte behöver täcka den efter att du har bredt ut fyllningen.
Smörj botten och sidorna av en rund ugnsform på 45 cm med ett tunt lager ghee. Ta en näve bulgur och forma den till en tunn skiva. Lägg den på formen och tryck ner den jämnt för att säkerstä"&amp;"lla en jämn tjocklek. Upprepa denna process tills hela formen är täckt.
Bred ut fyllningen jämnt över det första lagret och fördela nötterna efter behov för att täcka hela kibbeh. Ta sedan den andra halvan av bulgurblandningen och använd den för att täck"&amp;"a köttlagret. När du lägger en skiva bredvid en annan, sammanfoga dem och håll händerna fuktiga med vatten för att hjälpa dig att fördela kibbeh jämnt. Fortsätt tills du har använt hela den andra halvan av kibbeh-blandningen. Skär ytan av kibbehn i formen"&amp;" i lika stora diamanter och skapa en vacker stjärnform i mitten. Garnera varje diamant med en mandel.
Smält resterande ghee och häll den varma över kibbehn. Snurra försiktigt formen för att fördela gheen jämnt. Placera formen på ugnens nedersta galler oc"&amp;"h grädda på högsta temperaturinställning (över- och undervärme) i 45 minuter. Om din ugn har separata värmeelement, använd det nedersta elementet först och grädda i 30 minuter, eller tills formens kanter är lätt brynta. Slå sedan på det övre elementet i 1"&amp;"5 minuter, eller tills kibbehn är gyllenbrun och de garnerade mandlarna är rostade och gyllenbruna.
(Obs: Texten nämner också ""buljong"" vilket verkar vara ett misstag och bör utelämnas.)")</f>
        <v>Samma princip gäller för att tillaga kibbeh: blötlägg bulgurn med lök, kryddor och buljongtärning. Mal bulgurn i en köttkvarn, först utan köttet och sedan med den, se till att den är mjuk och lätt att platta till. Dela kibbeh-blandningen på mitten så att du inte behöver täcka den efter att du har bredt ut fyllningen.
Smörj botten och sidorna av en rund ugnsform på 45 cm med ett tunt lager ghee. Ta en näve bulgur och forma den till en tunn skiva. Lägg den på formen och tryck ner den jämnt för att säkerställa en jämn tjocklek. Upprepa denna process tills hela formen är täckt.
Bred ut fyllningen jämnt över det första lagret och fördela nötterna efter behov för att täcka hela kibbeh. Ta sedan den andra halvan av bulgurblandningen och använd den för att täcka köttlagret. När du lägger en skiva bredvid en annan, sammanfoga dem och håll händerna fuktiga med vatten för att hjälpa dig att fördela kibbeh jämnt. Fortsätt tills du har använt hela den andra halvan av kibbeh-blandningen. Skär ytan av kibbehn i formen i lika stora diamanter och skapa en vacker stjärnform i mitten. Garnera varje diamant med en mandel.
Smält resterande ghee och häll den varma över kibbehn. Snurra försiktigt formen för att fördela gheen jämnt. Placera formen på ugnens nedersta galler och grädda på högsta temperaturinställning (över- och undervärme) i 45 minuter. Om din ugn har separata värmeelement, använd det nedersta elementet först och grädda i 30 minuter, eller tills formens kanter är lätt brynta. Slå sedan på det övre elementet i 15 minuter, eller tills kibbehn är gyllenbrun och de garnerade mandlarna är rostade och gyllenbruna.
(Obs: Texten nämner också "buljong" vilket verkar vara ett misstag och bör utelämnas.)</v>
      </c>
      <c r="AI10" s="17" t="str">
        <f ca="1">IFERROR(__xludf.DUMMYFUNCTION("GOOGLETRANSLATE(U10, ""en"", ""sv"")"),"6 personer")</f>
        <v>6 personer</v>
      </c>
      <c r="AJ10" s="17" t="str">
        <f ca="1">IFERROR(__xludf.DUMMYFUNCTION("GOOGLETRANSLATE(V10, ""en"", ""sv"")"),"Den behöver ingen dekoration; den är vacker i sig själv om du lägger den i samma stjärnformade form.
Om du skär den i stora trianglar och vill dekorera dem kan du göra det genom att lägga sallad under varje triangel och tomat- och gurkskivor mellan varje"&amp;" triangel.")</f>
        <v>Den behöver ingen dekoration; den är vacker i sig själv om du lägger den i samma stjärnformade form.
Om du skär den i stora trianglar och vill dekorera dem kan du göra det genom att lägga sallad under varje triangel och tomat- och gurkskivor mellan varje triangel.</v>
      </c>
      <c r="AK10" s="17" t="str">
        <f ca="1">IFERROR(__xludf.DUMMYFUNCTION("GOOGLETRANSLATE(W10, ""en"", ""sv"")"),"Kibbehdegen i formen ska vara väldigt mjuk, som bröddeg. Du kan enkelt breda ut den i formen. Om du inte gör den mjuk kommer kibbeh att vara torr efter gräddning och inte lika god som den välkända kinesiska kibbeh i Aleppo-stil.")</f>
        <v>Kibbehdegen i formen ska vara väldigt mjuk, som bröddeg. Du kan enkelt breda ut den i formen. Om du inte gör den mjuk kommer kibbeh att vara torr efter gräddning och inte lika god som den välkända kinesiska kibbeh i Aleppo-stil.</v>
      </c>
      <c r="AL10" s="17" t="str">
        <f ca="1">IFERROR(__xludf.DUMMYFUNCTION("GOOGLETRANSLATE(X10, ""en"", ""sv"")"),"bilder/Kebbe_Seneyeh.jpg")</f>
        <v>bilder/Kebbe_Seneyeh.jpg</v>
      </c>
      <c r="AM10" s="17" t="str">
        <f ca="1">IFERROR(__xludf.DUMMYFUNCTION("GOOGLETRANSLATE(Y10, ""en"", ""sv"")"),"#VALUE!")</f>
        <v>#VALUE!</v>
      </c>
      <c r="AN10" s="17" t="str">
        <f ca="1">IFERROR(__xludf.DUMMYFUNCTION("GOOGLETRANSLATE(Z10, ""en"", ""sv"")"),"#VALUE!")</f>
        <v>#VALUE!</v>
      </c>
      <c r="AO10" s="17" t="str">
        <f ca="1">IFERROR(__xludf.DUMMYFUNCTION("GOOGLETRANSLATE(AA10, ""en"", ""sv"")"),"#VALUE!")</f>
        <v>#VALUE!</v>
      </c>
      <c r="AP10" s="17" t="str">
        <f ca="1">IFERROR(__xludf.DUMMYFUNCTION("GOOGLETRANSLATE(AB10, ""en"", ""sv"")"),"#VALUE!")</f>
        <v>#VALUE!</v>
      </c>
      <c r="AQ10" s="17"/>
    </row>
    <row r="11" spans="1:43" ht="14.25" customHeight="1" x14ac:dyDescent="0.3">
      <c r="A11" s="8" t="s">
        <v>101</v>
      </c>
      <c r="B11" s="9" t="s">
        <v>29</v>
      </c>
      <c r="C11" s="10" t="s">
        <v>102</v>
      </c>
      <c r="D11" s="10" t="s">
        <v>103</v>
      </c>
      <c r="E11" s="10" t="s">
        <v>104</v>
      </c>
      <c r="F11" s="10" t="s">
        <v>105</v>
      </c>
      <c r="G11" s="10" t="s">
        <v>106</v>
      </c>
      <c r="H11" s="10" t="s">
        <v>107</v>
      </c>
      <c r="I11" s="10" t="s">
        <v>108</v>
      </c>
      <c r="J11" s="20" t="s">
        <v>109</v>
      </c>
      <c r="K11" s="12"/>
      <c r="L11" s="13"/>
      <c r="M11" s="13"/>
      <c r="N11" s="13"/>
      <c r="O11" s="14" t="str">
        <f t="shared" si="0"/>
        <v>10</v>
      </c>
      <c r="P11" s="15" t="str">
        <f ca="1">IFERROR(__xludf.DUMMYFUNCTION("GOOGLETRANSLATE(B11, ""ar"", ""en"")"),"Aleppo kibbeh")</f>
        <v>Aleppo kibbeh</v>
      </c>
      <c r="Q11" s="15" t="str">
        <f ca="1">IFERROR(__xludf.DUMMYFUNCTION("GOOGLETRANSLATE(C11, ""ar"", ""en"")"),"raw kibbeh")</f>
        <v>raw kibbeh</v>
      </c>
      <c r="R11" s="15" t="str">
        <f ca="1">IFERROR(__xludf.DUMMYFUNCTION("GOOGLETRANSLATE(D11, ""ar"", ""en"")"),"30 minutes")</f>
        <v>30 minutes</v>
      </c>
      <c r="S11" s="15" t="str">
        <f ca="1">IFERROR(__xludf.DUMMYFUNCTION("GOOGLETRANSLATE(E11, ""ar"", ""en"")"),"• 100g fine white bulgur wheat, about 3/4 cup water
• 500g lean lamb
• 1/2 tbsp salt
• 2 tbsp red pepper paste
• 2 tomatoes
• 1 fresh red bell pepper
• 1 medium onion
• 1 tbsp tomato paste
• Olive oil
• Walnuts for garnish
• 1/2 tsp cumin
• 1/2 tsp black"&amp;" pepper
• Finely chopped parsley for garnish")</f>
        <v>• 100g fine white bulgur wheat, about 3/4 cup water
• 500g lean lamb
• 1/2 tbsp salt
• 2 tbsp red pepper paste
• 2 tomatoes
• 1 fresh red bell pepper
• 1 medium onion
• 1 tbsp tomato paste
• Olive oil
• Walnuts for garnish
• 1/2 tsp cumin
• 1/2 tsp black pepper
• Finely chopped parsley for garnish</v>
      </c>
      <c r="T11" s="15" t="str">
        <f ca="1">IFERROR(__xludf.DUMMYFUNCTION("GOOGLETRANSLATE(F11, ""ar"", ""en"")"),"Mix the bulgur with all the vegetables—onion, bell pepper, and all the other ingredients—and knead them together lightly. Let them sit for half an hour before starting to prepare. This way, the bulgur will absorb the juices from the vegetables, not just w"&amp;"ater, resulting in a richer flavor.
Mix all the ingredients in a plastic bowl and start grinding the bulgur in a meat grinder. Grind the bulgur on the first run without the meat, and then grind all the other ingredients on the first run. On the second ru"&amp;"n, mix the meat with the bulgur and knead it well. Then grind everything again in the meat grinder until the color is uniform, as shown in the picture. If the color is still uneven, grind the mixture a third time until it becomes creamy.
Shape the raw ki"&amp;"bbeh as you like, into a fish shape or with a spoon to create spaces for the oil to penetrate. Then drizzle olive oil over the entire surface and garnish with any vegetables you have on hand: chopped parsley, radish, fresh red bell pepper, green bell pepp"&amp;"er, and mint leaves.
After garnishing, sprinkle walnut pieces on top. If you have pine nuts, you can substitute raw pine nuts for the bulgur.
Pour olive oil over the entire surface of the dish so it penetrates the spaces you created.
")</f>
        <v xml:space="preserve">Mix the bulgur with all the vegetables—onion, bell pepper, and all the other ingredients—and knead them together lightly. Let them sit for half an hour before starting to prepare. This way, the bulgur will absorb the juices from the vegetables, not just water, resulting in a richer flavor.
Mix all the ingredients in a plastic bowl and start grinding the bulgur in a meat grinder. Grind the bulgur on the first run without the meat, and then grind all the other ingredients on the first run. On the second run, mix the meat with the bulgur and knead it well. Then grind everything again in the meat grinder until the color is uniform, as shown in the picture. If the color is still uneven, grind the mixture a third time until it becomes creamy.
Shape the raw kibbeh as you like, into a fish shape or with a spoon to create spaces for the oil to penetrate. Then drizzle olive oil over the entire surface and garnish with any vegetables you have on hand: chopped parsley, radish, fresh red bell pepper, green bell pepper, and mint leaves.
After garnishing, sprinkle walnut pieces on top. If you have pine nuts, you can substitute raw pine nuts for the bulgur.
Pour olive oil over the entire surface of the dish so it penetrates the spaces you created.
</v>
      </c>
      <c r="U11" s="15" t="str">
        <f ca="1">IFERROR(__xludf.DUMMYFUNCTION("GOOGLETRANSLATE(G11, ""ar"", ""en"")"),"10 people as appetizers")</f>
        <v>10 people as appetizers</v>
      </c>
      <c r="V11" s="15" t="str">
        <f ca="1">IFERROR(__xludf.DUMMYFUNCTION("GOOGLETRANSLATE(H11, ""ar"", ""en"")"),"Raw kibbeh is always garnished with chopped parsley, walnuts, and olive oil.")</f>
        <v>Raw kibbeh is always garnished with chopped parsley, walnuts, and olive oil.</v>
      </c>
      <c r="W11" s="15" t="str">
        <f ca="1">IFERROR(__xludf.DUMMYFUNCTION("GOOGLETRANSLATE(I11, ""ar"", ""en"")"),"We recommend lamb because veal should not be eaten raw due to the presence of tapeworms in its muscles, so it must be cooked thoroughly.")</f>
        <v>We recommend lamb because veal should not be eaten raw due to the presence of tapeworms in its muscles, so it must be cooked thoroughly.</v>
      </c>
      <c r="X11" s="15" t="str">
        <f ca="1">IFERROR(__xludf.DUMMYFUNCTION("GOOGLETRANSLATE(J11, ""ar"", ""en"")"),"images/Kebbe_Raw1.jpeg")</f>
        <v>images/Kebbe_Raw1.jpeg</v>
      </c>
      <c r="Y11" s="15" t="str">
        <f ca="1">IFERROR(__xludf.DUMMYFUNCTION("GOOGLETRANSLATE(K11, ""ar"", ""en"")"),"#VALUE!")</f>
        <v>#VALUE!</v>
      </c>
      <c r="Z11" s="15" t="str">
        <f ca="1">IFERROR(__xludf.DUMMYFUNCTION("GOOGLETRANSLATE(L11, ""ar"", ""en"")"),"#VALUE!")</f>
        <v>#VALUE!</v>
      </c>
      <c r="AA11" s="15" t="str">
        <f ca="1">IFERROR(__xludf.DUMMYFUNCTION("GOOGLETRANSLATE(M11, ""ar"", ""en"")"),"#VALUE!")</f>
        <v>#VALUE!</v>
      </c>
      <c r="AB11" s="15" t="str">
        <f ca="1">IFERROR(__xludf.DUMMYFUNCTION("GOOGLETRANSLATE(N11, ""ar"", ""en"")"),"#VALUE!")</f>
        <v>#VALUE!</v>
      </c>
      <c r="AC11" s="16" t="str">
        <f t="shared" si="1"/>
        <v>10</v>
      </c>
      <c r="AD11" s="17" t="str">
        <f ca="1">IFERROR(__xludf.DUMMYFUNCTION("GOOGLETRANSLATE(P11, ""en"", ""sv"")"),"Aleppo kibbeh")</f>
        <v>Aleppo kibbeh</v>
      </c>
      <c r="AE11" s="17" t="str">
        <f ca="1">IFERROR(__xludf.DUMMYFUNCTION("GOOGLETRANSLATE(Q11, ""en"", ""sv"")"),"rå kibbeh")</f>
        <v>rå kibbeh</v>
      </c>
      <c r="AF11" s="17" t="str">
        <f ca="1">IFERROR(__xludf.DUMMYFUNCTION("GOOGLETRANSLATE(R11, ""en"", ""sv"")"),"30 minuter")</f>
        <v>30 minuter</v>
      </c>
      <c r="AG11" s="17" t="str">
        <f ca="1">IFERROR(__xludf.DUMMYFUNCTION("GOOGLETRANSLATE(S11, ""en"", ""sv"")"),"• 100 g fint vitt bulgurvete, cirka 1,5 dl vatten
• 500 g magert lammkött
• 1,5 msk salt
• 2 msk röd paprikapuré
• 2 tomater
• 1 färsk röd paprika
• 1 medelstor lök
• 1 msk tomatpuré
• Olivolja
• Valnötter till garnering
• 1,5 tsk spiskummin
• 1,5 tsk sv"&amp;"artpeppar
• Finhackad persilja till garnering")</f>
        <v>• 100 g fint vitt bulgurvete, cirka 1,5 dl vatten
• 500 g magert lammkött
• 1,5 msk salt
• 2 msk röd paprikapuré
• 2 tomater
• 1 färsk röd paprika
• 1 medelstor lök
• 1 msk tomatpuré
• Olivolja
• Valnötter till garnering
• 1,5 tsk spiskummin
• 1,5 tsk svartpeppar
• Finhackad persilja till garnering</v>
      </c>
      <c r="AH11" s="17" t="str">
        <f ca="1">IFERROR(__xludf.DUMMYFUNCTION("GOOGLETRANSLATE(T11, ""en"", ""sv"")"),"Blanda bulgurn med alla grönsaker – lök, paprika och alla andra ingredienser – och knåda dem lätt. Låt dem stå i en halvtimme innan du börjar tillaga. På så sätt absorberar bulgurn saften från grönsakerna, inte bara vatten, vilket resulterar i en fylligar"&amp;"e smak.
Blanda alla ingredienser i en plastskål och börja mala bulgurn i en köttkvarn. Mal bulgurn första gången utan köttet och mal sedan alla andra ingredienser första gången. Andra gången, blanda köttet med bulgurn och knåda det väl. Mal sedan allt ig"&amp;"en i köttkvarnen tills färgen är jämn, som visas på bilden. Om färgen fortfarande är ojämn, mal blandningen en tredje gång tills den blir krämig.
Forma den råa kibbehn som du vill, till en fiskform eller med en sked för att skapa utrymmen för oljan att t"&amp;"ränga in. Ringla sedan olivolja över hela ytan och garnera med de grönsaker du har till hands: hackad persilja, rädisa, färsk röd paprika, grön paprika och myntablad.
Strö valnötsbitar över efter garnering. Om du har pinjenötter kan du ersätta bulgurn me"&amp;"d råa pinjenötter.
Häll olivolja över hela rättens yta så att den tränger in i håligheterna du skapat.
")</f>
        <v xml:space="preserve">Blanda bulgurn med alla grönsaker – lök, paprika och alla andra ingredienser – och knåda dem lätt. Låt dem stå i en halvtimme innan du börjar tillaga. På så sätt absorberar bulgurn saften från grönsakerna, inte bara vatten, vilket resulterar i en fylligare smak.
Blanda alla ingredienser i en plastskål och börja mala bulgurn i en köttkvarn. Mal bulgurn första gången utan köttet och mal sedan alla andra ingredienser första gången. Andra gången, blanda köttet med bulgurn och knåda det väl. Mal sedan allt igen i köttkvarnen tills färgen är jämn, som visas på bilden. Om färgen fortfarande är ojämn, mal blandningen en tredje gång tills den blir krämig.
Forma den råa kibbehn som du vill, till en fiskform eller med en sked för att skapa utrymmen för oljan att tränga in. Ringla sedan olivolja över hela ytan och garnera med de grönsaker du har till hands: hackad persilja, rädisa, färsk röd paprika, grön paprika och myntablad.
Strö valnötsbitar över efter garnering. Om du har pinjenötter kan du ersätta bulgurn med råa pinjenötter.
Häll olivolja över hela rättens yta så att den tränger in i håligheterna du skapat.
</v>
      </c>
      <c r="AI11" s="17" t="str">
        <f ca="1">IFERROR(__xludf.DUMMYFUNCTION("GOOGLETRANSLATE(U11, ""en"", ""sv"")"),"10 personer som förrätter")</f>
        <v>10 personer som förrätter</v>
      </c>
      <c r="AJ11" s="17" t="str">
        <f ca="1">IFERROR(__xludf.DUMMYFUNCTION("GOOGLETRANSLATE(V11, ""en"", ""sv"")"),"Rå kibbeh garneras alltid med hackad persilja, valnötter och olivolja.")</f>
        <v>Rå kibbeh garneras alltid med hackad persilja, valnötter och olivolja.</v>
      </c>
      <c r="AK11" s="17" t="str">
        <f ca="1">IFERROR(__xludf.DUMMYFUNCTION("GOOGLETRANSLATE(W11, ""en"", ""sv"")"),"Vi rekommenderar lamm eftersom kalvkött inte bör ätas rått på grund av förekomsten av bandmaskar i musklerna, så det måste genomkokas.")</f>
        <v>Vi rekommenderar lamm eftersom kalvkött inte bör ätas rått på grund av förekomsten av bandmaskar i musklerna, så det måste genomkokas.</v>
      </c>
      <c r="AL11" s="17" t="str">
        <f ca="1">IFERROR(__xludf.DUMMYFUNCTION("GOOGLETRANSLATE(X11, ""en"", ""sv"")"),"bilder/Kebbe_Raw1.jpeg")</f>
        <v>bilder/Kebbe_Raw1.jpeg</v>
      </c>
      <c r="AM11" s="17" t="str">
        <f ca="1">IFERROR(__xludf.DUMMYFUNCTION("GOOGLETRANSLATE(Y11, ""en"", ""sv"")"),"#VALUE!")</f>
        <v>#VALUE!</v>
      </c>
      <c r="AN11" s="17" t="str">
        <f ca="1">IFERROR(__xludf.DUMMYFUNCTION("GOOGLETRANSLATE(Z11, ""en"", ""sv"")"),"#VALUE!")</f>
        <v>#VALUE!</v>
      </c>
      <c r="AO11" s="17" t="str">
        <f ca="1">IFERROR(__xludf.DUMMYFUNCTION("GOOGLETRANSLATE(AA11, ""en"", ""sv"")"),"#VALUE!")</f>
        <v>#VALUE!</v>
      </c>
      <c r="AP11" s="17" t="str">
        <f ca="1">IFERROR(__xludf.DUMMYFUNCTION("GOOGLETRANSLATE(AB11, ""en"", ""sv"")"),"#VALUE!")</f>
        <v>#VALUE!</v>
      </c>
      <c r="AQ11" s="17"/>
    </row>
    <row r="12" spans="1:43" ht="14.25" customHeight="1" x14ac:dyDescent="0.3">
      <c r="A12" s="8" t="s">
        <v>110</v>
      </c>
      <c r="B12" s="9" t="s">
        <v>111</v>
      </c>
      <c r="C12" s="10" t="s">
        <v>112</v>
      </c>
      <c r="D12" s="10" t="s">
        <v>113</v>
      </c>
      <c r="E12" s="10" t="s">
        <v>114</v>
      </c>
      <c r="F12" s="10" t="s">
        <v>115</v>
      </c>
      <c r="G12" s="19" t="s">
        <v>80</v>
      </c>
      <c r="H12" s="19" t="s">
        <v>116</v>
      </c>
      <c r="I12" s="10" t="s">
        <v>117</v>
      </c>
      <c r="J12" s="11" t="s">
        <v>118</v>
      </c>
      <c r="K12" s="12"/>
      <c r="L12" s="13"/>
      <c r="M12" s="13"/>
      <c r="N12" s="13"/>
      <c r="O12" s="14" t="str">
        <f t="shared" si="0"/>
        <v>11</v>
      </c>
      <c r="P12" s="15" t="str">
        <f ca="1">IFERROR(__xludf.DUMMYFUNCTION("GOOGLETRANSLATE(B12, ""ar"", ""en"")"),"vegetables")</f>
        <v>vegetables</v>
      </c>
      <c r="Q12" s="15" t="str">
        <f ca="1">IFERROR(__xludf.DUMMYFUNCTION("GOOGLETRANSLATE(C12, ""ar"", ""en"")"),"Green beans with diced meat and tomatoes
(The beans with minced meat are prepared in the same quantities, except the minced meat is half a kilo, and it takes less cooking time.)")</f>
        <v>Green beans with diced meat and tomatoes
(The beans with minced meat are prepared in the same quantities, except the minced meat is half a kilo, and it takes less cooking time.)</v>
      </c>
      <c r="R12" s="15" t="str">
        <f ca="1">IFERROR(__xludf.DUMMYFUNCTION("GOOGLETRANSLATE(D12, ""ar"", ""en"")"),"an hour and a half")</f>
        <v>an hour and a half</v>
      </c>
      <c r="S12" s="15" t="str">
        <f ca="1">IFERROR(__xludf.DUMMYFUNCTION("GOOGLETRANSLATE(E12, ""ar"", ""en"")"),"• 1 kg fresh or frozen green beans
• 1 kg lamb on the bone, cut into small pieces, or 500 g veal, cut into cubes
• 2 tablespoons minced garlic
• 1 tablespoon dried coriander
• 1/2 tablespoon salt
• 4 tablespoons tomato paste
• 2 blended tomatoes
• 1 teasp"&amp;"oon black pepper
• 2 tablespoons ghee or vegetable oil
• 1 tablespoon vegetable seasoning powder (will give it a distinctive and wonderful flavor)")</f>
        <v>• 1 kg fresh or frozen green beans
• 1 kg lamb on the bone, cut into small pieces, or 500 g veal, cut into cubes
• 2 tablespoons minced garlic
• 1 tablespoon dried coriander
• 1/2 tablespoon salt
• 4 tablespoons tomato paste
• 2 blended tomatoes
• 1 teaspoon black pepper
• 2 tablespoons ghee or vegetable oil
• 1 tablespoon vegetable seasoning powder (will give it a distinctive and wonderful flavor)</v>
      </c>
      <c r="T12" s="15" t="str">
        <f ca="1">IFERROR(__xludf.DUMMYFUNCTION("GOOGLETRANSLATE(F12, ""ar"", ""en"")"),"Place the garlic, coriander, and ghee in a pot and fry the garlic until golden brown. Add the dried coriander and cook for 5 minutes. Then add the meat and cook over high heat, stirring it with the garlic and coriander. Cover the pot and cook for 5 minute"&amp;"s to allow the meat to brown and retain its juices. Do not add cold water to the meat, as this will impart an unpleasant odor; boiling water will eliminate any such taste.
After frying the meat, add the tomato paste and crushed tomatoes, stir, and cover "&amp;"the pot for another 5 minutes. Meanwhile, boil 1.5 liters of water in a kettle and add it to the meat.
Let the meat cook until fully tender. Add the black pepper, beans, and salt, and continue cooking until the meat is fully cooked.")</f>
        <v>Place the garlic, coriander, and ghee in a pot and fry the garlic until golden brown. Add the dried coriander and cook for 5 minutes. Then add the meat and cook over high heat, stirring it with the garlic and coriander. Cover the pot and cook for 5 minutes to allow the meat to brown and retain its juices. Do not add cold water to the meat, as this will impart an unpleasant odor; boiling water will eliminate any such taste.
After frying the meat, add the tomato paste and crushed tomatoes, stir, and cover the pot for another 5 minutes. Meanwhile, boil 1.5 liters of water in a kettle and add it to the meat.
Let the meat cook until fully tender. Add the black pepper, beans, and salt, and continue cooking until the meat is fully cooked.</v>
      </c>
      <c r="U12" s="15" t="str">
        <f ca="1">IFERROR(__xludf.DUMMYFUNCTION("GOOGLETRANSLATE(G12, ""ar"", ""en"")"),"8 people")</f>
        <v>8 people</v>
      </c>
      <c r="V12" s="15" t="str">
        <f ca="1">IFERROR(__xludf.DUMMYFUNCTION("GOOGLETRANSLATE(H12, ""ar"", ""en"")"),"Sprinkle black pepper on top, and that's enough.")</f>
        <v>Sprinkle black pepper on top, and that's enough.</v>
      </c>
      <c r="W12" s="15" t="str">
        <f ca="1">IFERROR(__xludf.DUMMYFUNCTION("GOOGLETRANSLATE(I12, ""ar"", ""en"")"),"I do not recommend frying beans because their nutrients and the water inside them dry out and we lose a lot of the delicious taste; the method of gradually adding the ingredients gives a distinctive flavor.")</f>
        <v>I do not recommend frying beans because their nutrients and the water inside them dry out and we lose a lot of the delicious taste; the method of gradually adding the ingredients gives a distinctive flavor.</v>
      </c>
      <c r="X12" s="15" t="str">
        <f ca="1">IFERROR(__xludf.DUMMYFUNCTION("GOOGLETRANSLATE(J12, ""ar"", ""en"")"),"images/Fasoulia_Khadra.jpgimage/")</f>
        <v>images/Fasoulia_Khadra.jpgimage/</v>
      </c>
      <c r="Y12" s="15" t="str">
        <f ca="1">IFERROR(__xludf.DUMMYFUNCTION("GOOGLETRANSLATE(K12, ""ar"", ""en"")"),"#VALUE!")</f>
        <v>#VALUE!</v>
      </c>
      <c r="Z12" s="15" t="str">
        <f ca="1">IFERROR(__xludf.DUMMYFUNCTION("GOOGLETRANSLATE(L12, ""ar"", ""en"")"),"#VALUE!")</f>
        <v>#VALUE!</v>
      </c>
      <c r="AA12" s="15" t="str">
        <f ca="1">IFERROR(__xludf.DUMMYFUNCTION("GOOGLETRANSLATE(M12, ""ar"", ""en"")"),"#VALUE!")</f>
        <v>#VALUE!</v>
      </c>
      <c r="AB12" s="15" t="str">
        <f ca="1">IFERROR(__xludf.DUMMYFUNCTION("GOOGLETRANSLATE(N12, ""ar"", ""en"")"),"#VALUE!")</f>
        <v>#VALUE!</v>
      </c>
      <c r="AC12" s="16" t="str">
        <f t="shared" si="1"/>
        <v>11</v>
      </c>
      <c r="AD12" s="17" t="str">
        <f ca="1">IFERROR(__xludf.DUMMYFUNCTION("GOOGLETRANSLATE(P12, ""en"", ""sv"")"),"grönsaker")</f>
        <v>grönsaker</v>
      </c>
      <c r="AE12" s="17" t="str">
        <f ca="1">IFERROR(__xludf.DUMMYFUNCTION("GOOGLETRANSLATE(Q12, ""en"", ""sv"")"),"Gröna bönor med tärnat kött och tomater
(Bönorna med köttfärs tillagas i samma mängder, förutom att köttfärsen är ett halvt kilo och det tar kortare tillagningstid.)")</f>
        <v>Gröna bönor med tärnat kött och tomater
(Bönorna med köttfärs tillagas i samma mängder, förutom att köttfärsen är ett halvt kilo och det tar kortare tillagningstid.)</v>
      </c>
      <c r="AF12" s="17" t="str">
        <f ca="1">IFERROR(__xludf.DUMMYFUNCTION("GOOGLETRANSLATE(R12, ""en"", ""sv"")"),"en och en halv timme")</f>
        <v>en och en halv timme</v>
      </c>
      <c r="AG12" s="17" t="str">
        <f ca="1">IFERROR(__xludf.DUMMYFUNCTION("GOOGLETRANSLATE(S12, ""en"", ""sv"")"),"• 1 kg färska eller frysta gröna bönor
• 1 kg lammkött med ben, skuret i små bitar, eller 500 g kalvkött, skuret i tärningar
• 2 msk hackad vitlök
• 1 msk torkad koriander
• 1/2 msk salt
• 4 msk tomatpuré
• 2 mixade tomater
• 1 tsk svartpeppar
• 2 msk ghe"&amp;"e eller vegetabilisk olja
• 1 msk vegetabiliskt kryddpulver (ger en distinkt och underbar smak)")</f>
        <v>• 1 kg färska eller frysta gröna bönor
• 1 kg lammkött med ben, skuret i små bitar, eller 500 g kalvkött, skuret i tärningar
• 2 msk hackad vitlök
• 1 msk torkad koriander
• 1/2 msk salt
• 4 msk tomatpuré
• 2 mixade tomater
• 1 tsk svartpeppar
• 2 msk ghee eller vegetabilisk olja
• 1 msk vegetabiliskt kryddpulver (ger en distinkt och underbar smak)</v>
      </c>
      <c r="AH12" s="17" t="str">
        <f ca="1">IFERROR(__xludf.DUMMYFUNCTION("GOOGLETRANSLATE(T12, ""en"", ""sv"")"),"Lägg vitlök, koriander och ghee i en kastrull och stek vitlöken tills den är gyllenbrun. Tillsätt den torkade koriandern och koka i 5 minuter. Tillsätt sedan köttet och koka på hög värme under omrörning med vitlök och koriander. Täck över kastrullen och k"&amp;"oka i 5 minuter så att köttet bryns och behåller sin saft. Tillsätt inte kallt vatten till köttet, eftersom det kommer att ge en obehaglig lukt; kokande vatten kommer att ta bort sådan smak.
Efter att ha stekt köttet, tillsätt tomatpuré och krossade toma"&amp;"ter, rör om och täck över kastrullen i ytterligare 5 minuter. Under tiden, koka 1,5 liter vatten i en vattenkokare och tillsätt det till köttet.
Låt köttet koka tills det är helt mört. Tillsätt svartpeppar, bönor och salt och fortsätt koka tills köttet ä"&amp;"r helt genomkokt.")</f>
        <v>Lägg vitlök, koriander och ghee i en kastrull och stek vitlöken tills den är gyllenbrun. Tillsätt den torkade koriandern och koka i 5 minuter. Tillsätt sedan köttet och koka på hög värme under omrörning med vitlök och koriander. Täck över kastrullen och koka i 5 minuter så att köttet bryns och behåller sin saft. Tillsätt inte kallt vatten till köttet, eftersom det kommer att ge en obehaglig lukt; kokande vatten kommer att ta bort sådan smak.
Efter att ha stekt köttet, tillsätt tomatpuré och krossade tomater, rör om och täck över kastrullen i ytterligare 5 minuter. Under tiden, koka 1,5 liter vatten i en vattenkokare och tillsätt det till köttet.
Låt köttet koka tills det är helt mört. Tillsätt svartpeppar, bönor och salt och fortsätt koka tills köttet är helt genomkokt.</v>
      </c>
      <c r="AI12" s="17" t="str">
        <f ca="1">IFERROR(__xludf.DUMMYFUNCTION("GOOGLETRANSLATE(U12, ""en"", ""sv"")"),"8 personer")</f>
        <v>8 personer</v>
      </c>
      <c r="AJ12" s="17" t="str">
        <f ca="1">IFERROR(__xludf.DUMMYFUNCTION("GOOGLETRANSLATE(V12, ""en"", ""sv"")"),"Strö svartpeppar över, och det räcker.")</f>
        <v>Strö svartpeppar över, och det räcker.</v>
      </c>
      <c r="AK12" s="17" t="str">
        <f ca="1">IFERROR(__xludf.DUMMYFUNCTION("GOOGLETRANSLATE(W12, ""en"", ""sv"")"),"Jag rekommenderar inte att steka bönor eftersom deras näringsämnen och vattnet inuti dem torkar ut och vi förlorar mycket av den goda smaken; metoden att gradvis tillsätta ingredienserna ger en distinkt smak.")</f>
        <v>Jag rekommenderar inte att steka bönor eftersom deras näringsämnen och vattnet inuti dem torkar ut och vi förlorar mycket av den goda smaken; metoden att gradvis tillsätta ingredienserna ger en distinkt smak.</v>
      </c>
      <c r="AL12" s="17" t="str">
        <f ca="1">IFERROR(__xludf.DUMMYFUNCTION("GOOGLETRANSLATE(X12, ""en"", ""sv"")"),"images/Fasoulia_Khadra.jpgimage/")</f>
        <v>images/Fasoulia_Khadra.jpgimage/</v>
      </c>
      <c r="AM12" s="17" t="str">
        <f ca="1">IFERROR(__xludf.DUMMYFUNCTION("GOOGLETRANSLATE(Y12, ""en"", ""sv"")"),"#VALUE!")</f>
        <v>#VALUE!</v>
      </c>
      <c r="AN12" s="17" t="str">
        <f ca="1">IFERROR(__xludf.DUMMYFUNCTION("GOOGLETRANSLATE(Z12, ""en"", ""sv"")"),"#VALUE!")</f>
        <v>#VALUE!</v>
      </c>
      <c r="AO12" s="17" t="str">
        <f ca="1">IFERROR(__xludf.DUMMYFUNCTION("GOOGLETRANSLATE(AA12, ""en"", ""sv"")"),"#VALUE!")</f>
        <v>#VALUE!</v>
      </c>
      <c r="AP12" s="17" t="str">
        <f ca="1">IFERROR(__xludf.DUMMYFUNCTION("GOOGLETRANSLATE(AB12, ""en"", ""sv"")"),"#VALUE!")</f>
        <v>#VALUE!</v>
      </c>
      <c r="AQ12" s="17"/>
    </row>
    <row r="13" spans="1:43" ht="14.25" customHeight="1" x14ac:dyDescent="0.3">
      <c r="A13" s="8" t="s">
        <v>119</v>
      </c>
      <c r="B13" s="9" t="s">
        <v>111</v>
      </c>
      <c r="C13" s="10" t="s">
        <v>120</v>
      </c>
      <c r="D13" s="10" t="s">
        <v>121</v>
      </c>
      <c r="E13" s="10" t="s">
        <v>122</v>
      </c>
      <c r="F13" s="10" t="s">
        <v>123</v>
      </c>
      <c r="G13" s="19" t="s">
        <v>51</v>
      </c>
      <c r="H13" s="19" t="s">
        <v>116</v>
      </c>
      <c r="I13" s="10" t="s">
        <v>124</v>
      </c>
      <c r="J13" s="11" t="s">
        <v>125</v>
      </c>
      <c r="K13" s="12"/>
      <c r="L13" s="13"/>
      <c r="M13" s="13"/>
      <c r="N13" s="13"/>
      <c r="O13" s="14" t="str">
        <f t="shared" si="0"/>
        <v>12</v>
      </c>
      <c r="P13" s="15" t="str">
        <f ca="1">IFERROR(__xludf.DUMMYFUNCTION("GOOGLETRANSLATE(B13, ""ar"", ""en"")"),"vegetables")</f>
        <v>vegetables</v>
      </c>
      <c r="Q13" s="15" t="str">
        <f ca="1">IFERROR(__xludf.DUMMYFUNCTION("GOOGLETRANSLATE(C13, ""ar"", ""en"")"),"Beans with stuffed bottom")</f>
        <v>Beans with stuffed bottom</v>
      </c>
      <c r="R13" s="15" t="str">
        <f ca="1">IFERROR(__xludf.DUMMYFUNCTION("GOOGLETRANSLATE(D13, ""ar"", ""en"")"),"Two and a half hours")</f>
        <v>Two and a half hours</v>
      </c>
      <c r="S13" s="15" t="str">
        <f ca="1">IFERROR(__xludf.DUMMYFUNCTION("GOOGLETRANSLATE(E13, ""ar"", ""en"")"),"• 1 kg fresh or frozen green beans
• 2 kg small zucchini (similar to those used in stuffed zucchini) or slightly larger
• 1 kg lamb on the bone, cut into small pieces, or 1 kg veal cut into cubes, or 500 g minced beef (20% fat)
• 2 tablespoons minced garl"&amp;"ic
• 1 tablespoon dried coriander
• 1/2 tablespoon salt
• 4 tablespoons tomato paste
• 2 blended tomatoes
• 1 teaspoon black pepper
• 2 tablespoons ghee or vegetable oil
• 1 tablespoon vegetable seasoning powder")</f>
        <v>• 1 kg fresh or frozen green beans
• 2 kg small zucchini (similar to those used in stuffed zucchini) or slightly larger
• 1 kg lamb on the bone, cut into small pieces, or 1 kg veal cut into cubes, or 500 g minced beef (20% fat)
• 2 tablespoons minced garlic
• 1 tablespoon dried coriander
• 1/2 tablespoon salt
• 4 tablespoons tomato paste
• 2 blended tomatoes
• 1 teaspoon black pepper
• 2 tablespoons ghee or vegetable oil
• 1 tablespoon vegetable seasoning powder</v>
      </c>
      <c r="T13" s="15" t="str">
        <f ca="1">IFERROR(__xludf.DUMMYFUNCTION("GOOGLETRANSLATE(F13, ""ar"", ""en"")"),"How to prepare meat for beans and stuffed vegetables:
Place the garlic, coriander, and ghee in a pot and fry the garlic until golden brown. Add the dried coriander and cook for 5 minutes. Then add the meat over high heat and stir it with the garlic and co"&amp;"riander. Cover the pot and cook for 5 minutes. Do not add cold water to the meat to avoid any unpleasant odor; boiling water will neutralize it. After frying the meat, add the tomato paste and crushed tomatoes, stir, and cover the pot for another 5 minute"&amp;"s. Meanwhile, boil 1.5 liters of water in a kettle and then add it to the meat.
Let the meat cook until fully tender. Add black pepper, beans, and salt, and continue cooking until the meat is fully cooked.
Ingredients for the zucchini stuffing:
• 2 cup"&amp;"s Egyptian or short-grain rice
• 2 tablespoons tomato paste
• 1/2 teaspoon black pepper
• 1/4 teaspoon cinnamon
• 1/4 teaspoon seven-spice mix
• 1/2 tablespoon salt
• 2 tablespoons ghee
Wash the zucchini well to remove any sand by soaking it in cold wate"&amp;"r for 15 minutes, then wash it with a soft brush. Drain it in a colander and hollow it out thinly.
Mix all the ingredients in a suitable plastic container and stuff the zucchini. Do not press the filling in with your finger; instead, gently shake the zuc"&amp;"chini so the rice settles to the bottom. Fill the zucchini completely, leaving about 1 cm (½ inch) of space at the top, so the rice is fluffy and not clumped.
Now, in a pot suitable for the quantity, arrange the zucchini at the bottom, then add the beans"&amp;", all the other ingredients, spices, and the cooked meat on top of the beans and zucchini. Bring the mixture to a boil, then reduce the heat and simmer for about an hour or an hour and a half. Check the zucchini to make sure it is cooked through.")</f>
        <v>How to prepare meat for beans and stuffed vegetables:
Place the garlic, coriander, and ghee in a pot and fry the garlic until golden brown. Add the dried coriander and cook for 5 minutes. Then add the meat over high heat and stir it with the garlic and coriander. Cover the pot and cook for 5 minutes. Do not add cold water to the meat to avoid any unpleasant odor; boiling water will neutralize it. After frying the meat, add the tomato paste and crushed tomatoes, stir, and cover the pot for another 5 minutes. Meanwhile, boil 1.5 liters of water in a kettle and then add it to the meat.
Let the meat cook until fully tender. Add black pepper, beans, and salt, and continue cooking until the meat is fully cooked.
Ingredients for the zucchini stuffing:
• 2 cups Egyptian or short-grain rice
• 2 tablespoons tomato paste
• 1/2 teaspoon black pepper
• 1/4 teaspoon cinnamon
• 1/4 teaspoon seven-spice mix
• 1/2 tablespoon salt
• 2 tablespoons ghee
Wash the zucchini well to remove any sand by soaking it in cold water for 15 minutes, then wash it with a soft brush. Drain it in a colander and hollow it out thinly.
Mix all the ingredients in a suitable plastic container and stuff the zucchini. Do not press the filling in with your finger; instead, gently shake the zucchini so the rice settles to the bottom. Fill the zucchini completely, leaving about 1 cm (½ inch) of space at the top, so the rice is fluffy and not clumped.
Now, in a pot suitable for the quantity, arrange the zucchini at the bottom, then add the beans, all the other ingredients, spices, and the cooked meat on top of the beans and zucchini. Bring the mixture to a boil, then reduce the heat and simmer for about an hour or an hour and a half. Check the zucchini to make sure it is cooked through.</v>
      </c>
      <c r="U13" s="15" t="str">
        <f ca="1">IFERROR(__xludf.DUMMYFUNCTION("GOOGLETRANSLATE(G13, ""ar"", ""en"")"),"10 people")</f>
        <v>10 people</v>
      </c>
      <c r="V13" s="15" t="str">
        <f ca="1">IFERROR(__xludf.DUMMYFUNCTION("GOOGLETRANSLATE(H13, ""ar"", ""en"")"),"Sprinkle black pepper on top, and that's enough.")</f>
        <v>Sprinkle black pepper on top, and that's enough.</v>
      </c>
      <c r="W13" s="15" t="str">
        <f ca="1">IFERROR(__xludf.DUMMYFUNCTION("GOOGLETRANSLATE(I13, ""ar"", ""en"")"),"This dish is truly amazing! You won't forget the delicious taste of stuffed vegetables with beans—it's so wonderful and different from stuffed vegetables with lemon juice. When serving, gently stir the contents so the zucchini doesn't break.
Cook this di"&amp;"sh after the meat is cooked over low heat. Let it simmer gently without disturbing the zucchini so it cooks through without falling apart.")</f>
        <v>This dish is truly amazing! You won't forget the delicious taste of stuffed vegetables with beans—it's so wonderful and different from stuffed vegetables with lemon juice. When serving, gently stir the contents so the zucchini doesn't break.
Cook this dish after the meat is cooked over low heat. Let it simmer gently without disturbing the zucchini so it cooks through without falling apart.</v>
      </c>
      <c r="X13" s="15" t="str">
        <f ca="1">IFERROR(__xludf.DUMMYFUNCTION("GOOGLETRANSLATE(J13, ""ar"", ""en"")"),"images/Fasoulia_Bebha_Meshi.jpg")</f>
        <v>images/Fasoulia_Bebha_Meshi.jpg</v>
      </c>
      <c r="Y13" s="15" t="str">
        <f ca="1">IFERROR(__xludf.DUMMYFUNCTION("GOOGLETRANSLATE(K13, ""ar"", ""en"")"),"#VALUE!")</f>
        <v>#VALUE!</v>
      </c>
      <c r="Z13" s="15" t="str">
        <f ca="1">IFERROR(__xludf.DUMMYFUNCTION("GOOGLETRANSLATE(L13, ""ar"", ""en"")"),"#VALUE!")</f>
        <v>#VALUE!</v>
      </c>
      <c r="AA13" s="15" t="str">
        <f ca="1">IFERROR(__xludf.DUMMYFUNCTION("GOOGLETRANSLATE(M13, ""ar"", ""en"")"),"#VALUE!")</f>
        <v>#VALUE!</v>
      </c>
      <c r="AB13" s="15" t="str">
        <f ca="1">IFERROR(__xludf.DUMMYFUNCTION("GOOGLETRANSLATE(N13, ""ar"", ""en"")"),"#VALUE!")</f>
        <v>#VALUE!</v>
      </c>
      <c r="AC13" s="16" t="str">
        <f t="shared" si="1"/>
        <v>12</v>
      </c>
      <c r="AD13" s="17" t="str">
        <f ca="1">IFERROR(__xludf.DUMMYFUNCTION("GOOGLETRANSLATE(P13, ""en"", ""sv"")"),"grönsaker")</f>
        <v>grönsaker</v>
      </c>
      <c r="AE13" s="17" t="str">
        <f ca="1">IFERROR(__xludf.DUMMYFUNCTION("GOOGLETRANSLATE(Q13, ""en"", ""sv"")"),"Bönor med fylld botten")</f>
        <v>Bönor med fylld botten</v>
      </c>
      <c r="AF13" s="17" t="str">
        <f ca="1">IFERROR(__xludf.DUMMYFUNCTION("GOOGLETRANSLATE(R13, ""en"", ""sv"")"),"Två och en halv timme")</f>
        <v>Två och en halv timme</v>
      </c>
      <c r="AG13" s="17" t="str">
        <f ca="1">IFERROR(__xludf.DUMMYFUNCTION("GOOGLETRANSLATE(S13, ""en"", ""sv"")"),"• 1 kg färska eller frysta gröna bönor
• 2 kg liten zucchini (liknande de som används i fylld zucchini) eller något större
• 1 kg lammkött med ben, skuret i små bitar, eller 1 kg kalvkött skuret i tärningar, eller 500 g nötfärs (20 % fett)
• 2 msk hackad "&amp;"vitlök
• 1 msk torkad koriander
• 1/2 msk salt
• 4 msk tomatpuré
• 2 mixade tomater
• 1 tsk svartpeppar
• 2 msk ghee eller vegetabilisk olja
• 1 msk vegetabiliskt kryddpulver")</f>
        <v>• 1 kg färska eller frysta gröna bönor
• 2 kg liten zucchini (liknande de som används i fylld zucchini) eller något större
• 1 kg lammkött med ben, skuret i små bitar, eller 1 kg kalvkött skuret i tärningar, eller 500 g nötfärs (20 % fett)
• 2 msk hackad vitlök
• 1 msk torkad koriander
• 1/2 msk salt
• 4 msk tomatpuré
• 2 mixade tomater
• 1 tsk svartpeppar
• 2 msk ghee eller vegetabilisk olja
• 1 msk vegetabiliskt kryddpulver</v>
      </c>
      <c r="AH13" s="17" t="str">
        <f ca="1">IFERROR(__xludf.DUMMYFUNCTION("GOOGLETRANSLATE(T13, ""en"", ""sv"")"),"Så här förbereder du kött till bönor och fyllda grönsaker:
Lägg vitlök, koriander och ghee i en kastrull och stek vitlöken tills den är gyllenbrun. Tillsätt den torkade koriandern och koka i 5 minuter. Tillsätt sedan köttet på hög värme och rör om det med"&amp;" vitlök och koriander. Täck över kastrullen och koka i 5 minuter. Tillsätt inte kallt vatten till köttet för att undvika obehaglig lukt; kokande vatten neutraliserar den. Efter att ha stekt köttet, tillsätt tomatpuré och krossade tomater, rör om och täck "&amp;"över kastrullen i ytterligare 5 minuter. Under tiden, koka upp 1,5 liter vatten i en vattenkokare och tillsätt det sedan till köttet.
Låt köttet koka tills det är helt mört. Tillsätt svartpeppar, bönor och salt och fortsätt koka tills köttet är helt geno"&amp;"mkokt.
Ingredienser till zucchinifyllningen:
• 5 dl egyptiskt eller kortkornigt ris
• 2 msk tomatpuré
• 1/2 tsk svartpeppar
• 1/4 tsk kanel
• 1/4 tsk sjukryddsblandning
• 1/2 msk salt
• 2 msk ghee
Tvätta zucchinin väl för att ta bort eventuell sand gen"&amp;"om att blötlägga den i kallt vatten i 15 minuter och skölj den sedan med en mjuk borste. Häll av vattnet i ett durkslag och urholka den tunt.
Blanda alla ingredienser i en lämplig plastbehållare och fyll zucchinin. Tryck inte ner fyllningen med fingret, "&amp;"utan skaka försiktigt zucchinin så att riset sätter sig i botten. Fyll zucchinin helt och lämna cirka 1 cm utrymme upptill, så att riset är fluffigt och inte klumpar sig.
Lägg nu zucchinin i en kruka som passar mängden, i botten. Tillsätt sedan bönorna, "&amp;"alla andra ingredienser, kryddorna och det tillagade köttet ovanpå bönorna och zucchinin. Koka upp blandningen, sänk sedan värmen och låt sjuda i ungefär en timme eller en och en halv timme. Kontrollera att zucchinin är genomkokt.")</f>
        <v>Så här förbereder du kött till bönor och fyllda grönsaker:
Lägg vitlök, koriander och ghee i en kastrull och stek vitlöken tills den är gyllenbrun. Tillsätt den torkade koriandern och koka i 5 minuter. Tillsätt sedan köttet på hög värme och rör om det med vitlök och koriander. Täck över kastrullen och koka i 5 minuter. Tillsätt inte kallt vatten till köttet för att undvika obehaglig lukt; kokande vatten neutraliserar den. Efter att ha stekt köttet, tillsätt tomatpuré och krossade tomater, rör om och täck över kastrullen i ytterligare 5 minuter. Under tiden, koka upp 1,5 liter vatten i en vattenkokare och tillsätt det sedan till köttet.
Låt köttet koka tills det är helt mört. Tillsätt svartpeppar, bönor och salt och fortsätt koka tills köttet är helt genomkokt.
Ingredienser till zucchinifyllningen:
• 5 dl egyptiskt eller kortkornigt ris
• 2 msk tomatpuré
• 1/2 tsk svartpeppar
• 1/4 tsk kanel
• 1/4 tsk sjukryddsblandning
• 1/2 msk salt
• 2 msk ghee
Tvätta zucchinin väl för att ta bort eventuell sand genom att blötlägga den i kallt vatten i 15 minuter och skölj den sedan med en mjuk borste. Häll av vattnet i ett durkslag och urholka den tunt.
Blanda alla ingredienser i en lämplig plastbehållare och fyll zucchinin. Tryck inte ner fyllningen med fingret, utan skaka försiktigt zucchinin så att riset sätter sig i botten. Fyll zucchinin helt och lämna cirka 1 cm utrymme upptill, så att riset är fluffigt och inte klumpar sig.
Lägg nu zucchinin i en kruka som passar mängden, i botten. Tillsätt sedan bönorna, alla andra ingredienser, kryddorna och det tillagade köttet ovanpå bönorna och zucchinin. Koka upp blandningen, sänk sedan värmen och låt sjuda i ungefär en timme eller en och en halv timme. Kontrollera att zucchinin är genomkokt.</v>
      </c>
      <c r="AI13" s="17" t="str">
        <f ca="1">IFERROR(__xludf.DUMMYFUNCTION("GOOGLETRANSLATE(U13, ""en"", ""sv"")"),"10 personer")</f>
        <v>10 personer</v>
      </c>
      <c r="AJ13" s="17" t="str">
        <f ca="1">IFERROR(__xludf.DUMMYFUNCTION("GOOGLETRANSLATE(V13, ""en"", ""sv"")"),"Strö svartpeppar över, och det räcker.")</f>
        <v>Strö svartpeppar över, och det räcker.</v>
      </c>
      <c r="AK13" s="17" t="str">
        <f ca="1">IFERROR(__xludf.DUMMYFUNCTION("GOOGLETRANSLATE(W13, ""en"", ""sv"")"),"Den här rätten är verkligen fantastisk! Du kommer aldrig att glömma den utsökta smaken av fyllda grönsaker med bönor – det är så underbart och annorlunda än fyllda grönsaker med citronsaft. Rör försiktigt om innehållet vid servering så att zucchinin inte "&amp;"går sönder.
Tillaga den här rätten efter att köttet är tillagat på låg värme. Låt den sjuda försiktigt utan att störa zucchinin så att den tillagas genom utan att falla isär.")</f>
        <v>Den här rätten är verkligen fantastisk! Du kommer aldrig att glömma den utsökta smaken av fyllda grönsaker med bönor – det är så underbart och annorlunda än fyllda grönsaker med citronsaft. Rör försiktigt om innehållet vid servering så att zucchinin inte går sönder.
Tillaga den här rätten efter att köttet är tillagat på låg värme. Låt den sjuda försiktigt utan att störa zucchinin så att den tillagas genom utan att falla isär.</v>
      </c>
      <c r="AL13" s="17" t="str">
        <f ca="1">IFERROR(__xludf.DUMMYFUNCTION("GOOGLETRANSLATE(X13, ""en"", ""sv"")"),"bilder/Fasoulia_Bebha_Meshi.jpg")</f>
        <v>bilder/Fasoulia_Bebha_Meshi.jpg</v>
      </c>
      <c r="AM13" s="17" t="str">
        <f ca="1">IFERROR(__xludf.DUMMYFUNCTION("GOOGLETRANSLATE(Y13, ""en"", ""sv"")"),"#VALUE!")</f>
        <v>#VALUE!</v>
      </c>
      <c r="AN13" s="17" t="str">
        <f ca="1">IFERROR(__xludf.DUMMYFUNCTION("GOOGLETRANSLATE(Z13, ""en"", ""sv"")"),"#VALUE!")</f>
        <v>#VALUE!</v>
      </c>
      <c r="AO13" s="17" t="str">
        <f ca="1">IFERROR(__xludf.DUMMYFUNCTION("GOOGLETRANSLATE(AA13, ""en"", ""sv"")"),"#VALUE!")</f>
        <v>#VALUE!</v>
      </c>
      <c r="AP13" s="17" t="str">
        <f ca="1">IFERROR(__xludf.DUMMYFUNCTION("GOOGLETRANSLATE(AB13, ""en"", ""sv"")"),"#VALUE!")</f>
        <v>#VALUE!</v>
      </c>
      <c r="AQ13" s="17"/>
    </row>
    <row r="14" spans="1:43" ht="14.25" customHeight="1" x14ac:dyDescent="0.3">
      <c r="A14" s="8" t="s">
        <v>126</v>
      </c>
      <c r="B14" s="9" t="s">
        <v>111</v>
      </c>
      <c r="C14" s="10" t="s">
        <v>127</v>
      </c>
      <c r="D14" s="10" t="s">
        <v>113</v>
      </c>
      <c r="E14" s="10" t="s">
        <v>128</v>
      </c>
      <c r="F14" s="10" t="s">
        <v>129</v>
      </c>
      <c r="G14" s="19" t="s">
        <v>80</v>
      </c>
      <c r="H14" s="19" t="s">
        <v>116</v>
      </c>
      <c r="I14" s="10" t="s">
        <v>130</v>
      </c>
      <c r="J14" s="11" t="s">
        <v>131</v>
      </c>
      <c r="K14" s="12"/>
      <c r="L14" s="13"/>
      <c r="M14" s="13"/>
      <c r="N14" s="13"/>
      <c r="O14" s="14" t="str">
        <f t="shared" si="0"/>
        <v>13</v>
      </c>
      <c r="P14" s="15" t="str">
        <f ca="1">IFERROR(__xludf.DUMMYFUNCTION("GOOGLETRANSLATE(B14, ""ar"", ""en"")"),"vegetables")</f>
        <v>vegetables</v>
      </c>
      <c r="Q14" s="15" t="str">
        <f ca="1">IFERROR(__xludf.DUMMYFUNCTION("GOOGLETRANSLATE(C14, ""ar"", ""en"")"),"green okra")</f>
        <v>green okra</v>
      </c>
      <c r="R14" s="15" t="str">
        <f ca="1">IFERROR(__xludf.DUMMYFUNCTION("GOOGLETRANSLATE(D14, ""ar"", ""en"")"),"an hour and a half")</f>
        <v>an hour and a half</v>
      </c>
      <c r="S14" s="15" t="str">
        <f ca="1">IFERROR(__xludf.DUMMYFUNCTION("GOOGLETRANSLATE(E14, ""ar"", ""en"")"),"• 1 kg fresh or frozen okra
• 1 kg lamb on the bone, cut into small pieces, or 1 kg veal cut into small cubes, or 500 g minced beef (20% fat)
• 2 tablespoons minced garlic
• 1 tablespoon dried coriander
• 1/2 tablespoon salt
• 4 tablespoons tomato pas"&amp;"te
• 2 blended tomatoes
• 1 teaspoon black pepper
• 2 tablespoons ghee
• 1 tablespoon vegetable seasoning powder")</f>
        <v>• 1 kg fresh or frozen okra
• 1 kg lamb on the bone, cut into small pieces, or 1 kg veal cut into small cubes, or 500 g minced beef (20% fat)
• 2 tablespoons minced garlic
• 1 tablespoon dried coriander
• 1/2 tablespoon salt
• 4 tablespoons tomato paste
• 2 blended tomatoes
• 1 teaspoon black pepper
• 2 tablespoons ghee
• 1 tablespoon vegetable seasoning powder</v>
      </c>
      <c r="T14" s="15" t="str">
        <f ca="1">IFERROR(__xludf.DUMMYFUNCTION("GOOGLETRANSLATE(F14, ""ar"", ""en"")"),"Place the garlic, coriander, and ghee in a pot and fry the garlic until golden brown. Add the dried coriander and cook for 5 minutes. Then add the meat and cook over high heat, stirring it with the garlic and coriander. Cover the pot and cook for 5 minute"&amp;"s. Do not add cold water to the meat, as this will impart an unpleasant odor; boiling water will neutralize it. After frying the meat, add the tomato paste and crushed tomatoes, stir, and cover the pot for another 5 minutes. Meanwhile, boil 1.5 liters of "&amp;"water in a kettle and then add it to the meat.
Let the meat cook until fully tender. Add the black pepper, okra, and salt, and continue cooking until the meat is fully cooked.")</f>
        <v>Place the garlic, coriander, and ghee in a pot and fry the garlic until golden brown. Add the dried coriander and cook for 5 minutes. Then add the meat and cook over high heat, stirring it with the garlic and coriander. Cover the pot and cook for 5 minutes. Do not add cold water to the meat, as this will impart an unpleasant odor; boiling water will neutralize it. After frying the meat, add the tomato paste and crushed tomatoes, stir, and cover the pot for another 5 minutes. Meanwhile, boil 1.5 liters of water in a kettle and then add it to the meat.
Let the meat cook until fully tender. Add the black pepper, okra, and salt, and continue cooking until the meat is fully cooked.</v>
      </c>
      <c r="U14" s="15" t="str">
        <f ca="1">IFERROR(__xludf.DUMMYFUNCTION("GOOGLETRANSLATE(G14, ""ar"", ""en"")"),"8 people")</f>
        <v>8 people</v>
      </c>
      <c r="V14" s="15" t="str">
        <f ca="1">IFERROR(__xludf.DUMMYFUNCTION("GOOGLETRANSLATE(H14, ""ar"", ""en"")"),"Sprinkle black pepper on top, and that's enough.")</f>
        <v>Sprinkle black pepper on top, and that's enough.</v>
      </c>
      <c r="W14" s="15" t="str">
        <f ca="1">IFERROR(__xludf.DUMMYFUNCTION("GOOGLETRANSLATE(I14, ""ar"", ""en"")"),"I do not recommend frying it because its nutrients and the water inside it dry out and we lose a lot of the delicious taste of okra as well as its viscosity; Enjoy your meal.")</f>
        <v>I do not recommend frying it because its nutrients and the water inside it dry out and we lose a lot of the delicious taste of okra as well as its viscosity; Enjoy your meal.</v>
      </c>
      <c r="X14" s="15" t="str">
        <f ca="1">IFERROR(__xludf.DUMMYFUNCTION("GOOGLETRANSLATE(J14, ""ar"", ""en"")"),"images/Bamia.jpg")</f>
        <v>images/Bamia.jpg</v>
      </c>
      <c r="Y14" s="15" t="str">
        <f ca="1">IFERROR(__xludf.DUMMYFUNCTION("GOOGLETRANSLATE(K14, ""ar"", ""en"")"),"#VALUE!")</f>
        <v>#VALUE!</v>
      </c>
      <c r="Z14" s="15" t="str">
        <f ca="1">IFERROR(__xludf.DUMMYFUNCTION("GOOGLETRANSLATE(L14, ""ar"", ""en"")"),"#VALUE!")</f>
        <v>#VALUE!</v>
      </c>
      <c r="AA14" s="15" t="str">
        <f ca="1">IFERROR(__xludf.DUMMYFUNCTION("GOOGLETRANSLATE(M14, ""ar"", ""en"")"),"#VALUE!")</f>
        <v>#VALUE!</v>
      </c>
      <c r="AB14" s="15" t="str">
        <f ca="1">IFERROR(__xludf.DUMMYFUNCTION("GOOGLETRANSLATE(N14, ""ar"", ""en"")"),"#VALUE!")</f>
        <v>#VALUE!</v>
      </c>
      <c r="AC14" s="16" t="str">
        <f t="shared" si="1"/>
        <v>13</v>
      </c>
      <c r="AD14" s="17" t="str">
        <f ca="1">IFERROR(__xludf.DUMMYFUNCTION("GOOGLETRANSLATE(P14, ""en"", ""sv"")"),"grönsaker")</f>
        <v>grönsaker</v>
      </c>
      <c r="AE14" s="17" t="str">
        <f ca="1">IFERROR(__xludf.DUMMYFUNCTION("GOOGLETRANSLATE(Q14, ""en"", ""sv"")"),"grön okra")</f>
        <v>grön okra</v>
      </c>
      <c r="AF14" s="17" t="str">
        <f ca="1">IFERROR(__xludf.DUMMYFUNCTION("GOOGLETRANSLATE(R14, ""en"", ""sv"")"),"en och en halv timme")</f>
        <v>en och en halv timme</v>
      </c>
      <c r="AG14" s="17" t="str">
        <f ca="1">IFERROR(__xludf.DUMMYFUNCTION("GOOGLETRANSLATE(S14, ""en"", ""sv"")"),"• 1 kg färsk eller fryst okra
• 1 kg lammkött med ben, skuret i små bitar, eller 1 kg kalvkött skuret i små tärningar, eller 500 g nötfärs (20 % fett)
• 2 msk hackad vitlök
• 1 msk torkad koriander
• 1/2 msk salt
• 4 msk tomatpuré
• 2 mixade tomater
•"&amp;" 1 tsk svartpeppar
• 2 msk ghee
• 1 msk vegetabiliskt kryddpulver")</f>
        <v>• 1 kg färsk eller fryst okra
• 1 kg lammkött med ben, skuret i små bitar, eller 1 kg kalvkött skuret i små tärningar, eller 500 g nötfärs (20 % fett)
• 2 msk hackad vitlök
• 1 msk torkad koriander
• 1/2 msk salt
• 4 msk tomatpuré
• 2 mixade tomater
• 1 tsk svartpeppar
• 2 msk ghee
• 1 msk vegetabiliskt kryddpulver</v>
      </c>
      <c r="AH14" s="17" t="str">
        <f ca="1">IFERROR(__xludf.DUMMYFUNCTION("GOOGLETRANSLATE(T14, ""en"", ""sv"")"),"Lägg vitlök, koriander och ghee i en kastrull och stek vitlöken tills den är gyllenbrun. Tillsätt den torkade koriandern och koka i 5 minuter. Tillsätt sedan köttet och koka på hög värme under omrörning med vitlök och koriander. Täck över kastrullen och k"&amp;"oka i 5 minuter. Tillsätt inte kallt vatten till köttet, eftersom det kommer att ge en obehaglig lukt; kokande vatten neutraliserar den. Efter att ha stekt köttet, tillsätt tomatpuré och krossade tomater, rör om och täck över kastrullen i ytterligare 5 mi"&amp;"nuter. Under tiden, koka upp 1,5 liter vatten i en vattenkokare och tillsätt det sedan till köttet.
Låt köttet koka tills det är helt mört. Tillsätt svartpeppar, okra och salt och fortsätt koka tills köttet är helt genomkokt.")</f>
        <v>Lägg vitlök, koriander och ghee i en kastrull och stek vitlöken tills den är gyllenbrun. Tillsätt den torkade koriandern och koka i 5 minuter. Tillsätt sedan köttet och koka på hög värme under omrörning med vitlök och koriander. Täck över kastrullen och koka i 5 minuter. Tillsätt inte kallt vatten till köttet, eftersom det kommer att ge en obehaglig lukt; kokande vatten neutraliserar den. Efter att ha stekt köttet, tillsätt tomatpuré och krossade tomater, rör om och täck över kastrullen i ytterligare 5 minuter. Under tiden, koka upp 1,5 liter vatten i en vattenkokare och tillsätt det sedan till köttet.
Låt köttet koka tills det är helt mört. Tillsätt svartpeppar, okra och salt och fortsätt koka tills köttet är helt genomkokt.</v>
      </c>
      <c r="AI14" s="17" t="str">
        <f ca="1">IFERROR(__xludf.DUMMYFUNCTION("GOOGLETRANSLATE(U14, ""en"", ""sv"")"),"8 personer")</f>
        <v>8 personer</v>
      </c>
      <c r="AJ14" s="17" t="str">
        <f ca="1">IFERROR(__xludf.DUMMYFUNCTION("GOOGLETRANSLATE(V14, ""en"", ""sv"")"),"Strö svartpeppar över, och det räcker.")</f>
        <v>Strö svartpeppar över, och det räcker.</v>
      </c>
      <c r="AK14" s="17" t="str">
        <f ca="1">IFERROR(__xludf.DUMMYFUNCTION("GOOGLETRANSLATE(W14, ""en"", ""sv"")"),"Jag rekommenderar inte att steka den eftersom dess näringsämnen och vattnet inuti torkar ut och vi förlorar mycket av den goda smaken av okra såväl som dess viskositet. Njut av din måltid.")</f>
        <v>Jag rekommenderar inte att steka den eftersom dess näringsämnen och vattnet inuti torkar ut och vi förlorar mycket av den goda smaken av okra såväl som dess viskositet. Njut av din måltid.</v>
      </c>
      <c r="AL14" s="17" t="str">
        <f ca="1">IFERROR(__xludf.DUMMYFUNCTION("GOOGLETRANSLATE(X14, ""en"", ""sv"")"),"bilder/Bamia.jpg")</f>
        <v>bilder/Bamia.jpg</v>
      </c>
      <c r="AM14" s="17" t="str">
        <f ca="1">IFERROR(__xludf.DUMMYFUNCTION("GOOGLETRANSLATE(Y14, ""en"", ""sv"")"),"#VALUE!")</f>
        <v>#VALUE!</v>
      </c>
      <c r="AN14" s="17" t="str">
        <f ca="1">IFERROR(__xludf.DUMMYFUNCTION("GOOGLETRANSLATE(Z14, ""en"", ""sv"")"),"#VALUE!")</f>
        <v>#VALUE!</v>
      </c>
      <c r="AO14" s="17" t="str">
        <f ca="1">IFERROR(__xludf.DUMMYFUNCTION("GOOGLETRANSLATE(AA14, ""en"", ""sv"")"),"#VALUE!")</f>
        <v>#VALUE!</v>
      </c>
      <c r="AP14" s="17" t="str">
        <f ca="1">IFERROR(__xludf.DUMMYFUNCTION("GOOGLETRANSLATE(AB14, ""en"", ""sv"")"),"#VALUE!")</f>
        <v>#VALUE!</v>
      </c>
      <c r="AQ14" s="17"/>
    </row>
    <row r="15" spans="1:43" ht="14.25" customHeight="1" x14ac:dyDescent="0.3">
      <c r="A15" s="8" t="s">
        <v>132</v>
      </c>
      <c r="B15" s="9" t="s">
        <v>111</v>
      </c>
      <c r="C15" s="10" t="s">
        <v>133</v>
      </c>
      <c r="D15" s="10" t="s">
        <v>48</v>
      </c>
      <c r="E15" s="10" t="s">
        <v>134</v>
      </c>
      <c r="F15" s="10" t="s">
        <v>135</v>
      </c>
      <c r="G15" s="19" t="s">
        <v>80</v>
      </c>
      <c r="H15" s="19" t="s">
        <v>136</v>
      </c>
      <c r="I15" s="10" t="s">
        <v>137</v>
      </c>
      <c r="J15" s="11" t="s">
        <v>138</v>
      </c>
      <c r="K15" s="12"/>
      <c r="L15" s="13"/>
      <c r="M15" s="13"/>
      <c r="N15" s="13"/>
      <c r="O15" s="14" t="str">
        <f t="shared" si="0"/>
        <v>14</v>
      </c>
      <c r="P15" s="15" t="str">
        <f ca="1">IFERROR(__xludf.DUMMYFUNCTION("GOOGLETRANSLATE(B15, ""ar"", ""en"")"),"vegetables")</f>
        <v>vegetables</v>
      </c>
      <c r="Q15" s="15" t="str">
        <f ca="1">IFERROR(__xludf.DUMMYFUNCTION("GOOGLETRANSLATE(C15, ""ar"", ""en"")"),"Oven-baked meat")</f>
        <v>Oven-baked meat</v>
      </c>
      <c r="R15" s="15" t="str">
        <f ca="1">IFERROR(__xludf.DUMMYFUNCTION("GOOGLETRANSLATE(D15, ""ar"", ""en"")"),"two hours")</f>
        <v>two hours</v>
      </c>
      <c r="S15" s="15" t="str">
        <f ca="1">IFERROR(__xludf.DUMMYFUNCTION("GOOGLETRANSLATE(E15, ""ar"", ""en"")"),"• 1 kg minced lamb or veal (20% fat)
• 500 g zucchini (2 pieces)
• 500 g eggplant (2 pieces)
• 1 kg tomatoes
• 3 tablespoons tomato paste
• 2 medium potatoes
• 1 green bell pepper (sweet or hot, as desired)
• 1 red bell pepper (sweet or hot, as desire"&amp;"d)
• 1 green sour apple
• 4 medium onions
• 1 tablespoon black pepper
• 1 tablespoon salt
• 2 tablespoons ghee
• 1 tablespoon vegetable seasoning powder")</f>
        <v>• 1 kg minced lamb or veal (20% fat)
• 500 g zucchini (2 pieces)
• 500 g eggplant (2 pieces)
• 1 kg tomatoes
• 3 tablespoons tomato paste
• 2 medium potatoes
• 1 green bell pepper (sweet or hot, as desired)
• 1 red bell pepper (sweet or hot, as desired)
• 1 green sour apple
• 4 medium onions
• 1 tablespoon black pepper
• 1 tablespoon salt
• 2 tablespoons ghee
• 1 tablespoon vegetable seasoning powder</v>
      </c>
      <c r="T15" s="15" t="str">
        <f ca="1">IFERROR(__xludf.DUMMYFUNCTION("GOOGLETRANSLATE(F15, ""ar"", ""en"")"),"Wash and dice all the vegetables except the onions, which should be finely chopped. Place the vegetables in a baking dish suitable for the quantity. Dissolve the tomato paste in water and pour it over the vegetables. Cut the ground meat into balls or smal"&amp;"l pieces and spread them over the vegetables. Sprinkle the onions over the top, then season with salt, black pepper, and seasoning powder.
Place the dish in the oven at the highest temperature, directly on the bottom of the dish, and bake for half an hou"&amp;"r until the meat and onions are browned together.
Remove the dish from the oven and cover it with aluminum foil for one hour, or until everything is cooked through.
Remove the foil. If you notice that there is still a lot of liquid covering the vegetabl"&amp;"es up to the top of the dish, leave it uncovered for another half hour at the highest temperature to allow the liquid to dry out.
This dish can be eaten by dipping bread in it, or served with a side of rice and vermicelli.")</f>
        <v>Wash and dice all the vegetables except the onions, which should be finely chopped. Place the vegetables in a baking dish suitable for the quantity. Dissolve the tomato paste in water and pour it over the vegetables. Cut the ground meat into balls or small pieces and spread them over the vegetables. Sprinkle the onions over the top, then season with salt, black pepper, and seasoning powder.
Place the dish in the oven at the highest temperature, directly on the bottom of the dish, and bake for half an hour until the meat and onions are browned together.
Remove the dish from the oven and cover it with aluminum foil for one hour, or until everything is cooked through.
Remove the foil. If you notice that there is still a lot of liquid covering the vegetables up to the top of the dish, leave it uncovered for another half hour at the highest temperature to allow the liquid to dry out.
This dish can be eaten by dipping bread in it, or served with a side of rice and vermicelli.</v>
      </c>
      <c r="U15" s="15" t="str">
        <f ca="1">IFERROR(__xludf.DUMMYFUNCTION("GOOGLETRANSLATE(G15, ""ar"", ""en"")"),"8 people")</f>
        <v>8 people</v>
      </c>
      <c r="V15" s="15" t="str">
        <f ca="1">IFERROR(__xludf.DUMMYFUNCTION("GOOGLETRANSLATE(H15, ""ar"", ""en"")"),"Sprinkle with black pepper and chopped parsley or toasted pine nuts.")</f>
        <v>Sprinkle with black pepper and chopped parsley or toasted pine nuts.</v>
      </c>
      <c r="W15" s="15" t="str">
        <f ca="1">IFERROR(__xludf.DUMMYFUNCTION("GOOGLETRANSLATE(I15, ""ar"", ""en"")"),"Meat in the oven or ""Kwaj"" among my loved ones in Damascus is an artistic dish. The more variety of vegetables you add to it, the tastier it is, but on the condition that it does not have too much broth, but rather is moist and fully cooked, because any"&amp;" type of vegetable inside it, if not cooked, will affect the taste in general. This is one of my favorite dishes with rice and vermicelli.")</f>
        <v>Meat in the oven or "Kwaj" among my loved ones in Damascus is an artistic dish. The more variety of vegetables you add to it, the tastier it is, but on the condition that it does not have too much broth, but rather is moist and fully cooked, because any type of vegetable inside it, if not cooked, will affect the taste in general. This is one of my favorite dishes with rice and vermicelli.</v>
      </c>
      <c r="X15" s="15" t="str">
        <f ca="1">IFERROR(__xludf.DUMMYFUNCTION("GOOGLETRANSLATE(J15, ""ar"", ""en"")"),"images/Lahmeh_Belfern_Kawaj.jpg")</f>
        <v>images/Lahmeh_Belfern_Kawaj.jpg</v>
      </c>
      <c r="Y15" s="15" t="str">
        <f ca="1">IFERROR(__xludf.DUMMYFUNCTION("GOOGLETRANSLATE(K15, ""ar"", ""en"")"),"#VALUE!")</f>
        <v>#VALUE!</v>
      </c>
      <c r="Z15" s="15" t="str">
        <f ca="1">IFERROR(__xludf.DUMMYFUNCTION("GOOGLETRANSLATE(L15, ""ar"", ""en"")"),"#VALUE!")</f>
        <v>#VALUE!</v>
      </c>
      <c r="AA15" s="15" t="str">
        <f ca="1">IFERROR(__xludf.DUMMYFUNCTION("GOOGLETRANSLATE(M15, ""ar"", ""en"")"),"#VALUE!")</f>
        <v>#VALUE!</v>
      </c>
      <c r="AB15" s="15" t="str">
        <f ca="1">IFERROR(__xludf.DUMMYFUNCTION("GOOGLETRANSLATE(N15, ""ar"", ""en"")"),"#VALUE!")</f>
        <v>#VALUE!</v>
      </c>
      <c r="AC15" s="16" t="str">
        <f t="shared" si="1"/>
        <v>14</v>
      </c>
      <c r="AD15" s="17" t="str">
        <f ca="1">IFERROR(__xludf.DUMMYFUNCTION("GOOGLETRANSLATE(P15, ""en"", ""sv"")"),"grönsaker")</f>
        <v>grönsaker</v>
      </c>
      <c r="AE15" s="17" t="str">
        <f ca="1">IFERROR(__xludf.DUMMYFUNCTION("GOOGLETRANSLATE(Q15, ""en"", ""sv"")"),"Ugnsbakat kött")</f>
        <v>Ugnsbakat kött</v>
      </c>
      <c r="AF15" s="17" t="str">
        <f ca="1">IFERROR(__xludf.DUMMYFUNCTION("GOOGLETRANSLATE(R15, ""en"", ""sv"")"),"två timmar")</f>
        <v>två timmar</v>
      </c>
      <c r="AG15" s="17" t="str">
        <f ca="1">IFERROR(__xludf.DUMMYFUNCTION("GOOGLETRANSLATE(S15, ""en"", ""sv"")"),"• 1 kg lamm- eller kalvfärs (20 % fett)
• 500 g zucchini (2 bitar)
• 500 g aubergine (2 bitar)
• 1 kg tomater
• 3 msk tomatpuré
• 2 medelstora potatisar
• 1 grön paprika (söt eller stark, efter önskemål)
• 1 röd paprika (söt eller stark, efter önskemå"&amp;"l)
• 1 grönt surt äpple
• 4 medelstora lökar
• 1 msk svartpeppar
• 1 msk salt
• 2 msk ghee
• 1 msk grönsakskrydda")</f>
        <v>• 1 kg lamm- eller kalvfärs (20 % fett)
• 500 g zucchini (2 bitar)
• 500 g aubergine (2 bitar)
• 1 kg tomater
• 3 msk tomatpuré
• 2 medelstora potatisar
• 1 grön paprika (söt eller stark, efter önskemål)
• 1 röd paprika (söt eller stark, efter önskemål)
• 1 grönt surt äpple
• 4 medelstora lökar
• 1 msk svartpeppar
• 1 msk salt
• 2 msk ghee
• 1 msk grönsakskrydda</v>
      </c>
      <c r="AH15" s="17" t="str">
        <f ca="1">IFERROR(__xludf.DUMMYFUNCTION("GOOGLETRANSLATE(T15, ""en"", ""sv"")"),"Tvätta och tärna alla grönsaker utom löken, som ska vara finhackade. Lägg grönsakerna i en ugnsform som passar mängden. Lös upp tomatpurén i vatten och häll den över grönsakerna. Skär köttfärsen i bollar eller små bitar och bred ut dem över grönsakerna. S"&amp;"trö löken över och krydda sedan med salt, svartpeppar och kryddpulver.
Sätt in formen i ugnen på högsta temperatur, direkt på botten av formen, och grädda i en halvtimme tills köttet och löken är brynt tillsammans.
Ta ut formen ur ugnen och täck den m"&amp;"ed aluminiumfolie i en timme, eller tills allt är genomstekt.
Ta bort folien. Om du märker att det fortfarande finns mycket vätska som täcker grönsakerna upp till toppen av formen, låt den stå utan lock i ytterligare en halvtimme på högsta temperatur så"&amp;" att vätskan kan torka ut.
Denna rätt kan ätas genom att doppa bröd i den, eller serveras med ris och vermicelli.")</f>
        <v>Tvätta och tärna alla grönsaker utom löken, som ska vara finhackade. Lägg grönsakerna i en ugnsform som passar mängden. Lös upp tomatpurén i vatten och häll den över grönsakerna. Skär köttfärsen i bollar eller små bitar och bred ut dem över grönsakerna. Strö löken över och krydda sedan med salt, svartpeppar och kryddpulver.
Sätt in formen i ugnen på högsta temperatur, direkt på botten av formen, och grädda i en halvtimme tills köttet och löken är brynt tillsammans.
Ta ut formen ur ugnen och täck den med aluminiumfolie i en timme, eller tills allt är genomstekt.
Ta bort folien. Om du märker att det fortfarande finns mycket vätska som täcker grönsakerna upp till toppen av formen, låt den stå utan lock i ytterligare en halvtimme på högsta temperatur så att vätskan kan torka ut.
Denna rätt kan ätas genom att doppa bröd i den, eller serveras med ris och vermicelli.</v>
      </c>
      <c r="AI15" s="17" t="str">
        <f ca="1">IFERROR(__xludf.DUMMYFUNCTION("GOOGLETRANSLATE(U15, ""en"", ""sv"")"),"8 personer")</f>
        <v>8 personer</v>
      </c>
      <c r="AJ15" s="17" t="str">
        <f ca="1">IFERROR(__xludf.DUMMYFUNCTION("GOOGLETRANSLATE(V15, ""en"", ""sv"")"),"Strö över svartpeppar och hackad persilja eller rostade pinjenötter.")</f>
        <v>Strö över svartpeppar och hackad persilja eller rostade pinjenötter.</v>
      </c>
      <c r="AK15" s="17" t="str">
        <f ca="1">IFERROR(__xludf.DUMMYFUNCTION("GOOGLETRANSLATE(W15, ""en"", ""sv"")"),"Kött i ugnen eller ""Kwaj"" bland mina nära och kära i Damaskus är en konstnärlig rätt. Ju mer variation av grönsaker man lägger till, desto godare är den, men under förutsättning att den inte har för mycket buljong, utan snarare är saftig och genomkokt, "&amp;"eftersom alla typer av grönsaker inuti, om de inte är kokta, kommer att påverka smaken i allmänhet. Detta är en av mina favoriträtter med ris och vermicelli.")</f>
        <v>Kött i ugnen eller "Kwaj" bland mina nära och kära i Damaskus är en konstnärlig rätt. Ju mer variation av grönsaker man lägger till, desto godare är den, men under förutsättning att den inte har för mycket buljong, utan snarare är saftig och genomkokt, eftersom alla typer av grönsaker inuti, om de inte är kokta, kommer att påverka smaken i allmänhet. Detta är en av mina favoriträtter med ris och vermicelli.</v>
      </c>
      <c r="AL15" s="17" t="str">
        <f ca="1">IFERROR(__xludf.DUMMYFUNCTION("GOOGLETRANSLATE(X15, ""en"", ""sv"")"),"bilder/Lahmeh_Belfern_Kawaj.jpg")</f>
        <v>bilder/Lahmeh_Belfern_Kawaj.jpg</v>
      </c>
      <c r="AM15" s="17" t="str">
        <f ca="1">IFERROR(__xludf.DUMMYFUNCTION("GOOGLETRANSLATE(Y15, ""en"", ""sv"")"),"#VALUE!")</f>
        <v>#VALUE!</v>
      </c>
      <c r="AN15" s="17" t="str">
        <f ca="1">IFERROR(__xludf.DUMMYFUNCTION("GOOGLETRANSLATE(Z15, ""en"", ""sv"")"),"#VALUE!")</f>
        <v>#VALUE!</v>
      </c>
      <c r="AO15" s="17" t="str">
        <f ca="1">IFERROR(__xludf.DUMMYFUNCTION("GOOGLETRANSLATE(AA15, ""en"", ""sv"")"),"#VALUE!")</f>
        <v>#VALUE!</v>
      </c>
      <c r="AP15" s="17" t="str">
        <f ca="1">IFERROR(__xludf.DUMMYFUNCTION("GOOGLETRANSLATE(AB15, ""en"", ""sv"")"),"#VALUE!")</f>
        <v>#VALUE!</v>
      </c>
      <c r="AQ15" s="17"/>
    </row>
    <row r="16" spans="1:43" ht="14.25" customHeight="1" x14ac:dyDescent="0.3">
      <c r="A16" s="8" t="s">
        <v>139</v>
      </c>
      <c r="B16" s="9" t="s">
        <v>140</v>
      </c>
      <c r="C16" s="21" t="s">
        <v>141</v>
      </c>
      <c r="D16" s="21" t="s">
        <v>48</v>
      </c>
      <c r="E16" s="21" t="s">
        <v>142</v>
      </c>
      <c r="F16" s="21" t="s">
        <v>143</v>
      </c>
      <c r="G16" s="22" t="s">
        <v>97</v>
      </c>
      <c r="H16" s="22" t="s">
        <v>136</v>
      </c>
      <c r="I16" s="21" t="s">
        <v>144</v>
      </c>
      <c r="J16" s="23" t="s">
        <v>145</v>
      </c>
      <c r="K16" s="24"/>
      <c r="L16" s="25"/>
      <c r="M16" s="25"/>
      <c r="N16" s="25"/>
      <c r="O16" s="14" t="str">
        <f t="shared" si="0"/>
        <v>15</v>
      </c>
      <c r="P16" s="15" t="str">
        <f ca="1">IFERROR(__xludf.DUMMYFUNCTION("GOOGLETRANSLATE(B16, ""ar"", ""en"")"),"meat")</f>
        <v>meat</v>
      </c>
      <c r="Q16" s="15" t="str">
        <f ca="1">IFERROR(__xludf.DUMMYFUNCTION("GOOGLETRANSLATE(C16, ""ar"", ""en"")"),"Indian kebab")</f>
        <v>Indian kebab</v>
      </c>
      <c r="R16" s="15" t="str">
        <f ca="1">IFERROR(__xludf.DUMMYFUNCTION("GOOGLETRANSLATE(D16, ""ar"", ""en"")"),"two hours")</f>
        <v>two hours</v>
      </c>
      <c r="S16" s="15" t="str">
        <f ca="1">IFERROR(__xludf.DUMMYFUNCTION("GOOGLETRANSLATE(E16, ""ar"", ""en"")"),"1 kg lamb kebab (20% fat).
• 500 g zucchini, cut into wedges
• Potatoes, cut into wedges (optional)
• 3 onions, sliced ​​into wedges or finely chopped (I always prefer finely chopped onions because a rough finish can spoil the taste)
• 3 tablespoons t"&amp;"omato paste, 1 kg blended tomatoes
• 1 tablespoon black pepper
• 1/2 tablespoon salt, 3 tablespoons ghee
• Toasted pine nuts for garnish (if available)")</f>
        <v>1 kg lamb kebab (20% fat).
• 500 g zucchini, cut into wedges
• Potatoes, cut into wedges (optional)
• 3 onions, sliced ​​into wedges or finely chopped (I always prefer finely chopped onions because a rough finish can spoil the taste)
• 3 tablespoons tomato paste, 1 kg blended tomatoes
• 1 tablespoon black pepper
• 1/2 tablespoon salt, 3 tablespoons ghee
• Toasted pine nuts for garnish (if available)</v>
      </c>
      <c r="T16" s="15" t="str">
        <f ca="1">IFERROR(__xludf.DUMMYFUNCTION("GOOGLETRANSLATE(F16, ""ar"", ""en"")"),"Prepare the vegetables and cut them into sticks, and slice the onions as desired. Set them aside.
Now, cut the kebabs into small pieces about the size of your fist and shape them into fingers. Arrange them in a baking dish.
Heat the ghee in a pan and be"&amp;"gin browning the prepared kebab fingers. As each batch is finished, arrange them in the oven dish you will be using until you have used all the kebabs.
Now, add the ghee you used to fry the meat to the onions and sauté for 5 minutes until golden brown. T"&amp;"hen, arrange the vegetables on top of the browned kebabs. Sprinkle the sautéed onions, tomatoes, tomato paste, black pepper, salt, and zucchini over the vegetables. Cover the dish with aluminum foil and bake in the oven at the highest temperature for one "&amp;"hour.
Uncover the dish and leave it for another half hour to allow the tops to develop a light brown color, indicating that they are cooked. If there is still a lot of liquid in the dish (meaning the broth covers most of the vegetables), leave it uncover"&amp;"ed for another half hour and reduce the oven temperature to a moderate level until it dries out to your desired consistency.")</f>
        <v>Prepare the vegetables and cut them into sticks, and slice the onions as desired. Set them aside.
Now, cut the kebabs into small pieces about the size of your fist and shape them into fingers. Arrange them in a baking dish.
Heat the ghee in a pan and begin browning the prepared kebab fingers. As each batch is finished, arrange them in the oven dish you will be using until you have used all the kebabs.
Now, add the ghee you used to fry the meat to the onions and sauté for 5 minutes until golden brown. Then, arrange the vegetables on top of the browned kebabs. Sprinkle the sautéed onions, tomatoes, tomato paste, black pepper, salt, and zucchini over the vegetables. Cover the dish with aluminum foil and bake in the oven at the highest temperature for one hour.
Uncover the dish and leave it for another half hour to allow the tops to develop a light brown color, indicating that they are cooked. If there is still a lot of liquid in the dish (meaning the broth covers most of the vegetables), leave it uncovered for another half hour and reduce the oven temperature to a moderate level until it dries out to your desired consistency.</v>
      </c>
      <c r="U16" s="15" t="str">
        <f ca="1">IFERROR(__xludf.DUMMYFUNCTION("GOOGLETRANSLATE(G16, ""ar"", ""en"")"),"6 people")</f>
        <v>6 people</v>
      </c>
      <c r="V16" s="15" t="str">
        <f ca="1">IFERROR(__xludf.DUMMYFUNCTION("GOOGLETRANSLATE(H16, ""ar"", ""en"")"),"Sprinkle with black pepper and chopped parsley or toasted pine nuts.")</f>
        <v>Sprinkle with black pepper and chopped parsley or toasted pine nuts.</v>
      </c>
      <c r="W16" s="15" t="str">
        <f ca="1">IFERROR(__xludf.DUMMYFUNCTION("GOOGLETRANSLATE(I16, ""ar"", ""en"")"),"I prefer to use lamb kebab in Indian kebabs rather than veal. If you live in Sweden, go to shops that sell lamb and ask them to cut the shoulder and grind it, with the fat in it, into a fine kebab on the fine sieve of the meat grinder twice. You will get "&amp;"the most wonderful Indian kebab.")</f>
        <v>I prefer to use lamb kebab in Indian kebabs rather than veal. If you live in Sweden, go to shops that sell lamb and ask them to cut the shoulder and grind it, with the fat in it, into a fine kebab on the fine sieve of the meat grinder twice. You will get the most wonderful Indian kebab.</v>
      </c>
      <c r="X16" s="15" t="str">
        <f ca="1">IFERROR(__xludf.DUMMYFUNCTION("GOOGLETRANSLATE(J16, ""ar"", ""en"")"),"images/Kebab_Hendi.jpeg")</f>
        <v>images/Kebab_Hendi.jpeg</v>
      </c>
      <c r="Y16" s="15" t="str">
        <f ca="1">IFERROR(__xludf.DUMMYFUNCTION("GOOGLETRANSLATE(K16, ""ar"", ""en"")"),"#VALUE!")</f>
        <v>#VALUE!</v>
      </c>
      <c r="Z16" s="15" t="str">
        <f ca="1">IFERROR(__xludf.DUMMYFUNCTION("GOOGLETRANSLATE(L16, ""ar"", ""en"")"),"#VALUE!")</f>
        <v>#VALUE!</v>
      </c>
      <c r="AA16" s="15" t="str">
        <f ca="1">IFERROR(__xludf.DUMMYFUNCTION("GOOGLETRANSLATE(M16, ""ar"", ""en"")"),"#VALUE!")</f>
        <v>#VALUE!</v>
      </c>
      <c r="AB16" s="15" t="str">
        <f ca="1">IFERROR(__xludf.DUMMYFUNCTION("GOOGLETRANSLATE(N16, ""ar"", ""en"")"),"#VALUE!")</f>
        <v>#VALUE!</v>
      </c>
      <c r="AC16" s="16" t="str">
        <f t="shared" si="1"/>
        <v>15</v>
      </c>
      <c r="AD16" s="17" t="str">
        <f ca="1">IFERROR(__xludf.DUMMYFUNCTION("GOOGLETRANSLATE(P16, ""en"", ""sv"")"),"kött")</f>
        <v>kött</v>
      </c>
      <c r="AE16" s="17" t="str">
        <f ca="1">IFERROR(__xludf.DUMMYFUNCTION("GOOGLETRANSLATE(Q16, ""en"", ""sv"")"),"Indisk kebab")</f>
        <v>Indisk kebab</v>
      </c>
      <c r="AF16" s="17" t="str">
        <f ca="1">IFERROR(__xludf.DUMMYFUNCTION("GOOGLETRANSLATE(R16, ""en"", ""sv"")"),"två timmar")</f>
        <v>två timmar</v>
      </c>
      <c r="AG16" s="17" t="str">
        <f ca="1">IFERROR(__xludf.DUMMYFUNCTION("GOOGLETRANSLATE(S16, ""en"", ""sv"")"),"1 kg lammkebab (20 % fett).
• 500 g zucchini, skuren i klyftor
• Potatis, skuren i klyftor (valfritt)
• 3 lökar, skivade i klyftor eller finhackade (jag föredrar alltid finhackad lök eftersom en grov yta kan förstöra smaken)
• 3 msk tomatpuré, 1 kg bl"&amp;"andade tomater
• 1 msk svartpeppar
• 1/2 msk salt, 3 msk ghee
• Rostade pinjenötter till garnering (om det finns)")</f>
        <v>1 kg lammkebab (20 % fett).
• 500 g zucchini, skuren i klyftor
• Potatis, skuren i klyftor (valfritt)
• 3 lökar, skivade i klyftor eller finhackade (jag föredrar alltid finhackad lök eftersom en grov yta kan förstöra smaken)
• 3 msk tomatpuré, 1 kg blandade tomater
• 1 msk svartpeppar
• 1/2 msk salt, 3 msk ghee
• Rostade pinjenötter till garnering (om det finns)</v>
      </c>
      <c r="AH16" s="17" t="str">
        <f ca="1">IFERROR(__xludf.DUMMYFUNCTION("GOOGLETRANSLATE(T16, ""en"", ""sv"")"),"Förbered grönsakerna och skär dem i stavar och skiva löken efter önskemål. Lägg dem åt sidan.
Skär nu kebaben i små bitar ungefär lika stora som din knytnäve och forma dem till fingrar. Lägg dem i en ugnsform.
Värm ghee i en stekpanna och börja bryna de"&amp;" förberedda kebabfingrarna. När varje omgång är klar, lägg dem i den ugnsform du ska använda tills du har använt alla kebaber.
Tillsätt nu gheen du använde för att steka köttet till löken och fräs i 5 minuter tills de är gyllenbruna. Lägg sedan grönsaker"&amp;"na ovanpå de brynta kebaben. Strö den sauterade löken, tomaterna, tomatpurén, svartpepparen, saltet och zucchinin över grönsakerna. Täck formen med aluminiumfolie och grädda i ugnen på högsta temperatur i en timme.
Ta bort locket från formen och låt den "&amp;"stå i ytterligare en halvtimme så att topparna får en ljusbrun färg, vilket indikerar att de är tillagade. Om det fortfarande finns mycket vätska i rätten (vilket innebär att buljongen täcker de flesta grönsakerna), låt den stå utan lock i ytterligare en "&amp;"halvtimme och sänk ugnstemperaturen till en måttlig nivå tills den torkat och fått önskad konsistens.")</f>
        <v>Förbered grönsakerna och skär dem i stavar och skiva löken efter önskemål. Lägg dem åt sidan.
Skär nu kebaben i små bitar ungefär lika stora som din knytnäve och forma dem till fingrar. Lägg dem i en ugnsform.
Värm ghee i en stekpanna och börja bryna de förberedda kebabfingrarna. När varje omgång är klar, lägg dem i den ugnsform du ska använda tills du har använt alla kebaber.
Tillsätt nu gheen du använde för att steka köttet till löken och fräs i 5 minuter tills de är gyllenbruna. Lägg sedan grönsakerna ovanpå de brynta kebaben. Strö den sauterade löken, tomaterna, tomatpurén, svartpepparen, saltet och zucchinin över grönsakerna. Täck formen med aluminiumfolie och grädda i ugnen på högsta temperatur i en timme.
Ta bort locket från formen och låt den stå i ytterligare en halvtimme så att topparna får en ljusbrun färg, vilket indikerar att de är tillagade. Om det fortfarande finns mycket vätska i rätten (vilket innebär att buljongen täcker de flesta grönsakerna), låt den stå utan lock i ytterligare en halvtimme och sänk ugnstemperaturen till en måttlig nivå tills den torkat och fått önskad konsistens.</v>
      </c>
      <c r="AI16" s="17" t="str">
        <f ca="1">IFERROR(__xludf.DUMMYFUNCTION("GOOGLETRANSLATE(U16, ""en"", ""sv"")"),"6 personer")</f>
        <v>6 personer</v>
      </c>
      <c r="AJ16" s="17" t="str">
        <f ca="1">IFERROR(__xludf.DUMMYFUNCTION("GOOGLETRANSLATE(V16, ""en"", ""sv"")"),"Strö över svartpeppar och hackad persilja eller rostade pinjenötter.")</f>
        <v>Strö över svartpeppar och hackad persilja eller rostade pinjenötter.</v>
      </c>
      <c r="AK16" s="17" t="str">
        <f ca="1">IFERROR(__xludf.DUMMYFUNCTION("GOOGLETRANSLATE(W16, ""en"", ""sv"")"),"Jag föredrar att använda lammkebab i indiska kebaber snarare än kalvkött. Om du bor i Sverige, gå till butiker som säljer lamm och be dem skära av bogen och mala den, med fettet i, till en fin kebab på köttkvarnens finsil två gånger. Du kommer att få den "&amp;"mest underbara indiska kebaben.")</f>
        <v>Jag föredrar att använda lammkebab i indiska kebaber snarare än kalvkött. Om du bor i Sverige, gå till butiker som säljer lamm och be dem skära av bogen och mala den, med fettet i, till en fin kebab på köttkvarnens finsil två gånger. Du kommer att få den mest underbara indiska kebaben.</v>
      </c>
      <c r="AL16" s="17" t="str">
        <f ca="1">IFERROR(__xludf.DUMMYFUNCTION("GOOGLETRANSLATE(X16, ""en"", ""sv"")"),"bilder/Kebab_Hendi.jpeg")</f>
        <v>bilder/Kebab_Hendi.jpeg</v>
      </c>
      <c r="AM16" s="17" t="str">
        <f ca="1">IFERROR(__xludf.DUMMYFUNCTION("GOOGLETRANSLATE(Y16, ""en"", ""sv"")"),"#VALUE!")</f>
        <v>#VALUE!</v>
      </c>
      <c r="AN16" s="17" t="str">
        <f ca="1">IFERROR(__xludf.DUMMYFUNCTION("GOOGLETRANSLATE(Z16, ""en"", ""sv"")"),"#VALUE!")</f>
        <v>#VALUE!</v>
      </c>
      <c r="AO16" s="17" t="str">
        <f ca="1">IFERROR(__xludf.DUMMYFUNCTION("GOOGLETRANSLATE(AA16, ""en"", ""sv"")"),"#VALUE!")</f>
        <v>#VALUE!</v>
      </c>
      <c r="AP16" s="17" t="str">
        <f ca="1">IFERROR(__xludf.DUMMYFUNCTION("GOOGLETRANSLATE(AB16, ""en"", ""sv"")"),"#VALUE!")</f>
        <v>#VALUE!</v>
      </c>
      <c r="AQ16" s="17"/>
    </row>
    <row r="17" spans="1:43" ht="14.25" customHeight="1" x14ac:dyDescent="0.3">
      <c r="A17" s="8" t="s">
        <v>146</v>
      </c>
      <c r="B17" s="9" t="s">
        <v>140</v>
      </c>
      <c r="C17" s="21" t="s">
        <v>147</v>
      </c>
      <c r="D17" s="21" t="s">
        <v>113</v>
      </c>
      <c r="E17" s="10" t="s">
        <v>148</v>
      </c>
      <c r="F17" s="21" t="s">
        <v>149</v>
      </c>
      <c r="G17" s="22" t="s">
        <v>97</v>
      </c>
      <c r="H17" s="22" t="s">
        <v>136</v>
      </c>
      <c r="I17" s="21" t="s">
        <v>150</v>
      </c>
      <c r="J17" s="23" t="s">
        <v>151</v>
      </c>
      <c r="K17" s="24"/>
      <c r="L17" s="25"/>
      <c r="M17" s="25"/>
      <c r="N17" s="25"/>
      <c r="O17" s="14" t="str">
        <f t="shared" si="0"/>
        <v>16</v>
      </c>
      <c r="P17" s="15" t="str">
        <f ca="1">IFERROR(__xludf.DUMMYFUNCTION("GOOGLETRANSLATE(B17, ""ar"", ""en"")"),"meat")</f>
        <v>meat</v>
      </c>
      <c r="Q17" s="15" t="str">
        <f ca="1">IFERROR(__xludf.DUMMYFUNCTION("GOOGLETRANSLATE(C17, ""ar"", ""en"")"),"Daoud Pasha")</f>
        <v>Daoud Pasha</v>
      </c>
      <c r="R17" s="15" t="str">
        <f ca="1">IFERROR(__xludf.DUMMYFUNCTION("GOOGLETRANSLATE(D17, ""ar"", ""en"")"),"an hour and a half")</f>
        <v>an hour and a half</v>
      </c>
      <c r="S17" s="15" t="str">
        <f ca="1">IFERROR(__xludf.DUMMYFUNCTION("GOOGLETRANSLATE(E17, ""ar"", ""en"")"),"• 1 kg finely ground lamb kebab (20% fat)
• 2 medium onions (300 g each), one finely chopped and the other sliced
• 1/2 tbsp salt
• 1 tsp black pepper
• 2 tbsp flour
• Sauce ingredients:
• 2 medium onions, sliced
• 1/2 kg fresh tomato juice
• 2 tbsp tomat"&amp;"o paste
• 4 tbsp pomegranate molasses
• 3 tbsp ghee
• Pine nuts or almonds")</f>
        <v>• 1 kg finely ground lamb kebab (20% fat)
• 2 medium onions (300 g each), one finely chopped and the other sliced
• 1/2 tbsp salt
• 1 tsp black pepper
• 2 tbsp flour
• Sauce ingredients:
• 2 medium onions, sliced
• 1/2 kg fresh tomato juice
• 2 tbsp tomato paste
• 4 tbsp pomegranate molasses
• 3 tbsp ghee
• Pine nuts or almonds</v>
      </c>
      <c r="T17" s="15" t="str">
        <f ca="1">IFERROR(__xludf.DUMMYFUNCTION("GOOGLETRANSLATE(F17, ""ar"", ""en"")"),"In a baking dish, mix the meat with the onion, spices, and flour. Knead well. If you have a meat grinder, you can use the fine grinding setting. Leave it in the refrigerator for an hour or more.
In a deep pan, heat the ghee over medium heat. Then, add th"&amp;"e meatballs to the pan and fry them until golden brown and firm. Set them aside.
In the same pan and ghee used to fry the meatballs, fry the sliced ​​onions until softened. Then, add the tomato paste and tomato juice.
Once the sauce boils, add the meatb"&amp;"alls and the fried potato cubes. Let it simmer uncovered over low heat for half an hour, or until it reaches your desired thickness. Add half a teaspoon of black pepper and pomegranate molasses, and let it cook for another 5 minutes to allow the flavors t"&amp;"o meld.")</f>
        <v>In a baking dish, mix the meat with the onion, spices, and flour. Knead well. If you have a meat grinder, you can use the fine grinding setting. Leave it in the refrigerator for an hour or more.
In a deep pan, heat the ghee over medium heat. Then, add the meatballs to the pan and fry them until golden brown and firm. Set them aside.
In the same pan and ghee used to fry the meatballs, fry the sliced ​​onions until softened. Then, add the tomato paste and tomato juice.
Once the sauce boils, add the meatballs and the fried potato cubes. Let it simmer uncovered over low heat for half an hour, or until it reaches your desired thickness. Add half a teaspoon of black pepper and pomegranate molasses, and let it cook for another 5 minutes to allow the flavors to meld.</v>
      </c>
      <c r="U17" s="15" t="str">
        <f ca="1">IFERROR(__xludf.DUMMYFUNCTION("GOOGLETRANSLATE(G17, ""ar"", ""en"")"),"6 people")</f>
        <v>6 people</v>
      </c>
      <c r="V17" s="15" t="str">
        <f ca="1">IFERROR(__xludf.DUMMYFUNCTION("GOOGLETRANSLATE(H17, ""ar"", ""en"")"),"Sprinkle with black pepper and chopped parsley or toasted pine nuts.")</f>
        <v>Sprinkle with black pepper and chopped parsley or toasted pine nuts.</v>
      </c>
      <c r="W17" s="15" t="str">
        <f ca="1">IFERROR(__xludf.DUMMYFUNCTION("GOOGLETRANSLATE(I17, ""ar"", ""en"")"),"Many people add pomegranate molasses to the dish before it thickens, but boiling pomegranate molasses can give a bitter taste if it is exposed to heat for too long; adding black pepper to the dish after cooking is finished releases a wonderful aroma.")</f>
        <v>Many people add pomegranate molasses to the dish before it thickens, but boiling pomegranate molasses can give a bitter taste if it is exposed to heat for too long; adding black pepper to the dish after cooking is finished releases a wonderful aroma.</v>
      </c>
      <c r="X17" s="15" t="str">
        <f ca="1">IFERROR(__xludf.DUMMYFUNCTION("GOOGLETRANSLATE(J17, ""ar"", ""en"")"),"images/Dawood_Basha.jpg")</f>
        <v>images/Dawood_Basha.jpg</v>
      </c>
      <c r="Y17" s="15" t="str">
        <f ca="1">IFERROR(__xludf.DUMMYFUNCTION("GOOGLETRANSLATE(K17, ""ar"", ""en"")"),"#VALUE!")</f>
        <v>#VALUE!</v>
      </c>
      <c r="Z17" s="15" t="str">
        <f ca="1">IFERROR(__xludf.DUMMYFUNCTION("GOOGLETRANSLATE(L17, ""ar"", ""en"")"),"#VALUE!")</f>
        <v>#VALUE!</v>
      </c>
      <c r="AA17" s="15" t="str">
        <f ca="1">IFERROR(__xludf.DUMMYFUNCTION("GOOGLETRANSLATE(M17, ""ar"", ""en"")"),"#VALUE!")</f>
        <v>#VALUE!</v>
      </c>
      <c r="AB17" s="15" t="str">
        <f ca="1">IFERROR(__xludf.DUMMYFUNCTION("GOOGLETRANSLATE(N17, ""ar"", ""en"")"),"#VALUE!")</f>
        <v>#VALUE!</v>
      </c>
      <c r="AC17" s="16" t="str">
        <f t="shared" si="1"/>
        <v>16</v>
      </c>
      <c r="AD17" s="17" t="str">
        <f ca="1">IFERROR(__xludf.DUMMYFUNCTION("GOOGLETRANSLATE(P17, ""en"", ""sv"")"),"kött")</f>
        <v>kött</v>
      </c>
      <c r="AE17" s="17" t="str">
        <f ca="1">IFERROR(__xludf.DUMMYFUNCTION("GOOGLETRANSLATE(Q17, ""en"", ""sv"")"),"Daoud Pasha")</f>
        <v>Daoud Pasha</v>
      </c>
      <c r="AF17" s="17" t="str">
        <f ca="1">IFERROR(__xludf.DUMMYFUNCTION("GOOGLETRANSLATE(R17, ""en"", ""sv"")"),"en och en halv timme")</f>
        <v>en och en halv timme</v>
      </c>
      <c r="AG17" s="17" t="str">
        <f ca="1">IFERROR(__xludf.DUMMYFUNCTION("GOOGLETRANSLATE(S17, ""en"", ""sv"")"),"• 1 kg finmalen lammkebab (20 % fett)
• 2 medelstora lökar (300 g styck), en finhackad och den andra skivad
• 1/2 msk salt
• 1 tsk svartpeppar
• 2 msk mjöl
• Ingredienser till såsen:
• 2 medelstora lökar, skivade
• 1/2 kg färsk tomatjuice
• 2 msk tomatpur"&amp;"é
• 4 msk granatäpplemelass
• 3 msk ghee
• Pinjenötter eller mandlar")</f>
        <v>• 1 kg finmalen lammkebab (20 % fett)
• 2 medelstora lökar (300 g styck), en finhackad och den andra skivad
• 1/2 msk salt
• 1 tsk svartpeppar
• 2 msk mjöl
• Ingredienser till såsen:
• 2 medelstora lökar, skivade
• 1/2 kg färsk tomatjuice
• 2 msk tomatpuré
• 4 msk granatäpplemelass
• 3 msk ghee
• Pinjenötter eller mandlar</v>
      </c>
      <c r="AH17" s="17" t="str">
        <f ca="1">IFERROR(__xludf.DUMMYFUNCTION("GOOGLETRANSLATE(T17, ""en"", ""sv"")"),"Blanda köttet med lök, kryddor och mjöl i en ugnsform. Knåda väl. Om du har en köttkvarn kan du använda finmalningsläget. Låt det stå i kylskåpet i en timme eller mer.
Värm ghee i en djup panna på medelvärme. Lägg sedan köttbullarna i pannan och stek dem"&amp;" tills de är gyllenbruna och fasta. Ställ dem åt sidan.
I samma panna och ghee som används för att steka köttbullarna, stek de skivade löken tills de mjuknat. Tillsätt sedan tomatpuré och tomatjuice.
När såsen kokar, tillsätt köttbullarna och de stekta "&amp;"potatistärningarna. Låt det sjuda utan lock på låg värme i en halvtimme, eller tills det når önskad tjocklek. Tillsätt en halv tesked svartpeppar och granatäpplemelass och låt det koka i ytterligare 5 minuter så att smakerna smälter samman.")</f>
        <v>Blanda köttet med lök, kryddor och mjöl i en ugnsform. Knåda väl. Om du har en köttkvarn kan du använda finmalningsläget. Låt det stå i kylskåpet i en timme eller mer.
Värm ghee i en djup panna på medelvärme. Lägg sedan köttbullarna i pannan och stek dem tills de är gyllenbruna och fasta. Ställ dem åt sidan.
I samma panna och ghee som används för att steka köttbullarna, stek de skivade löken tills de mjuknat. Tillsätt sedan tomatpuré och tomatjuice.
När såsen kokar, tillsätt köttbullarna och de stekta potatistärningarna. Låt det sjuda utan lock på låg värme i en halvtimme, eller tills det når önskad tjocklek. Tillsätt en halv tesked svartpeppar och granatäpplemelass och låt det koka i ytterligare 5 minuter så att smakerna smälter samman.</v>
      </c>
      <c r="AI17" s="17" t="str">
        <f ca="1">IFERROR(__xludf.DUMMYFUNCTION("GOOGLETRANSLATE(U17, ""en"", ""sv"")"),"6 personer")</f>
        <v>6 personer</v>
      </c>
      <c r="AJ17" s="17" t="str">
        <f ca="1">IFERROR(__xludf.DUMMYFUNCTION("GOOGLETRANSLATE(V17, ""en"", ""sv"")"),"Strö över svartpeppar och hackad persilja eller rostade pinjenötter.")</f>
        <v>Strö över svartpeppar och hackad persilja eller rostade pinjenötter.</v>
      </c>
      <c r="AK17" s="17" t="str">
        <f ca="1">IFERROR(__xludf.DUMMYFUNCTION("GOOGLETRANSLATE(W17, ""en"", ""sv"")"),"Många tillsätter granatäpplemelass i rätten innan den tjocknar, men kokande granatäpplemelass kan ge en bitter smak om den utsätts för värme för länge; att tillsätta svartpeppar i rätten efter att tillagningen är klar frigör en underbar arom.")</f>
        <v>Många tillsätter granatäpplemelass i rätten innan den tjocknar, men kokande granatäpplemelass kan ge en bitter smak om den utsätts för värme för länge; att tillsätta svartpeppar i rätten efter att tillagningen är klar frigör en underbar arom.</v>
      </c>
      <c r="AL17" s="17" t="str">
        <f ca="1">IFERROR(__xludf.DUMMYFUNCTION("GOOGLETRANSLATE(X17, ""en"", ""sv"")"),"bilder/Dawood_Basha.jpg")</f>
        <v>bilder/Dawood_Basha.jpg</v>
      </c>
      <c r="AM17" s="17" t="str">
        <f ca="1">IFERROR(__xludf.DUMMYFUNCTION("GOOGLETRANSLATE(Y17, ""en"", ""sv"")"),"#VALUE!")</f>
        <v>#VALUE!</v>
      </c>
      <c r="AN17" s="17" t="str">
        <f ca="1">IFERROR(__xludf.DUMMYFUNCTION("GOOGLETRANSLATE(Z17, ""en"", ""sv"")"),"#VALUE!")</f>
        <v>#VALUE!</v>
      </c>
      <c r="AO17" s="17" t="str">
        <f ca="1">IFERROR(__xludf.DUMMYFUNCTION("GOOGLETRANSLATE(AA17, ""en"", ""sv"")"),"#VALUE!")</f>
        <v>#VALUE!</v>
      </c>
      <c r="AP17" s="17" t="str">
        <f ca="1">IFERROR(__xludf.DUMMYFUNCTION("GOOGLETRANSLATE(AB17, ""en"", ""sv"")"),"#VALUE!")</f>
        <v>#VALUE!</v>
      </c>
      <c r="AQ17" s="17"/>
    </row>
    <row r="18" spans="1:43" ht="14.25" customHeight="1" x14ac:dyDescent="0.3">
      <c r="A18" s="8" t="s">
        <v>152</v>
      </c>
      <c r="B18" s="9" t="s">
        <v>111</v>
      </c>
      <c r="C18" s="21" t="s">
        <v>153</v>
      </c>
      <c r="D18" s="21" t="s">
        <v>113</v>
      </c>
      <c r="E18" s="10" t="s">
        <v>154</v>
      </c>
      <c r="F18" s="21" t="s">
        <v>155</v>
      </c>
      <c r="G18" s="22" t="s">
        <v>97</v>
      </c>
      <c r="H18" s="22" t="s">
        <v>156</v>
      </c>
      <c r="I18" s="21" t="s">
        <v>157</v>
      </c>
      <c r="J18" s="23" t="s">
        <v>158</v>
      </c>
      <c r="K18" s="24"/>
      <c r="L18" s="25"/>
      <c r="M18" s="25"/>
      <c r="N18" s="25"/>
      <c r="O18" s="14" t="str">
        <f t="shared" si="0"/>
        <v>17</v>
      </c>
      <c r="P18" s="15" t="str">
        <f ca="1">IFERROR(__xludf.DUMMYFUNCTION("GOOGLETRANSLATE(B18, ""ar"", ""en"")"),"vegetables")</f>
        <v>vegetables</v>
      </c>
      <c r="Q18" s="15" t="str">
        <f ca="1">IFERROR(__xludf.DUMMYFUNCTION("GOOGLETRANSLATE(C18, ""ar"", ""en"")"),"Tanboura (Boulder with Beans)")</f>
        <v>Tanboura (Boulder with Beans)</v>
      </c>
      <c r="R18" s="15" t="str">
        <f ca="1">IFERROR(__xludf.DUMMYFUNCTION("GOOGLETRANSLATE(D18, ""ar"", ""en"")"),"an hour and a half")</f>
        <v>an hour and a half</v>
      </c>
      <c r="S18" s="15" t="str">
        <f ca="1">IFERROR(__xludf.DUMMYFUNCTION("GOOGLETRANSLATE(E18, ""ar"", ""en"")"),"• 2 kg Swiss chard
• 250 g dried kidney beans
• 500 g ground meat
• 2 tablespoons minced garlic
• 1 tablespoon ground coriander
• 1 tablespoon red pepper paste or 2 tablespoons finely ground paprika
• 3 tablespoons ghee
• 1 tablespoon ground coriander
• 1"&amp;" tablespoon black pepper")</f>
        <v>• 2 kg Swiss chard
• 250 g dried kidney beans
• 500 g ground meat
• 2 tablespoons minced garlic
• 1 tablespoon ground coriander
• 1 tablespoon red pepper paste or 2 tablespoons finely ground paprika
• 3 tablespoons ghee
• 1 tablespoon ground coriander
• 1 tablespoon black pepper</v>
      </c>
      <c r="T18" s="15" t="str">
        <f ca="1">IFERROR(__xludf.DUMMYFUNCTION("GOOGLETRANSLATE(F18, ""ar"", ""en"")"),"The day before, soak the green beans with a quarter teaspoon of baking soda or baking powder.
Brush the tops of the Swiss chard to ensure there are no tough veins. Cut the chard in half and chop it into medium-sized pieces.
Soak the Swiss chard in cold "&amp;"water for 15 minutes, making sure it's completely submerged. Remove the chard from the water by hand, starting from the top, as dirt settles at the bottom. Don't drain the chard all at once in the colander; remove it from the top until you reach the last "&amp;"piece. Run water over the chard while it's in the colander to rinse away any remaining dirt, or soak it again by submerging it in water and then removing it.
In a suitable, deep pot, place the Swiss chard with one or two cups of water and bring it to a b"&amp;"oil. Once boiling, stir the tops and bottoms to ensure even heating. When the chard is wilted, drain it in the colander without squeezing it.
Rinse the beans thoroughly to remove any carbonation, cover them with water, and cook until tender. This takes a"&amp;"pproximately half an hour, depending on the type of beans. They should be completely soft and pliable. Drain the water and set aside.
Place the meat in a deep pot and add the ghee. Heat it, then sauté the garlic until golden brown. Add the ground coriand"&amp;"er and fry for two minutes. Cover the pot and simmer over low heat for half an hour, or until the meat is cooked through. Ensure the water has evaporated; if not, uncover the pot and cook for another 10 minutes.
Now add the chard and beans to the meat an"&amp;"d garlic mixture. Stir well, then add the bell pepper, salt, and black pepper. Cover the pot and cook for another half hour. Add more black pepper, stir well, and cook for another 5 minutes. The dish is now ready. If the mixture seems too dry, add half a "&amp;"cup of boiling water to help the flavors meld.")</f>
        <v>The day before, soak the green beans with a quarter teaspoon of baking soda or baking powder.
Brush the tops of the Swiss chard to ensure there are no tough veins. Cut the chard in half and chop it into medium-sized pieces.
Soak the Swiss chard in cold water for 15 minutes, making sure it's completely submerged. Remove the chard from the water by hand, starting from the top, as dirt settles at the bottom. Don't drain the chard all at once in the colander; remove it from the top until you reach the last piece. Run water over the chard while it's in the colander to rinse away any remaining dirt, or soak it again by submerging it in water and then removing it.
In a suitable, deep pot, place the Swiss chard with one or two cups of water and bring it to a boil. Once boiling, stir the tops and bottoms to ensure even heating. When the chard is wilted, drain it in the colander without squeezing it.
Rinse the beans thoroughly to remove any carbonation, cover them with water, and cook until tender. This takes approximately half an hour, depending on the type of beans. They should be completely soft and pliable. Drain the water and set aside.
Place the meat in a deep pot and add the ghee. Heat it, then sauté the garlic until golden brown. Add the ground coriander and fry for two minutes. Cover the pot and simmer over low heat for half an hour, or until the meat is cooked through. Ensure the water has evaporated; if not, uncover the pot and cook for another 10 minutes.
Now add the chard and beans to the meat and garlic mixture. Stir well, then add the bell pepper, salt, and black pepper. Cover the pot and cook for another half hour. Add more black pepper, stir well, and cook for another 5 minutes. The dish is now ready. If the mixture seems too dry, add half a cup of boiling water to help the flavors meld.</v>
      </c>
      <c r="U18" s="15" t="str">
        <f ca="1">IFERROR(__xludf.DUMMYFUNCTION("GOOGLETRANSLATE(G18, ""ar"", ""en"")"),"6 people")</f>
        <v>6 people</v>
      </c>
      <c r="V18" s="15" t="str">
        <f ca="1">IFERROR(__xludf.DUMMYFUNCTION("GOOGLETRANSLATE(H18, ""ar"", ""en"")"),"Sprinkle red pepper on top")</f>
        <v>Sprinkle red pepper on top</v>
      </c>
      <c r="W18" s="15" t="str">
        <f ca="1">IFERROR(__xludf.DUMMYFUNCTION("GOOGLETRANSLATE(I18, ""ar"", ""en"")"),"I consider this dish to be one of the best for boosting the body's energy, and it contains wonderful nutrients, so don't stop eating it in winter because it provides warmth and fullness.")</f>
        <v>I consider this dish to be one of the best for boosting the body's energy, and it contains wonderful nutrients, so don't stop eating it in winter because it provides warmth and fullness.</v>
      </c>
      <c r="X18" s="15" t="str">
        <f ca="1">IFERROR(__xludf.DUMMYFUNCTION("GOOGLETRANSLATE(J18, ""ar"", ""en"")"),"images/Tanboura.jpg")</f>
        <v>images/Tanboura.jpg</v>
      </c>
      <c r="Y18" s="15" t="str">
        <f ca="1">IFERROR(__xludf.DUMMYFUNCTION("GOOGLETRANSLATE(K18, ""ar"", ""en"")"),"#VALUE!")</f>
        <v>#VALUE!</v>
      </c>
      <c r="Z18" s="15" t="str">
        <f ca="1">IFERROR(__xludf.DUMMYFUNCTION("GOOGLETRANSLATE(L18, ""ar"", ""en"")"),"#VALUE!")</f>
        <v>#VALUE!</v>
      </c>
      <c r="AA18" s="15" t="str">
        <f ca="1">IFERROR(__xludf.DUMMYFUNCTION("GOOGLETRANSLATE(M18, ""ar"", ""en"")"),"#VALUE!")</f>
        <v>#VALUE!</v>
      </c>
      <c r="AB18" s="15" t="str">
        <f ca="1">IFERROR(__xludf.DUMMYFUNCTION("GOOGLETRANSLATE(N18, ""ar"", ""en"")"),"#VALUE!")</f>
        <v>#VALUE!</v>
      </c>
      <c r="AC18" s="16" t="str">
        <f t="shared" si="1"/>
        <v>17</v>
      </c>
      <c r="AD18" s="17" t="str">
        <f ca="1">IFERROR(__xludf.DUMMYFUNCTION("GOOGLETRANSLATE(P18, ""en"", ""sv"")"),"grönsaker")</f>
        <v>grönsaker</v>
      </c>
      <c r="AE18" s="17" t="str">
        <f ca="1">IFERROR(__xludf.DUMMYFUNCTION("GOOGLETRANSLATE(Q18, ""en"", ""sv"")"),"Tanboura (Stenblock med bönor)")</f>
        <v>Tanboura (Stenblock med bönor)</v>
      </c>
      <c r="AF18" s="17" t="str">
        <f ca="1">IFERROR(__xludf.DUMMYFUNCTION("GOOGLETRANSLATE(R18, ""en"", ""sv"")"),"en och en halv timme")</f>
        <v>en och en halv timme</v>
      </c>
      <c r="AG18" s="17" t="str">
        <f ca="1">IFERROR(__xludf.DUMMYFUNCTION("GOOGLETRANSLATE(S18, ""en"", ""sv"")"),"• 2 kg mangold
• 250 g torkade kidneybönor
• 500 g köttfärs
• 2 msk hackad vitlök
• 1 msk malen koriander
• 1 msk röd paprikapasta eller 2 msk finmalen paprika
• 3 msk ghee
• 1 msk malen koriander
• 1 msk svartpeppar")</f>
        <v>• 2 kg mangold
• 250 g torkade kidneybönor
• 500 g köttfärs
• 2 msk hackad vitlök
• 1 msk malen koriander
• 1 msk röd paprikapasta eller 2 msk finmalen paprika
• 3 msk ghee
• 1 msk malen koriander
• 1 msk svartpeppar</v>
      </c>
      <c r="AH18" s="17" t="str">
        <f ca="1">IFERROR(__xludf.DUMMYFUNCTION("GOOGLETRANSLATE(T18, ""en"", ""sv"")"),"Dagen innan, blötlägg de gröna bönorna med en kvarts tesked bikarbonat eller bakpulver.
Pensla toppen av mangolden för att säkerställa att det inte finns några hårda ådror. Skär mangolden på mitten och hacka den i medelstora bitar.
Blötlägg mangolden i "&amp;"kallt vatten i 15 minuter och se till att den är helt nedsänkt. Ta upp mangolden ur vattnet för hand, börja från toppen, eftersom smutsen lägger sig i botten. Häll inte av hela mangolden på en gång i durkslaget; ta bort den från toppen tills du når den si"&amp;"sta biten. Låt vatten rinna över mangolden medan den är i durkslaget för att skölja bort eventuell kvarvarande smuts, eller blötlägg den igen genom att sänka ner den i vatten och sedan ta bort den.
I en lämplig, djup kastrull, lägg mangolden med en eller"&amp;" två koppar vatten och koka upp. När det kokar, rör om i topp och botten för att säkerställa jämn uppvärmning. När mangolden har vissnat, häll av den i durkslaget utan att klämma på den.
Skölj bönorna noggrant för att ta bort eventuell kolsyra, täck dem "&amp;"med vatten och koka tills de är mjuka. Detta tar ungefär en halvtimme, beroende på vilken typ av bönor det är. De ska vara helt mjuka och smidiga. Häll av vattnet och ställ åt sidan.
Lägg köttet i en djup kastrull och tillsätt ghee. Värm det, fräs sedan "&amp;"vitlöken tills den är gyllenbrun. Tillsätt malen koriander och stek i två minuter. Täck över kastrullen och låt sjuda på låg värme i en halvtimme, eller tills köttet är genomkokt. Se till att vattnet har avdunstat; om inte, ta locket på kastrullen och kok"&amp;"a i ytterligare 10 minuter.
Tillsätt nu mangold och bönor till kött- och vitlöksblandningen. Rör om väl, tillsätt sedan paprika, salt och svartpeppar. Täck över kastrullen och koka i ytterligare en halvtimme. Tillsätt mer svartpeppar, rör om väl och koka"&amp;" i ytterligare 5 minuter. Rätten är nu klar. Om blandningen verkar för torr, tillsätt en halv kopp kokande vatten för att hjälpa smakerna att smälta samman.")</f>
        <v>Dagen innan, blötlägg de gröna bönorna med en kvarts tesked bikarbonat eller bakpulver.
Pensla toppen av mangolden för att säkerställa att det inte finns några hårda ådror. Skär mangolden på mitten och hacka den i medelstora bitar.
Blötlägg mangolden i kallt vatten i 15 minuter och se till att den är helt nedsänkt. Ta upp mangolden ur vattnet för hand, börja från toppen, eftersom smutsen lägger sig i botten. Häll inte av hela mangolden på en gång i durkslaget; ta bort den från toppen tills du når den sista biten. Låt vatten rinna över mangolden medan den är i durkslaget för att skölja bort eventuell kvarvarande smuts, eller blötlägg den igen genom att sänka ner den i vatten och sedan ta bort den.
I en lämplig, djup kastrull, lägg mangolden med en eller två koppar vatten och koka upp. När det kokar, rör om i topp och botten för att säkerställa jämn uppvärmning. När mangolden har vissnat, häll av den i durkslaget utan att klämma på den.
Skölj bönorna noggrant för att ta bort eventuell kolsyra, täck dem med vatten och koka tills de är mjuka. Detta tar ungefär en halvtimme, beroende på vilken typ av bönor det är. De ska vara helt mjuka och smidiga. Häll av vattnet och ställ åt sidan.
Lägg köttet i en djup kastrull och tillsätt ghee. Värm det, fräs sedan vitlöken tills den är gyllenbrun. Tillsätt malen koriander och stek i två minuter. Täck över kastrullen och låt sjuda på låg värme i en halvtimme, eller tills köttet är genomkokt. Se till att vattnet har avdunstat; om inte, ta locket på kastrullen och koka i ytterligare 10 minuter.
Tillsätt nu mangold och bönor till kött- och vitlöksblandningen. Rör om väl, tillsätt sedan paprika, salt och svartpeppar. Täck över kastrullen och koka i ytterligare en halvtimme. Tillsätt mer svartpeppar, rör om väl och koka i ytterligare 5 minuter. Rätten är nu klar. Om blandningen verkar för torr, tillsätt en halv kopp kokande vatten för att hjälpa smakerna att smälta samman.</v>
      </c>
      <c r="AI18" s="17" t="str">
        <f ca="1">IFERROR(__xludf.DUMMYFUNCTION("GOOGLETRANSLATE(U18, ""en"", ""sv"")"),"6 personer")</f>
        <v>6 personer</v>
      </c>
      <c r="AJ18" s="17" t="str">
        <f ca="1">IFERROR(__xludf.DUMMYFUNCTION("GOOGLETRANSLATE(V18, ""en"", ""sv"")"),"Strö röd paprika över")</f>
        <v>Strö röd paprika över</v>
      </c>
      <c r="AK18" s="17" t="str">
        <f ca="1">IFERROR(__xludf.DUMMYFUNCTION("GOOGLETRANSLATE(W18, ""en"", ""sv"")"),"Jag anser att den här rätten är en av de bästa för att öka kroppens energi, och den innehåller underbara näringsämnen, så sluta inte äta den på vintern eftersom den ger värme och mättnad.")</f>
        <v>Jag anser att den här rätten är en av de bästa för att öka kroppens energi, och den innehåller underbara näringsämnen, så sluta inte äta den på vintern eftersom den ger värme och mättnad.</v>
      </c>
      <c r="AL18" s="17" t="str">
        <f ca="1">IFERROR(__xludf.DUMMYFUNCTION("GOOGLETRANSLATE(X18, ""en"", ""sv"")"),"bilder/Tanboura.jpg")</f>
        <v>bilder/Tanboura.jpg</v>
      </c>
      <c r="AM18" s="17" t="str">
        <f ca="1">IFERROR(__xludf.DUMMYFUNCTION("GOOGLETRANSLATE(Y18, ""en"", ""sv"")"),"#VALUE!")</f>
        <v>#VALUE!</v>
      </c>
      <c r="AN18" s="17" t="str">
        <f ca="1">IFERROR(__xludf.DUMMYFUNCTION("GOOGLETRANSLATE(Z18, ""en"", ""sv"")"),"#VALUE!")</f>
        <v>#VALUE!</v>
      </c>
      <c r="AO18" s="17" t="str">
        <f ca="1">IFERROR(__xludf.DUMMYFUNCTION("GOOGLETRANSLATE(AA18, ""en"", ""sv"")"),"#VALUE!")</f>
        <v>#VALUE!</v>
      </c>
      <c r="AP18" s="17" t="str">
        <f ca="1">IFERROR(__xludf.DUMMYFUNCTION("GOOGLETRANSLATE(AB18, ""en"", ""sv"")"),"#VALUE!")</f>
        <v>#VALUE!</v>
      </c>
      <c r="AQ18" s="17"/>
    </row>
    <row r="19" spans="1:43" ht="14.25" customHeight="1" x14ac:dyDescent="0.3">
      <c r="A19" s="8" t="s">
        <v>159</v>
      </c>
      <c r="B19" s="9" t="s">
        <v>111</v>
      </c>
      <c r="C19" s="21" t="s">
        <v>160</v>
      </c>
      <c r="D19" s="21" t="s">
        <v>161</v>
      </c>
      <c r="E19" s="21" t="s">
        <v>162</v>
      </c>
      <c r="F19" s="21" t="s">
        <v>163</v>
      </c>
      <c r="G19" s="26"/>
      <c r="H19" s="22" t="s">
        <v>164</v>
      </c>
      <c r="I19" s="21" t="s">
        <v>165</v>
      </c>
      <c r="J19" s="23" t="s">
        <v>166</v>
      </c>
      <c r="K19" s="24"/>
      <c r="L19" s="25"/>
      <c r="M19" s="25"/>
      <c r="N19" s="25"/>
      <c r="O19" s="14" t="str">
        <f t="shared" si="0"/>
        <v>18</v>
      </c>
      <c r="P19" s="15" t="str">
        <f ca="1">IFERROR(__xludf.DUMMYFUNCTION("GOOGLETRANSLATE(B19, ""ar"", ""en"")"),"vegetables")</f>
        <v>vegetables</v>
      </c>
      <c r="Q19" s="15" t="str">
        <f ca="1">IFERROR(__xludf.DUMMYFUNCTION("GOOGLETRANSLATE(C19, ""ar"", ""en"")"),"Spinach with meat")</f>
        <v>Spinach with meat</v>
      </c>
      <c r="R19" s="15" t="str">
        <f ca="1">IFERROR(__xludf.DUMMYFUNCTION("GOOGLETRANSLATE(D19, ""ar"", ""en"")"),"hour")</f>
        <v>hour</v>
      </c>
      <c r="S19" s="15" t="str">
        <f ca="1">IFERROR(__xludf.DUMMYFUNCTION("GOOGLETRANSLATE(E19, ""ar"", ""en"")"),"3 kg fresh spinach, half a kilo of 20% fat minced meat, 3 tablespoons of ghee, 2 tablespoons of crushed garlic, 1 tablespoon of dried coriander, 1 tablespoon of black pepper.")</f>
        <v>3 kg fresh spinach, half a kilo of 20% fat minced meat, 3 tablespoons of ghee, 2 tablespoons of crushed garlic, 1 tablespoon of dried coriander, 1 tablespoon of black pepper.</v>
      </c>
      <c r="T19" s="15" t="str">
        <f ca="1">IFERROR(__xludf.DUMMYFUNCTION("GOOGLETRANSLATE(F19, ""ar"", ""en"")"),"Chop the spinach into medium-sized pieces, wash it, and place it in a pot with a little water. Cover and let it boil for just 5 minutes, stirring occasionally to ensure it's all heated through. Drain the spinach in a colander without squeezing it. In a se"&amp;"parate pan, heat the ghee and sauté the garlic until golden brown. Add the coriander and cook for another 3 minutes. Now, add the meat to the mixture, breaking it up and breaking it up. Cover and cook over low heat for half an hour. Place the strained spi"&amp;"nach over the cooked meat, which should be tender and dry. Stir the spinach into the meat to distribute it evenly, cover, and bring it to a boil. Then reduce the heat and simmer for another half hour.
Serve the spinach with a side of white rice.")</f>
        <v>Chop the spinach into medium-sized pieces, wash it, and place it in a pot with a little water. Cover and let it boil for just 5 minutes, stirring occasionally to ensure it's all heated through. Drain the spinach in a colander without squeezing it. In a separate pan, heat the ghee and sauté the garlic until golden brown. Add the coriander and cook for another 3 minutes. Now, add the meat to the mixture, breaking it up and breaking it up. Cover and cook over low heat for half an hour. Place the strained spinach over the cooked meat, which should be tender and dry. Stir the spinach into the meat to distribute it evenly, cover, and bring it to a boil. Then reduce the heat and simmer for another half hour.
Serve the spinach with a side of white rice.</v>
      </c>
      <c r="U19" s="15" t="str">
        <f ca="1">IFERROR(__xludf.DUMMYFUNCTION("GOOGLETRANSLATE(G19, ""ar"", ""en"")"),"#VALUE!")</f>
        <v>#VALUE!</v>
      </c>
      <c r="V19" s="15" t="str">
        <f ca="1">IFERROR(__xludf.DUMMYFUNCTION("GOOGLETRANSLATE(H19, ""ar"", ""en"")"),"Sprinkle black pepper on top")</f>
        <v>Sprinkle black pepper on top</v>
      </c>
      <c r="W19" s="15" t="str">
        <f ca="1">IFERROR(__xludf.DUMMYFUNCTION("GOOGLETRANSLATE(I19, ""ar"", ""en"")"),"In Aleppo, women squeeze the spinach after boiling it, which causes it to lose almost all its nutritional value; gradually reducing the heat from high to low gives it a different flavor and cooking time.")</f>
        <v>In Aleppo, women squeeze the spinach after boiling it, which causes it to lose almost all its nutritional value; gradually reducing the heat from high to low gives it a different flavor and cooking time.</v>
      </c>
      <c r="X19" s="15" t="str">
        <f ca="1">IFERROR(__xludf.DUMMYFUNCTION("GOOGLETRANSLATE(J19, ""ar"", ""en"")"),"Images/Sabanekh.jpg")</f>
        <v>Images/Sabanekh.jpg</v>
      </c>
      <c r="Y19" s="15" t="str">
        <f ca="1">IFERROR(__xludf.DUMMYFUNCTION("GOOGLETRANSLATE(K19, ""ar"", ""en"")"),"#VALUE!")</f>
        <v>#VALUE!</v>
      </c>
      <c r="Z19" s="15" t="str">
        <f ca="1">IFERROR(__xludf.DUMMYFUNCTION("GOOGLETRANSLATE(L19, ""ar"", ""en"")"),"#VALUE!")</f>
        <v>#VALUE!</v>
      </c>
      <c r="AA19" s="15" t="str">
        <f ca="1">IFERROR(__xludf.DUMMYFUNCTION("GOOGLETRANSLATE(M19, ""ar"", ""en"")"),"#VALUE!")</f>
        <v>#VALUE!</v>
      </c>
      <c r="AB19" s="15" t="str">
        <f ca="1">IFERROR(__xludf.DUMMYFUNCTION("GOOGLETRANSLATE(N19, ""ar"", ""en"")"),"#VALUE!")</f>
        <v>#VALUE!</v>
      </c>
      <c r="AC19" s="16" t="str">
        <f t="shared" si="1"/>
        <v>18</v>
      </c>
      <c r="AD19" s="17" t="str">
        <f ca="1">IFERROR(__xludf.DUMMYFUNCTION("GOOGLETRANSLATE(P19, ""en"", ""sv"")"),"grönsaker")</f>
        <v>grönsaker</v>
      </c>
      <c r="AE19" s="17" t="str">
        <f ca="1">IFERROR(__xludf.DUMMYFUNCTION("GOOGLETRANSLATE(Q19, ""en"", ""sv"")"),"Spenat med kött")</f>
        <v>Spenat med kött</v>
      </c>
      <c r="AF19" s="17" t="str">
        <f ca="1">IFERROR(__xludf.DUMMYFUNCTION("GOOGLETRANSLATE(R19, ""en"", ""sv"")"),"timme")</f>
        <v>timme</v>
      </c>
      <c r="AG19" s="17" t="str">
        <f ca="1">IFERROR(__xludf.DUMMYFUNCTION("GOOGLETRANSLATE(S19, ""en"", ""sv"")"),"3 kg färsk spenat, ett halvt kilo köttfärs med 20 % fetthalt, 3 matskedar ghee, 2 matskedar krossad vitlök, 1 matsked torkad koriander, 1 matsked svartpeppar.")</f>
        <v>3 kg färsk spenat, ett halvt kilo köttfärs med 20 % fetthalt, 3 matskedar ghee, 2 matskedar krossad vitlök, 1 matsked torkad koriander, 1 matsked svartpeppar.</v>
      </c>
      <c r="AH19" s="17" t="str">
        <f ca="1">IFERROR(__xludf.DUMMYFUNCTION("GOOGLETRANSLATE(T19, ""en"", ""sv"")"),"Hacka spenaten i medelstora bitar, tvätta den och lägg den i en kastrull med lite vatten. Täck över och låt det koka i bara 5 minuter, rör om då och då så att allt är genomvärmt. Häll av spenaten i ett durkslag utan att pressa den. Värm ghee i en separat "&amp;"kastrull och fräs vitlöken tills den är gyllenbrun. Tillsätt koriandern och koka i ytterligare 3 minuter. Tillsätt nu köttet i blandningen, bryt det isär och bryt det isär. Täck över och koka på låg värme i en halvtimme. Lägg den avsilade spenaten över de"&amp;"t tillagade köttet, som ska vara mört och torrt. Rör ner spenaten i köttet för att fördela det jämnt, täck över och koka upp. Sänk sedan värmen och låt sjuda i ytterligare en halvtimme.
Servera spenaten med vitt ris.")</f>
        <v>Hacka spenaten i medelstora bitar, tvätta den och lägg den i en kastrull med lite vatten. Täck över och låt det koka i bara 5 minuter, rör om då och då så att allt är genomvärmt. Häll av spenaten i ett durkslag utan att pressa den. Värm ghee i en separat kastrull och fräs vitlöken tills den är gyllenbrun. Tillsätt koriandern och koka i ytterligare 3 minuter. Tillsätt nu köttet i blandningen, bryt det isär och bryt det isär. Täck över och koka på låg värme i en halvtimme. Lägg den avsilade spenaten över det tillagade köttet, som ska vara mört och torrt. Rör ner spenaten i köttet för att fördela det jämnt, täck över och koka upp. Sänk sedan värmen och låt sjuda i ytterligare en halvtimme.
Servera spenaten med vitt ris.</v>
      </c>
      <c r="AI19" s="17" t="str">
        <f ca="1">IFERROR(__xludf.DUMMYFUNCTION("GOOGLETRANSLATE(U19, ""en"", ""sv"")"),"#VALUE!")</f>
        <v>#VALUE!</v>
      </c>
      <c r="AJ19" s="17" t="str">
        <f ca="1">IFERROR(__xludf.DUMMYFUNCTION("GOOGLETRANSLATE(V19, ""en"", ""sv"")"),"Strö svartpeppar över")</f>
        <v>Strö svartpeppar över</v>
      </c>
      <c r="AK19" s="17" t="str">
        <f ca="1">IFERROR(__xludf.DUMMYFUNCTION("GOOGLETRANSLATE(W19, ""en"", ""sv"")"),"I Aleppo pressar kvinnor spenaten efter att ha kokat den, vilket gör att den förlorar nästan allt sitt näringsvärde; att gradvis minska värmen från hög till låg ger den en annan smak och tillagningstid.")</f>
        <v>I Aleppo pressar kvinnor spenaten efter att ha kokat den, vilket gör att den förlorar nästan allt sitt näringsvärde; att gradvis minska värmen från hög till låg ger den en annan smak och tillagningstid.</v>
      </c>
      <c r="AL19" s="17" t="str">
        <f ca="1">IFERROR(__xludf.DUMMYFUNCTION("GOOGLETRANSLATE(X19, ""en"", ""sv"")"),"Bilder/Sabanekh.jpg")</f>
        <v>Bilder/Sabanekh.jpg</v>
      </c>
      <c r="AM19" s="17" t="str">
        <f ca="1">IFERROR(__xludf.DUMMYFUNCTION("GOOGLETRANSLATE(Y19, ""en"", ""sv"")"),"#VALUE!")</f>
        <v>#VALUE!</v>
      </c>
      <c r="AN19" s="17" t="str">
        <f ca="1">IFERROR(__xludf.DUMMYFUNCTION("GOOGLETRANSLATE(Z19, ""en"", ""sv"")"),"#VALUE!")</f>
        <v>#VALUE!</v>
      </c>
      <c r="AO19" s="17" t="str">
        <f ca="1">IFERROR(__xludf.DUMMYFUNCTION("GOOGLETRANSLATE(AA19, ""en"", ""sv"")"),"#VALUE!")</f>
        <v>#VALUE!</v>
      </c>
      <c r="AP19" s="17" t="str">
        <f ca="1">IFERROR(__xludf.DUMMYFUNCTION("GOOGLETRANSLATE(AB19, ""en"", ""sv"")"),"#VALUE!")</f>
        <v>#VALUE!</v>
      </c>
      <c r="AQ19" s="17"/>
    </row>
    <row r="20" spans="1:43" ht="14.25" customHeight="1" x14ac:dyDescent="0.3">
      <c r="A20" s="8" t="s">
        <v>167</v>
      </c>
      <c r="B20" s="9" t="s">
        <v>168</v>
      </c>
      <c r="C20" s="27" t="s">
        <v>169</v>
      </c>
      <c r="D20" s="27" t="s">
        <v>31</v>
      </c>
      <c r="E20" s="28" t="s">
        <v>170</v>
      </c>
      <c r="F20" s="27" t="s">
        <v>171</v>
      </c>
      <c r="G20" s="29" t="s">
        <v>172</v>
      </c>
      <c r="H20" s="30"/>
      <c r="I20" s="27" t="s">
        <v>173</v>
      </c>
      <c r="J20" s="31" t="s">
        <v>174</v>
      </c>
      <c r="K20" s="32"/>
      <c r="L20" s="25"/>
      <c r="M20" s="25"/>
      <c r="N20" s="25"/>
      <c r="O20" s="14" t="str">
        <f t="shared" si="0"/>
        <v>19</v>
      </c>
      <c r="P20" s="15" t="str">
        <f ca="1">IFERROR(__xludf.DUMMYFUNCTION("GOOGLETRANSLATE(B20, ""ar"", ""en"")"),"Yogurt dishes")</f>
        <v>Yogurt dishes</v>
      </c>
      <c r="Q20" s="15" t="str">
        <f ca="1">IFERROR(__xludf.DUMMYFUNCTION("GOOGLETRANSLATE(C20, ""ar"", ""en"")"),"Arman with milk (Shakriya)")</f>
        <v>Arman with milk (Shakriya)</v>
      </c>
      <c r="R20" s="15" t="str">
        <f ca="1">IFERROR(__xludf.DUMMYFUNCTION("GOOGLETRANSLATE(D20, ""ar"", ""en"")"),"3 hours")</f>
        <v>3 hours</v>
      </c>
      <c r="S20" s="15" t="str">
        <f ca="1">IFERROR(__xludf.DUMMYFUNCTION("GOOGLETRANSLATE(E20, ""ar"", ""en"")"),"• 1 kg lamb on the bone, preferably shanks
• 1.5 kg 10% fat yogurt
• 4 medium onions
• Bay leaves
• 1.5 tablespoons flour
• 2 cinnamon sticks, 10 cardamom pods
• 10 cloves
• 100 g almonds or pine nuts
")</f>
        <v xml:space="preserve">• 1 kg lamb on the bone, preferably shanks
• 1.5 kg 10% fat yogurt
• 4 medium onions
• Bay leaves
• 1.5 tablespoons flour
• 2 cinnamon sticks, 10 cardamom pods
• 10 cloves
• 100 g almonds or pine nuts
</v>
      </c>
      <c r="T20" s="15" t="str">
        <f ca="1">IFERROR(__xludf.DUMMYFUNCTION("GOOGLETRANSLATE(F20, ""ar"", ""en"")"),"Peel and slice the onions. Heat a little oil in a deep pot and add all the whole spices: bay leaves, cinnamon sticks, cardamom pods, and cloves. Fry them for about 5 minutes to release their aroma before adding the meat. Then add the onions and sauté them"&amp;" with the spices for another 5 minutes. Now, place the meat on top of the onions and spices and stir until it is browned and heated through on all sides, about 10 minutes.
Boil 3 liters of water in a kettle and pour it over the meat. Once it boils again,"&amp;" cover the pot and let it simmer for at least two hours over low heat. Check that the meat is cooked to your liking before turning off the heat.
Remove the meat from the broth and set it aside.
Place the yogurt in a deep bowl and sprinkle in the flour. "&amp;"Using a hand mixer, stir in one direction over the highest heat until the yogurt boils. Always have boiling water nearby while cooking. Once the yogurt boils, add half a cup of boiling water and one and a half cups of meat broth. Continue stirring until i"&amp;"t boils again, then reduce the heat and let it simmer for 15 minutes. Add the meat and let it cook for another 15 minutes. Turn off the heat, and your Arman or Shakriya is ready.
Serve it with a side of rice with vermicelli.
You can also use kibbeh made"&amp;" with labneh; it's delicious instead of rice.")</f>
        <v>Peel and slice the onions. Heat a little oil in a deep pot and add all the whole spices: bay leaves, cinnamon sticks, cardamom pods, and cloves. Fry them for about 5 minutes to release their aroma before adding the meat. Then add the onions and sauté them with the spices for another 5 minutes. Now, place the meat on top of the onions and spices and stir until it is browned and heated through on all sides, about 10 minutes.
Boil 3 liters of water in a kettle and pour it over the meat. Once it boils again, cover the pot and let it simmer for at least two hours over low heat. Check that the meat is cooked to your liking before turning off the heat.
Remove the meat from the broth and set it aside.
Place the yogurt in a deep bowl and sprinkle in the flour. Using a hand mixer, stir in one direction over the highest heat until the yogurt boils. Always have boiling water nearby while cooking. Once the yogurt boils, add half a cup of boiling water and one and a half cups of meat broth. Continue stirring until it boils again, then reduce the heat and let it simmer for 15 minutes. Add the meat and let it cook for another 15 minutes. Turn off the heat, and your Arman or Shakriya is ready.
Serve it with a side of rice with vermicelli.
You can also use kibbeh made with labneh; it's delicious instead of rice.</v>
      </c>
      <c r="U20" s="15" t="str">
        <f ca="1">IFERROR(__xludf.DUMMYFUNCTION("GOOGLETRANSLATE(G20, ""ar"", ""en"")"),"Enough for 8 people")</f>
        <v>Enough for 8 people</v>
      </c>
      <c r="V20" s="15" t="str">
        <f ca="1">IFERROR(__xludf.DUMMYFUNCTION("GOOGLETRANSLATE(H20, ""ar"", ""en"")"),"#VALUE!")</f>
        <v>#VALUE!</v>
      </c>
      <c r="W20" s="15" t="str">
        <f ca="1">IFERROR(__xludf.DUMMYFUNCTION("GOOGLETRANSLATE(I20, ""ar"", ""en"")"),"Many women add an egg to the milk so that it does not curdle, but I have found through experience that flour is more homogeneous and cohesive, and when the milk boils, you will find it as smooth as straw without any grains.")</f>
        <v>Many women add an egg to the milk so that it does not curdle, but I have found through experience that flour is more homogeneous and cohesive, and when the milk boils, you will find it as smooth as straw without any grains.</v>
      </c>
      <c r="X20" s="15" t="str">
        <f ca="1">IFERROR(__xludf.DUMMYFUNCTION("GOOGLETRANSLATE(J20, ""ar"", ""en"")"),"images/Arman.jpg")</f>
        <v>images/Arman.jpg</v>
      </c>
      <c r="Y20" s="15" t="str">
        <f ca="1">IFERROR(__xludf.DUMMYFUNCTION("GOOGLETRANSLATE(K20, ""ar"", ""en"")"),"#VALUE!")</f>
        <v>#VALUE!</v>
      </c>
      <c r="Z20" s="15" t="str">
        <f ca="1">IFERROR(__xludf.DUMMYFUNCTION("GOOGLETRANSLATE(L20, ""ar"", ""en"")"),"#VALUE!")</f>
        <v>#VALUE!</v>
      </c>
      <c r="AA20" s="15" t="str">
        <f ca="1">IFERROR(__xludf.DUMMYFUNCTION("GOOGLETRANSLATE(M20, ""ar"", ""en"")"),"#VALUE!")</f>
        <v>#VALUE!</v>
      </c>
      <c r="AB20" s="15" t="str">
        <f ca="1">IFERROR(__xludf.DUMMYFUNCTION("GOOGLETRANSLATE(N20, ""ar"", ""en"")"),"#VALUE!")</f>
        <v>#VALUE!</v>
      </c>
      <c r="AC20" s="16" t="str">
        <f t="shared" si="1"/>
        <v>19</v>
      </c>
      <c r="AD20" s="17" t="str">
        <f ca="1">IFERROR(__xludf.DUMMYFUNCTION("GOOGLETRANSLATE(P20, ""en"", ""sv"")"),"Yoghurträtter")</f>
        <v>Yoghurträtter</v>
      </c>
      <c r="AE20" s="17" t="str">
        <f ca="1">IFERROR(__xludf.DUMMYFUNCTION("GOOGLETRANSLATE(Q20, ""en"", ""sv"")"),"Arman med mjölk (Shakriya)")</f>
        <v>Arman med mjölk (Shakriya)</v>
      </c>
      <c r="AF20" s="17" t="str">
        <f ca="1">IFERROR(__xludf.DUMMYFUNCTION("GOOGLETRANSLATE(R20, ""en"", ""sv"")"),"3 timmar")</f>
        <v>3 timmar</v>
      </c>
      <c r="AG20" s="17" t="str">
        <f ca="1">IFERROR(__xludf.DUMMYFUNCTION("GOOGLETRANSLATE(S20, ""en"", ""sv"")"),"• 1 kg lammkött med ben, helst lägg
• 1,5 kg yoghurt med 10 % fetthalt
• 4 medelstora lökar
• Lagerblad
• 1,5 msk mjöl
• 2 kanelstänger, 10 kardemummakapslar
• 10 kryddnejlikor
• 100 g mandlar eller pinjenötter
")</f>
        <v xml:space="preserve">• 1 kg lammkött med ben, helst lägg
• 1,5 kg yoghurt med 10 % fetthalt
• 4 medelstora lökar
• Lagerblad
• 1,5 msk mjöl
• 2 kanelstänger, 10 kardemummakapslar
• 10 kryddnejlikor
• 100 g mandlar eller pinjenötter
</v>
      </c>
      <c r="AH20" s="17" t="str">
        <f ca="1">IFERROR(__xludf.DUMMYFUNCTION("GOOGLETRANSLATE(T20, ""en"", ""sv"")"),"Skala och skiva löken. Värm lite olja i en djup kastrull och tillsätt alla hela kryddor: lagerblad, kanelstänger, kardemummakapslar och kryddnejlikor. Stek dem i cirka 5 minuter för att frigöra deras arom innan du tillsätter köttet. Tillsätt sedan löken o"&amp;"ch fräs den med kryddorna i ytterligare 5 minuter. Lägg nu köttet ovanpå löken och kryddorna och rör om tills det är brynt och genomvärmt på alla sidor, cirka 10 minuter.
Koka upp 3 liter vatten i en vattenkokare och häll det över köttet. När det kokar i"&amp;"gen, täck över kastrullen och låt det sjuda i minst två timmar på låg värme. Kontrollera att köttet är tillagat som du vill innan du stänger av värmen.
Ta upp köttet från buljongen och ställ det åt sidan.
Häll yoghurten i en djup skål och strö över mjöl"&amp;"et. Använd en stavmixer och rör i en riktning på högsta värme tills yoghurten kokar. Ha alltid kokande vatten i närheten under kokningen. När yoghurten kokar, tillsätt en halv kopp kokande vatten och en och en halv kopp köttbuljong. Fortsätt röra om tills"&amp;" det kokar igen, sänk sedan värmen och låt det sjuda i 15 minuter. Tillsätt köttet och låt det koka i ytterligare 15 minuter. Stäng av värmen, och din Arman eller Shakriya är klar.
Servera med ris och vermicelli.
Du kan också använda kibbeh gjord på lab"&amp;"neh; det är utsökt istället för ris.")</f>
        <v>Skala och skiva löken. Värm lite olja i en djup kastrull och tillsätt alla hela kryddor: lagerblad, kanelstänger, kardemummakapslar och kryddnejlikor. Stek dem i cirka 5 minuter för att frigöra deras arom innan du tillsätter köttet. Tillsätt sedan löken och fräs den med kryddorna i ytterligare 5 minuter. Lägg nu köttet ovanpå löken och kryddorna och rör om tills det är brynt och genomvärmt på alla sidor, cirka 10 minuter.
Koka upp 3 liter vatten i en vattenkokare och häll det över köttet. När det kokar igen, täck över kastrullen och låt det sjuda i minst två timmar på låg värme. Kontrollera att köttet är tillagat som du vill innan du stänger av värmen.
Ta upp köttet från buljongen och ställ det åt sidan.
Häll yoghurten i en djup skål och strö över mjölet. Använd en stavmixer och rör i en riktning på högsta värme tills yoghurten kokar. Ha alltid kokande vatten i närheten under kokningen. När yoghurten kokar, tillsätt en halv kopp kokande vatten och en och en halv kopp köttbuljong. Fortsätt röra om tills det kokar igen, sänk sedan värmen och låt det sjuda i 15 minuter. Tillsätt köttet och låt det koka i ytterligare 15 minuter. Stäng av värmen, och din Arman eller Shakriya är klar.
Servera med ris och vermicelli.
Du kan också använda kibbeh gjord på labneh; det är utsökt istället för ris.</v>
      </c>
      <c r="AI20" s="17" t="str">
        <f ca="1">IFERROR(__xludf.DUMMYFUNCTION("GOOGLETRANSLATE(U20, ""en"", ""sv"")"),"Tillräckligt för 8 personer")</f>
        <v>Tillräckligt för 8 personer</v>
      </c>
      <c r="AJ20" s="17" t="str">
        <f ca="1">IFERROR(__xludf.DUMMYFUNCTION("GOOGLETRANSLATE(V20, ""en"", ""sv"")"),"#VALUE!")</f>
        <v>#VALUE!</v>
      </c>
      <c r="AK20" s="17" t="str">
        <f ca="1">IFERROR(__xludf.DUMMYFUNCTION("GOOGLETRANSLATE(W20, ""en"", ""sv"")"),"Många kvinnor tillsätter ett ägg i mjölken så att den inte skär sig, men jag har av egen erfarenhet upptäckt att mjöl är mer homogent och sammanhängande, och när mjölken kokar är den lika slät som halm utan några korn.")</f>
        <v>Många kvinnor tillsätter ett ägg i mjölken så att den inte skär sig, men jag har av egen erfarenhet upptäckt att mjöl är mer homogent och sammanhängande, och när mjölken kokar är den lika slät som halm utan några korn.</v>
      </c>
      <c r="AL20" s="17" t="str">
        <f ca="1">IFERROR(__xludf.DUMMYFUNCTION("GOOGLETRANSLATE(X20, ""en"", ""sv"")"),"bilder/Arman.jpg")</f>
        <v>bilder/Arman.jpg</v>
      </c>
      <c r="AM20" s="17" t="str">
        <f ca="1">IFERROR(__xludf.DUMMYFUNCTION("GOOGLETRANSLATE(Y20, ""en"", ""sv"")"),"#VALUE!")</f>
        <v>#VALUE!</v>
      </c>
      <c r="AN20" s="17" t="str">
        <f ca="1">IFERROR(__xludf.DUMMYFUNCTION("GOOGLETRANSLATE(Z20, ""en"", ""sv"")"),"#VALUE!")</f>
        <v>#VALUE!</v>
      </c>
      <c r="AO20" s="17" t="str">
        <f ca="1">IFERROR(__xludf.DUMMYFUNCTION("GOOGLETRANSLATE(AA20, ""en"", ""sv"")"),"#VALUE!")</f>
        <v>#VALUE!</v>
      </c>
      <c r="AP20" s="17" t="str">
        <f ca="1">IFERROR(__xludf.DUMMYFUNCTION("GOOGLETRANSLATE(AB20, ""en"", ""sv"")"),"#VALUE!")</f>
        <v>#VALUE!</v>
      </c>
      <c r="AQ20" s="17"/>
    </row>
    <row r="21" spans="1:43" ht="382.8" x14ac:dyDescent="0.3">
      <c r="A21" s="8" t="s">
        <v>175</v>
      </c>
      <c r="B21" s="9" t="s">
        <v>176</v>
      </c>
      <c r="C21" s="33" t="s">
        <v>177</v>
      </c>
      <c r="D21" s="33" t="s">
        <v>178</v>
      </c>
      <c r="E21" s="34" t="s">
        <v>179</v>
      </c>
      <c r="F21" s="33" t="s">
        <v>180</v>
      </c>
      <c r="G21" s="35" t="s">
        <v>80</v>
      </c>
      <c r="H21" s="35" t="s">
        <v>181</v>
      </c>
      <c r="I21" s="33" t="s">
        <v>182</v>
      </c>
      <c r="J21" s="36" t="s">
        <v>183</v>
      </c>
      <c r="K21" s="25"/>
      <c r="L21" s="25"/>
      <c r="M21" s="25"/>
      <c r="N21" s="25"/>
      <c r="O21" s="14" t="str">
        <f t="shared" si="0"/>
        <v>20</v>
      </c>
      <c r="P21" s="15" t="str">
        <f ca="1">IFERROR(__xludf.DUMMYFUNCTION("GOOGLETRANSLATE(B21, ""ar"", ""en"")"),"Stuffed vegetables, yogurt-based dishes")</f>
        <v>Stuffed vegetables, yogurt-based dishes</v>
      </c>
      <c r="Q21" s="15" t="str">
        <f ca="1">IFERROR(__xludf.DUMMYFUNCTION("GOOGLETRANSLATE(C21, ""ar"", ""en"")"),"Sheikh Al-Mahshi")</f>
        <v>Sheikh Al-Mahshi</v>
      </c>
      <c r="R21" s="15" t="str">
        <f ca="1">IFERROR(__xludf.DUMMYFUNCTION("GOOGLETRANSLATE(D21, ""ar"", ""en"")"),"two and a half hours")</f>
        <v>two and a half hours</v>
      </c>
      <c r="S21" s="15" t="str">
        <f ca="1">IFERROR(__xludf.DUMMYFUNCTION("GOOGLETRANSLATE(E21, ""ar"", ""en"")"),"Filling:
• 750g lean ground beef
• 1/2 bunch chopped parsley (optional)
• 2 medium onions (350g) (optional)
• 1/2 tsp black pepper
• 1/2 tsp seven-spice mix
• 1/2 tsp salt
• 2 tbsp ghee for cooking the meat
• 100g pine nuts (if available)
Zucchini and Yo"&amp;"gurt:
• 2 kg small zucchini (as small as possible)
• 2 kg 10% full yogurt
• 2 tbsp flour
• 2 cups boiling water
• Oil for frying the zucchini")</f>
        <v>Filling:
• 750g lean ground beef
• 1/2 bunch chopped parsley (optional)
• 2 medium onions (350g) (optional)
• 1/2 tsp black pepper
• 1/2 tsp seven-spice mix
• 1/2 tsp salt
• 2 tbsp ghee for cooking the meat
• 100g pine nuts (if available)
Zucchini and Yogurt:
• 2 kg small zucchini (as small as possible)
• 2 kg 10% full yogurt
• 2 tbsp flour
• 2 cups boiling water
• Oil for frying the zucchini</v>
      </c>
      <c r="T21" s="15" t="str">
        <f ca="1">IFERROR(__xludf.DUMMYFUNCTION("GOOGLETRANSLATE(F21, ""ar"", ""en"")"),"How to prepare the zucchini before adding it to the yogurt sauce: Wash the zucchini thoroughly to remove any dirt. Hollow out the zucchini slightly, removing the first core and then another thin core. The zucchini should be about 1 cm thick, without leavi"&amp;"ng a thick base.
Chop the onion and add a tablespoon of ghee or oil. Sauté the onion briefly, then add the meat and stir. Break the meat into pieces, cover, and cook over low heat for half an hour. Add the spices, black pepper, seven spices, salt, and pi"&amp;"ne nuts, then let it cool.
Once the meat has cooled, stuff the zucchini and fry them in oil or ghee until golden brown.
How to prepare the yogurt sauce: In a deep bowl, place the yogurt and sprinkle the flour over it. Start stirring with a hand whisk in"&amp;" one direction over high heat until it boils. Add two cups of boiling water to the yogurt and continue stirring until it boils again. Drop the fried zucchini into the yogurt sauce and let it simmer for 15 minutes until the zucchini is cooked through.")</f>
        <v>How to prepare the zucchini before adding it to the yogurt sauce: Wash the zucchini thoroughly to remove any dirt. Hollow out the zucchini slightly, removing the first core and then another thin core. The zucchini should be about 1 cm thick, without leaving a thick base.
Chop the onion and add a tablespoon of ghee or oil. Sauté the onion briefly, then add the meat and stir. Break the meat into pieces, cover, and cook over low heat for half an hour. Add the spices, black pepper, seven spices, salt, and pine nuts, then let it cool.
Once the meat has cooled, stuff the zucchini and fry them in oil or ghee until golden brown.
How to prepare the yogurt sauce: In a deep bowl, place the yogurt and sprinkle the flour over it. Start stirring with a hand whisk in one direction over high heat until it boils. Add two cups of boiling water to the yogurt and continue stirring until it boils again. Drop the fried zucchini into the yogurt sauce and let it simmer for 15 minutes until the zucchini is cooked through.</v>
      </c>
      <c r="U21" s="15" t="str">
        <f ca="1">IFERROR(__xludf.DUMMYFUNCTION("GOOGLETRANSLATE(G21, ""ar"", ""en"")"),"8 people")</f>
        <v>8 people</v>
      </c>
      <c r="V21" s="15" t="str">
        <f ca="1">IFERROR(__xludf.DUMMYFUNCTION("GOOGLETRANSLATE(H21, ""ar"", ""en"")"),"Sprinkle dried mint or chopped parsley on top.")</f>
        <v>Sprinkle dried mint or chopped parsley on top.</v>
      </c>
      <c r="W21" s="15" t="str">
        <f ca="1">IFERROR(__xludf.DUMMYFUNCTION("GOOGLETRANSLATE(I21, ""ar"", ""en"")"),"I ate a lot at my friends' houses and I would find at the end of each zucchini a lump of pulp that would not taste as delicious; precision in hollowing is key.")</f>
        <v>I ate a lot at my friends' houses and I would find at the end of each zucchini a lump of pulp that would not taste as delicious; precision in hollowing is key.</v>
      </c>
      <c r="X21" s="15" t="str">
        <f ca="1">IFERROR(__xludf.DUMMYFUNCTION("GOOGLETRANSLATE(J21, ""ar"", ""en"")"),"images/Sheikh_Elmehshi.jpg")</f>
        <v>images/Sheikh_Elmehshi.jpg</v>
      </c>
      <c r="Y21" s="15" t="str">
        <f ca="1">IFERROR(__xludf.DUMMYFUNCTION("GOOGLETRANSLATE(K21, ""ar"", ""en"")"),"#VALUE!")</f>
        <v>#VALUE!</v>
      </c>
      <c r="Z21" s="15" t="str">
        <f ca="1">IFERROR(__xludf.DUMMYFUNCTION("GOOGLETRANSLATE(L21, ""ar"", ""en"")"),"#VALUE!")</f>
        <v>#VALUE!</v>
      </c>
      <c r="AA21" s="15" t="str">
        <f ca="1">IFERROR(__xludf.DUMMYFUNCTION("GOOGLETRANSLATE(M21, ""ar"", ""en"")"),"#VALUE!")</f>
        <v>#VALUE!</v>
      </c>
      <c r="AB21" s="15" t="str">
        <f ca="1">IFERROR(__xludf.DUMMYFUNCTION("GOOGLETRANSLATE(N21, ""ar"", ""en"")"),"#VALUE!")</f>
        <v>#VALUE!</v>
      </c>
      <c r="AC21" s="16" t="str">
        <f t="shared" si="1"/>
        <v>20</v>
      </c>
      <c r="AD21" s="17" t="str">
        <f ca="1">IFERROR(__xludf.DUMMYFUNCTION("GOOGLETRANSLATE(P21, ""en"", ""sv"")"),"Fyllda grönsaker, yoghurtbaserade rätter")</f>
        <v>Fyllda grönsaker, yoghurtbaserade rätter</v>
      </c>
      <c r="AE21" s="17" t="str">
        <f ca="1">IFERROR(__xludf.DUMMYFUNCTION("GOOGLETRANSLATE(Q21, ""en"", ""sv"")"),"Sheikh Al-Mahshi")</f>
        <v>Sheikh Al-Mahshi</v>
      </c>
      <c r="AF21" s="17" t="str">
        <f ca="1">IFERROR(__xludf.DUMMYFUNCTION("GOOGLETRANSLATE(R21, ""en"", ""sv"")"),"två och en halv timme")</f>
        <v>två och en halv timme</v>
      </c>
      <c r="AG21" s="17" t="str">
        <f ca="1">IFERROR(__xludf.DUMMYFUNCTION("GOOGLETRANSLATE(S21, ""en"", ""sv"")"),"Fyllning:
• 750 g mager nötfärs
• 1/2 knippe hackad persilja (valfritt)
• 2 medelstora lökar (350 g) (valfritt)
• 1/2 tsk svartpeppar
• 1/2 tsk kryddblandning
• 1/2 tsk salt
• 2 msk ghee till tillagning av köttet
• 100 g pinjenötter (om det finns)
Zucchi"&amp;"ni och yoghurt:
• 2 kg liten zucchini (så liten som möjligt)
• 2 kg 10 % hel yoghurt
• 2 msk mjöl
• 2 koppar kokande vatten
• Olja till stekning av zucchinin")</f>
        <v>Fyllning:
• 750 g mager nötfärs
• 1/2 knippe hackad persilja (valfritt)
• 2 medelstora lökar (350 g) (valfritt)
• 1/2 tsk svartpeppar
• 1/2 tsk kryddblandning
• 1/2 tsk salt
• 2 msk ghee till tillagning av köttet
• 100 g pinjenötter (om det finns)
Zucchini och yoghurt:
• 2 kg liten zucchini (så liten som möjligt)
• 2 kg 10 % hel yoghurt
• 2 msk mjöl
• 2 koppar kokande vatten
• Olja till stekning av zucchinin</v>
      </c>
      <c r="AH21" s="17" t="str">
        <f ca="1">IFERROR(__xludf.DUMMYFUNCTION("GOOGLETRANSLATE(T21, ""en"", ""sv"")"),"Så här förbereder du zucchinin innan du tillsätter den i yoghurtsåsen: Tvätta zucchinin noggrant för att ta bort eventuell smuts. Gröp ur zucchinin något, ta bort den första kärnan och sedan en annan tunn kärna. Zucchinin ska vara cirka 1 cm tjock, utan a"&amp;"tt lämna en tjock botten.
Hack löken och tillsätt en matsked ghee eller olja. Fräs löken kort, tillsätt sedan köttet och rör om. Bryt köttet i bitar, täck över och tillaga på låg värme i en halvtimme. Tillsätt kryddorna, svartpeppar, sju kryddor, salt oc"&amp;"h pinjenötter, låt det sedan svalna.
När köttet har svalnat, fyll zucchinin och stek den i olja eller ghee tills den är gyllenbrun.
Så här förbereder du yoghurtsåsen: Lägg yoghurten i en djup skål och strö mjölet över den. Börja röra med en handvisp i e"&amp;"n riktning på hög värme tills det kokar. Tillsätt två koppar kokande vatten till yoghurten och fortsätt röra tills det kokar igen. Lägg den friterade zucchinin i yoghurtsåsen och låt det sjuda i 15 minuter tills zucchinin är genomkokt.")</f>
        <v>Så här förbereder du zucchinin innan du tillsätter den i yoghurtsåsen: Tvätta zucchinin noggrant för att ta bort eventuell smuts. Gröp ur zucchinin något, ta bort den första kärnan och sedan en annan tunn kärna. Zucchinin ska vara cirka 1 cm tjock, utan att lämna en tjock botten.
Hack löken och tillsätt en matsked ghee eller olja. Fräs löken kort, tillsätt sedan köttet och rör om. Bryt köttet i bitar, täck över och tillaga på låg värme i en halvtimme. Tillsätt kryddorna, svartpeppar, sju kryddor, salt och pinjenötter, låt det sedan svalna.
När köttet har svalnat, fyll zucchinin och stek den i olja eller ghee tills den är gyllenbrun.
Så här förbereder du yoghurtsåsen: Lägg yoghurten i en djup skål och strö mjölet över den. Börja röra med en handvisp i en riktning på hög värme tills det kokar. Tillsätt två koppar kokande vatten till yoghurten och fortsätt röra tills det kokar igen. Lägg den friterade zucchinin i yoghurtsåsen och låt det sjuda i 15 minuter tills zucchinin är genomkokt.</v>
      </c>
      <c r="AI21" s="17" t="str">
        <f ca="1">IFERROR(__xludf.DUMMYFUNCTION("GOOGLETRANSLATE(U21, ""en"", ""sv"")"),"8 personer")</f>
        <v>8 personer</v>
      </c>
      <c r="AJ21" s="17" t="str">
        <f ca="1">IFERROR(__xludf.DUMMYFUNCTION("GOOGLETRANSLATE(V21, ""en"", ""sv"")"),"Strö över torkad mynta eller hackad persilja.")</f>
        <v>Strö över torkad mynta eller hackad persilja.</v>
      </c>
      <c r="AK21" s="17" t="str">
        <f ca="1">IFERROR(__xludf.DUMMYFUNCTION("GOOGLETRANSLATE(W21, ""en"", ""sv"")"),"Jag åt mycket hemma hos mina vänner och i slutet av varje zucchini hittade jag en klump fruktkött som inte smakade lika gott; precision i urholkningen är nyckeln.")</f>
        <v>Jag åt mycket hemma hos mina vänner och i slutet av varje zucchini hittade jag en klump fruktkött som inte smakade lika gott; precision i urholkningen är nyckeln.</v>
      </c>
      <c r="AL21" s="17" t="str">
        <f ca="1">IFERROR(__xludf.DUMMYFUNCTION("GOOGLETRANSLATE(X21, ""en"", ""sv"")"),"bilder/Sheikh_Elmehshi.jpg")</f>
        <v>bilder/Sheikh_Elmehshi.jpg</v>
      </c>
      <c r="AM21" s="17" t="str">
        <f ca="1">IFERROR(__xludf.DUMMYFUNCTION("GOOGLETRANSLATE(Y21, ""en"", ""sv"")"),"#VALUE!")</f>
        <v>#VALUE!</v>
      </c>
      <c r="AN21" s="17" t="str">
        <f ca="1">IFERROR(__xludf.DUMMYFUNCTION("GOOGLETRANSLATE(Z21, ""en"", ""sv"")"),"#VALUE!")</f>
        <v>#VALUE!</v>
      </c>
      <c r="AO21" s="17" t="str">
        <f ca="1">IFERROR(__xludf.DUMMYFUNCTION("GOOGLETRANSLATE(AA21, ""en"", ""sv"")"),"#VALUE!")</f>
        <v>#VALUE!</v>
      </c>
      <c r="AP21" s="17" t="str">
        <f ca="1">IFERROR(__xludf.DUMMYFUNCTION("GOOGLETRANSLATE(AB21, ""en"", ""sv"")"),"#VALUE!")</f>
        <v>#VALUE!</v>
      </c>
      <c r="AQ21" s="17"/>
    </row>
    <row r="22" spans="1:43" ht="164.25" customHeight="1" x14ac:dyDescent="0.3">
      <c r="A22" s="8" t="s">
        <v>184</v>
      </c>
      <c r="B22" s="9" t="s">
        <v>176</v>
      </c>
      <c r="C22" s="33" t="s">
        <v>185</v>
      </c>
      <c r="D22" s="33" t="s">
        <v>113</v>
      </c>
      <c r="E22" s="34" t="s">
        <v>186</v>
      </c>
      <c r="F22" s="33" t="s">
        <v>187</v>
      </c>
      <c r="G22" s="35" t="s">
        <v>97</v>
      </c>
      <c r="H22" s="35" t="s">
        <v>181</v>
      </c>
      <c r="I22" s="37"/>
      <c r="J22" s="36" t="s">
        <v>188</v>
      </c>
      <c r="K22" s="25"/>
      <c r="L22" s="25"/>
      <c r="M22" s="25"/>
      <c r="N22" s="25"/>
      <c r="O22" s="14" t="str">
        <f t="shared" si="0"/>
        <v>21</v>
      </c>
      <c r="P22" s="15" t="str">
        <f ca="1">IFERROR(__xludf.DUMMYFUNCTION("GOOGLETRANSLATE(B22, ""ar"", ""en"")"),"Stuffed vegetables, yogurt-based dishes")</f>
        <v>Stuffed vegetables, yogurt-based dishes</v>
      </c>
      <c r="Q22" s="15" t="str">
        <f ca="1">IFERROR(__xludf.DUMMYFUNCTION("GOOGLETRANSLATE(C22, ""ar"", ""en"")"),"Sheikh al-Mahshi Bakr Maqn")</f>
        <v>Sheikh al-Mahshi Bakr Maqn</v>
      </c>
      <c r="R22" s="15" t="str">
        <f ca="1">IFERROR(__xludf.DUMMYFUNCTION("GOOGLETRANSLATE(D22, ""ar"", ""en"")"),"an hour and a half")</f>
        <v>an hour and a half</v>
      </c>
      <c r="S22" s="15" t="str">
        <f ca="1">IFERROR(__xludf.DUMMYFUNCTION("GOOGLETRANSLATE(E22, ""ar"", ""en"")"),"• 750g lean minced meat
• 1/2 bunch chopped parsley (optional)
• 2 medium onions (350g) (optional)
• 1/2 tsp black pepper
• 1/2 tsp seven-spice mix
• 1/2 tsp salt
• 2 tbsp ghee for cooking the meat
• 100g pine nuts (if available)
For the zucchini:
• 2 k"&amp;"g large zucchini (depending on the season)
• 1 kg full-fat yogurt
• 1 tbsp minced garlic
• 1/2 tsp dried mint
• Oil for frying the zucchini")</f>
        <v>• 750g lean minced meat
• 1/2 bunch chopped parsley (optional)
• 2 medium onions (350g) (optional)
• 1/2 tsp black pepper
• 1/2 tsp seven-spice mix
• 1/2 tsp salt
• 2 tbsp ghee for cooking the meat
• 100g pine nuts (if available)
For the zucchini:
• 2 kg large zucchini (depending on the season)
• 1 kg full-fat yogurt
• 1 tbsp minced garlic
• 1/2 tsp dried mint
• Oil for frying the zucchini</v>
      </c>
      <c r="T22" s="15" t="str">
        <f ca="1">IFERROR(__xludf.DUMMYFUNCTION("GOOGLETRANSLATE(F22, ""ar"", ""en"")"),"Meat Preparation:
Chop the onion and sauté it in a tablespoon of ghee or oil until softened. Add the meat and stir, breaking it up into pieces. Cover and cook over low heat for half an hour. Add the spices, black pepper, seven spices, salt, and pine nuts"&amp;".
Zucchini Preparation: Wash the zucchini thoroughly to remove any dirt. Cut it into thick slices about 3 cm thick. Once the oil is hot, fry the zucchini slices until golden brown, not dark brown.
After frying, add the zucchini to the meat you prepared "&amp;"earlier. Add a cup of boiling water, salt, and black pepper. Let it simmer over medium heat for about 15 minutes.
Yogurt Sauce Preparation: In a deep bowl, combine the yogurt, garlic, and mint. Mix well until smooth. Serve cold with rice and the zucchini"&amp;" slices.")</f>
        <v>Meat Preparation:
Chop the onion and sauté it in a tablespoon of ghee or oil until softened. Add the meat and stir, breaking it up into pieces. Cover and cook over low heat for half an hour. Add the spices, black pepper, seven spices, salt, and pine nuts.
Zucchini Preparation: Wash the zucchini thoroughly to remove any dirt. Cut it into thick slices about 3 cm thick. Once the oil is hot, fry the zucchini slices until golden brown, not dark brown.
After frying, add the zucchini to the meat you prepared earlier. Add a cup of boiling water, salt, and black pepper. Let it simmer over medium heat for about 15 minutes.
Yogurt Sauce Preparation: In a deep bowl, combine the yogurt, garlic, and mint. Mix well until smooth. Serve cold with rice and the zucchini slices.</v>
      </c>
      <c r="U22" s="15" t="str">
        <f ca="1">IFERROR(__xludf.DUMMYFUNCTION("GOOGLETRANSLATE(G22, ""ar"", ""en"")"),"6 people")</f>
        <v>6 people</v>
      </c>
      <c r="V22" s="15" t="str">
        <f ca="1">IFERROR(__xludf.DUMMYFUNCTION("GOOGLETRANSLATE(H22, ""ar"", ""en"")"),"Sprinkle dried mint or chopped parsley on top.")</f>
        <v>Sprinkle dried mint or chopped parsley on top.</v>
      </c>
      <c r="W22" s="15" t="str">
        <f ca="1">IFERROR(__xludf.DUMMYFUNCTION("GOOGLETRANSLATE(I22, ""ar"", ""en"")"),"#VALUE!")</f>
        <v>#VALUE!</v>
      </c>
      <c r="X22" s="15" t="str">
        <f ca="1">IFERROR(__xludf.DUMMYFUNCTION("GOOGLETRANSLATE(J22, ""ar"", ""en"")"),"Images/Sheikh_Elmehshi_Bakar.png")</f>
        <v>Images/Sheikh_Elmehshi_Bakar.png</v>
      </c>
      <c r="Y22" s="15" t="str">
        <f ca="1">IFERROR(__xludf.DUMMYFUNCTION("GOOGLETRANSLATE(K22, ""ar"", ""en"")"),"#VALUE!")</f>
        <v>#VALUE!</v>
      </c>
      <c r="Z22" s="15" t="str">
        <f ca="1">IFERROR(__xludf.DUMMYFUNCTION("GOOGLETRANSLATE(L22, ""ar"", ""en"")"),"#VALUE!")</f>
        <v>#VALUE!</v>
      </c>
      <c r="AA22" s="15" t="str">
        <f ca="1">IFERROR(__xludf.DUMMYFUNCTION("GOOGLETRANSLATE(M22, ""ar"", ""en"")"),"#VALUE!")</f>
        <v>#VALUE!</v>
      </c>
      <c r="AB22" s="15" t="str">
        <f ca="1">IFERROR(__xludf.DUMMYFUNCTION("GOOGLETRANSLATE(N22, ""ar"", ""en"")"),"#VALUE!")</f>
        <v>#VALUE!</v>
      </c>
      <c r="AC22" s="16" t="str">
        <f t="shared" si="1"/>
        <v>21</v>
      </c>
      <c r="AD22" s="17" t="str">
        <f ca="1">IFERROR(__xludf.DUMMYFUNCTION("GOOGLETRANSLATE(P22, ""en"", ""sv"")"),"Fyllda grönsaker, yoghurtbaserade rätter")</f>
        <v>Fyllda grönsaker, yoghurtbaserade rätter</v>
      </c>
      <c r="AE22" s="17" t="str">
        <f ca="1">IFERROR(__xludf.DUMMYFUNCTION("GOOGLETRANSLATE(Q22, ""en"", ""sv"")"),"Sheikh al-Mahshi Bakr Maqn")</f>
        <v>Sheikh al-Mahshi Bakr Maqn</v>
      </c>
      <c r="AF22" s="17" t="str">
        <f ca="1">IFERROR(__xludf.DUMMYFUNCTION("GOOGLETRANSLATE(R22, ""en"", ""sv"")"),"en och en halv timme")</f>
        <v>en och en halv timme</v>
      </c>
      <c r="AG22" s="17" t="str">
        <f ca="1">IFERROR(__xludf.DUMMYFUNCTION("GOOGLETRANSLATE(S22, ""en"", ""sv"")"),"• 750 g mager köttfärs
• 1/2 knippe hackad persilja (valfritt)
• 2 medelstora lökar (350 g) (valfritt)
• 1/2 tsk svartpeppar
• 1/2 tsk sjukryddsmix
• 1/2 tsk salt
• 2 msk ghee till tillagning av köttet
• 100 g pinjenötter (om det finns)
Till zucchinin:
"&amp;"• 2 kg stor zucchini (beroende på säsong)
• 1 kg helfet yoghurt
• 1 msk hackad vitlök
• 1/2 tsk torkad mynta
• Olja till stekning av zucchinin")</f>
        <v>• 750 g mager köttfärs
• 1/2 knippe hackad persilja (valfritt)
• 2 medelstora lökar (350 g) (valfritt)
• 1/2 tsk svartpeppar
• 1/2 tsk sjukryddsmix
• 1/2 tsk salt
• 2 msk ghee till tillagning av köttet
• 100 g pinjenötter (om det finns)
Till zucchinin:
• 2 kg stor zucchini (beroende på säsong)
• 1 kg helfet yoghurt
• 1 msk hackad vitlök
• 1/2 tsk torkad mynta
• Olja till stekning av zucchinin</v>
      </c>
      <c r="AH22" s="17" t="str">
        <f ca="1">IFERROR(__xludf.DUMMYFUNCTION("GOOGLETRANSLATE(T22, ""en"", ""sv"")"),"Köttberedning:
Hack löken och fräs den i en matsked ghee eller olja tills den mjuknat. Tillsätt köttet och rör om och bryt det i bitar. Täck över och tillaga på låg värme i en halvtimme. Tillsätt kryddorna, svartpeppar, sju kryddor, salt och pinjenötter."&amp;"
Zucchiniberedning: Tvätta zucchinin noggrant för att ta bort smuts. Skär den i tjocka skivor, cirka 3 cm tjocka. När oljan är varm, stek zucchiniskivorna tills de är gyllenbruna, inte mörkbruna.
Efter stekning, lägg zucchinin till köttet du tillagade t"&amp;"idigare. Tillsätt en kopp kokande vatten, salt och svartpeppar. Låt det sjuda på medelvärme i cirka 15 minuter.
Yoghurtsås: Blanda yoghurt, vitlök och mynta i en djup skål. Blanda väl tills det är slätt. Servera kall med ris och zucchiniskivorna.")</f>
        <v>Köttberedning:
Hack löken och fräs den i en matsked ghee eller olja tills den mjuknat. Tillsätt köttet och rör om och bryt det i bitar. Täck över och tillaga på låg värme i en halvtimme. Tillsätt kryddorna, svartpeppar, sju kryddor, salt och pinjenötter.
Zucchiniberedning: Tvätta zucchinin noggrant för att ta bort smuts. Skär den i tjocka skivor, cirka 3 cm tjocka. När oljan är varm, stek zucchiniskivorna tills de är gyllenbruna, inte mörkbruna.
Efter stekning, lägg zucchinin till köttet du tillagade tidigare. Tillsätt en kopp kokande vatten, salt och svartpeppar. Låt det sjuda på medelvärme i cirka 15 minuter.
Yoghurtsås: Blanda yoghurt, vitlök och mynta i en djup skål. Blanda väl tills det är slätt. Servera kall med ris och zucchiniskivorna.</v>
      </c>
      <c r="AI22" s="17" t="str">
        <f ca="1">IFERROR(__xludf.DUMMYFUNCTION("GOOGLETRANSLATE(U22, ""en"", ""sv"")"),"6 personer")</f>
        <v>6 personer</v>
      </c>
      <c r="AJ22" s="17" t="str">
        <f ca="1">IFERROR(__xludf.DUMMYFUNCTION("GOOGLETRANSLATE(V22, ""en"", ""sv"")"),"Strö över torkad mynta eller hackad persilja.")</f>
        <v>Strö över torkad mynta eller hackad persilja.</v>
      </c>
      <c r="AK22" s="17" t="str">
        <f ca="1">IFERROR(__xludf.DUMMYFUNCTION("GOOGLETRANSLATE(W22, ""en"", ""sv"")"),"#VALUE!")</f>
        <v>#VALUE!</v>
      </c>
      <c r="AL22" s="17" t="str">
        <f ca="1">IFERROR(__xludf.DUMMYFUNCTION("GOOGLETRANSLATE(X22, ""en"", ""sv"")"),"Bilder/Sheikh_Elmehshi_Bakar.png")</f>
        <v>Bilder/Sheikh_Elmehshi_Bakar.png</v>
      </c>
      <c r="AM22" s="17" t="str">
        <f ca="1">IFERROR(__xludf.DUMMYFUNCTION("GOOGLETRANSLATE(Y22, ""en"", ""sv"")"),"#VALUE!")</f>
        <v>#VALUE!</v>
      </c>
      <c r="AN22" s="17" t="str">
        <f ca="1">IFERROR(__xludf.DUMMYFUNCTION("GOOGLETRANSLATE(Z22, ""en"", ""sv"")"),"#VALUE!")</f>
        <v>#VALUE!</v>
      </c>
      <c r="AO22" s="17" t="str">
        <f ca="1">IFERROR(__xludf.DUMMYFUNCTION("GOOGLETRANSLATE(AA22, ""en"", ""sv"")"),"#VALUE!")</f>
        <v>#VALUE!</v>
      </c>
      <c r="AP22" s="17" t="str">
        <f ca="1">IFERROR(__xludf.DUMMYFUNCTION("GOOGLETRANSLATE(AB22, ""en"", ""sv"")"),"#VALUE!")</f>
        <v>#VALUE!</v>
      </c>
      <c r="AQ22" s="17"/>
    </row>
    <row r="23" spans="1:43" ht="409.6" x14ac:dyDescent="0.3">
      <c r="A23" s="8" t="s">
        <v>189</v>
      </c>
      <c r="B23" s="38" t="s">
        <v>190</v>
      </c>
      <c r="C23" s="39" t="s">
        <v>191</v>
      </c>
      <c r="D23" s="39" t="s">
        <v>48</v>
      </c>
      <c r="E23" s="35" t="s">
        <v>192</v>
      </c>
      <c r="F23" s="35" t="s">
        <v>193</v>
      </c>
      <c r="G23" s="35" t="s">
        <v>194</v>
      </c>
      <c r="H23" s="35" t="s">
        <v>195</v>
      </c>
      <c r="I23" s="35" t="s">
        <v>196</v>
      </c>
      <c r="J23" s="40" t="s">
        <v>197</v>
      </c>
      <c r="K23" s="41"/>
      <c r="L23" s="41"/>
      <c r="M23" s="41"/>
      <c r="N23" s="41"/>
      <c r="O23" s="14" t="str">
        <f t="shared" si="0"/>
        <v>22</v>
      </c>
      <c r="P23" s="15" t="str">
        <f ca="1">IFERROR(__xludf.DUMMYFUNCTION("GOOGLETRANSLATE(B23, ""ar"", ""en"")"),"Appetizers")</f>
        <v>Appetizers</v>
      </c>
      <c r="Q23" s="15" t="str">
        <f ca="1">IFERROR(__xludf.DUMMYFUNCTION("GOOGLETRANSLATE(C23, ""ar"", ""en"")"),"Burner of his finger")</f>
        <v>Burner of his finger</v>
      </c>
      <c r="R23" s="15" t="str">
        <f ca="1">IFERROR(__xludf.DUMMYFUNCTION("GOOGLETRANSLATE(D23, ""ar"", ""en"")"),"two hours")</f>
        <v>two hours</v>
      </c>
      <c r="S23" s="15" t="str">
        <f ca="1">IFERROR(__xludf.DUMMYFUNCTION("GOOGLETRANSLATE(E23, ""ar"", ""en"")"),"Ingredients:
• 2 cups brown lentils in their husks. These are the coarse, broad-grain lentils that are husked and peeled. The coarse, sprouting lentils are best.
• Pomegranate molasses: Half a cup (or to taste). Generally, this dish should have a tangy "&amp;"flavor. The amount of pomegranate molasses you buy depends on its acidity. Adjust the quantity and taste to ensure you've achieved the desired flavor.
• • Tamarind: 250g of tamarind soaked and well-strained, once while squeezing it and again after finish"&amp;"ing.
• Olive oil: 200g
• Garlic: 1 tbsp minced garlic
• Coriander: 1 bunch of fresh coriander, finely chopped (soak the coriander in plenty of water for 5 minutes, then drain it before chopping to remove any sand or dirt).
• Onion: 4 large onions, sli"&amp;"ced ​​(for frying and garnish).
• Bread: 2 loaves of bread, cut into squares and fried.
• For garnish: Pomegranate seeds, chopped parsley, and fresh coriander.
• Dough: You can use homemade dough (flour, salt, and water) cut into small squares, or subs"&amp;"titute it with pasta (there are many pasta shapes suitable for Harraq Esba'o instead of dough, such as small shells or any other attractive shape you like).
• Pasta")</f>
        <v>Ingredients:
• 2 cups brown lentils in their husks. These are the coarse, broad-grain lentils that are husked and peeled. The coarse, sprouting lentils are best.
• Pomegranate molasses: Half a cup (or to taste). Generally, this dish should have a tangy flavor. The amount of pomegranate molasses you buy depends on its acidity. Adjust the quantity and taste to ensure you've achieved the desired flavor.
• • Tamarind: 250g of tamarind soaked and well-strained, once while squeezing it and again after finishing.
• Olive oil: 200g
• Garlic: 1 tbsp minced garlic
• Coriander: 1 bunch of fresh coriander, finely chopped (soak the coriander in plenty of water for 5 minutes, then drain it before chopping to remove any sand or dirt).
• Onion: 4 large onions, sliced ​​(for frying and garnish).
• Bread: 2 loaves of bread, cut into squares and fried.
• For garnish: Pomegranate seeds, chopped parsley, and fresh coriander.
• Dough: You can use homemade dough (flour, salt, and water) cut into small squares, or substitute it with pasta (there are many pasta shapes suitable for Harraq Esba'o instead of dough, such as small shells or any other attractive shape you like).
• Pasta</v>
      </c>
      <c r="T23" s="15" t="str">
        <f ca="1">IFERROR(__xludf.DUMMYFUNCTION("GOOGLETRANSLATE(F23, ""ar"", ""en"")"),"1. Boil the lentils: Wash the lentils and boil them in a pot of enough water until they are about 80% cooked (don't let them become mushy; leave a little bit of liquid in them). Use about 4 cups of water.
2. Add the dough/pasta: Add the dough pieces (or "&amp;"pasta) to the pot of lentils, stirring slowly to prevent sticking. Let them cook with the lentils until fully cooked.
3. Add the tamarind infusion, pomegranate molasses, and salt.
4. Stir the mixture and let it simmer over low heat until thickened. (If "&amp;"the mixture is too thick, add a little boiling water.)
5. Fry the onions: In a separate pan, heat olive oil and fry the sliced ​​onions until golden brown and crispy. Remove half of the onions for garnish. 6. Coriander and Garlic: In the same oil after s"&amp;"autéing the onions, add the minced garlic and let it turn golden. Then add the fresh coriander and stir for just two minutes until fragrant. Pour half of this mixture over the lentils and pasta while it's boiling.
7. Serving: Pour the Harraq Esba'o into "&amp;"wide bowls.
8. Garnish:")</f>
        <v>1. Boil the lentils: Wash the lentils and boil them in a pot of enough water until they are about 80% cooked (don't let them become mushy; leave a little bit of liquid in them). Use about 4 cups of water.
2. Add the dough/pasta: Add the dough pieces (or pasta) to the pot of lentils, stirring slowly to prevent sticking. Let them cook with the lentils until fully cooked.
3. Add the tamarind infusion, pomegranate molasses, and salt.
4. Stir the mixture and let it simmer over low heat until thickened. (If the mixture is too thick, add a little boiling water.)
5. Fry the onions: In a separate pan, heat olive oil and fry the sliced ​​onions until golden brown and crispy. Remove half of the onions for garnish. 6. Coriander and Garlic: In the same oil after sautéing the onions, add the minced garlic and let it turn golden. Then add the fresh coriander and stir for just two minutes until fragrant. Pour half of this mixture over the lentils and pasta while it's boiling.
7. Serving: Pour the Harraq Esba'o into wide bowls.
8. Garnish:</v>
      </c>
      <c r="U23" s="15" t="str">
        <f ca="1">IFERROR(__xludf.DUMMYFUNCTION("GOOGLETRANSLATE(G23, ""ar"", ""en"")"),"The quantity is enough for 6 people.")</f>
        <v>The quantity is enough for 6 people.</v>
      </c>
      <c r="V23" s="15" t="str">
        <f ca="1">IFERROR(__xludf.DUMMYFUNCTION("GOOGLETRANSLATE(H23, ""ar"", ""en"")"),"The presentation of this dish should be like a work of art: decorate the top of the Harraq Esba'o casserole or the Pyrex dish you're serving it in with fried bread, the remaining cilantro and garlic mixture, fried onions, and pomegranate seeds, which you "&amp;"can arrange in groups on top to create a beautiful geometric pattern.
")</f>
        <v xml:space="preserve">The presentation of this dish should be like a work of art: decorate the top of the Harraq Esba'o casserole or the Pyrex dish you're serving it in with fried bread, the remaining cilantro and garlic mixture, fried onions, and pomegranate seeds, which you can arrange in groups on top to create a beautiful geometric pattern.
</v>
      </c>
      <c r="W23" s="15" t="str">
        <f ca="1">IFERROR(__xludf.DUMMYFUNCTION("GOOGLETRANSLATE(I23, ""ar"", ""en"")"),"Because this dish is part of our heritage and has very high nutritional value, I take great care in preparing it. I prepare a dough from flour, salt, sugar, and milk a day in advance and leave it for the next day. Then I roll out the pieces of dough and c"&amp;"ut them with a sewing thimble to make them small or slightly larger if you have a cutting tool. I fry the pieces in oil so that they puff up slightly in the oil and have the wonderful golden color that this dish deserves, and an irresistible taste. If you"&amp;" have a long time, you can implement this secret from Umm Samer.")</f>
        <v>Because this dish is part of our heritage and has very high nutritional value, I take great care in preparing it. I prepare a dough from flour, salt, sugar, and milk a day in advance and leave it for the next day. Then I roll out the pieces of dough and cut them with a sewing thimble to make them small or slightly larger if you have a cutting tool. I fry the pieces in oil so that they puff up slightly in the oil and have the wonderful golden color that this dish deserves, and an irresistible taste. If you have a long time, you can implement this secret from Umm Samer.</v>
      </c>
      <c r="X23" s="15" t="str">
        <f ca="1">IFERROR(__xludf.DUMMYFUNCTION("GOOGLETRANSLATE(J23, ""ar"", ""en"")"),"images/Harra_Esaboo.jpg")</f>
        <v>images/Harra_Esaboo.jpg</v>
      </c>
      <c r="Y23" s="15" t="str">
        <f ca="1">IFERROR(__xludf.DUMMYFUNCTION("GOOGLETRANSLATE(K23, ""ar"", ""en"")"),"#VALUE!")</f>
        <v>#VALUE!</v>
      </c>
      <c r="Z23" s="15" t="str">
        <f ca="1">IFERROR(__xludf.DUMMYFUNCTION("GOOGLETRANSLATE(L23, ""ar"", ""en"")"),"#VALUE!")</f>
        <v>#VALUE!</v>
      </c>
      <c r="AA23" s="15" t="str">
        <f ca="1">IFERROR(__xludf.DUMMYFUNCTION("GOOGLETRANSLATE(M23, ""ar"", ""en"")"),"#VALUE!")</f>
        <v>#VALUE!</v>
      </c>
      <c r="AB23" s="15" t="str">
        <f ca="1">IFERROR(__xludf.DUMMYFUNCTION("GOOGLETRANSLATE(N23, ""ar"", ""en"")"),"#VALUE!")</f>
        <v>#VALUE!</v>
      </c>
      <c r="AC23" s="16" t="str">
        <f t="shared" si="1"/>
        <v>22</v>
      </c>
      <c r="AD23" s="17" t="str">
        <f ca="1">IFERROR(__xludf.DUMMYFUNCTION("GOOGLETRANSLATE(P23, ""en"", ""sv"")"),"Förrätter")</f>
        <v>Förrätter</v>
      </c>
      <c r="AE23" s="17" t="str">
        <f ca="1">IFERROR(__xludf.DUMMYFUNCTION("GOOGLETRANSLATE(Q23, ""en"", ""sv"")"),"Brännare av hans finger")</f>
        <v>Brännare av hans finger</v>
      </c>
      <c r="AF23" s="17" t="str">
        <f ca="1">IFERROR(__xludf.DUMMYFUNCTION("GOOGLETRANSLATE(R23, ""en"", ""sv"")"),"två timmar")</f>
        <v>två timmar</v>
      </c>
      <c r="AG23" s="17" t="str">
        <f ca="1">IFERROR(__xludf.DUMMYFUNCTION("GOOGLETRANSLATE(S23, ""en"", ""sv"")"),"Ingredienser:
• 2 koppar bruna linser med skal. Dessa är grova, bredkorniga linser som är skalade och urkokta. De grova, grodda linserna är bäst.
• Granatäpplemelass: En halv kopp (eller efter smak). Generellt sett bör denna rätt ha en syrlig smak. Mäng"&amp;"den granatäpplemelass du köper beror på dess syra. Justera mängden och smaken för att säkerställa att du har uppnått önskad smak.
• • Tamarind: 250 g tamarind blötlagd och väl silad, en gång medan du pressar den och igen efter att du är klar.
• Olivolja"&amp;": 200 g
• Vitlök: 1 msk finhackad vitlök
• Koriander: 1 knippe färsk koriander, finhackad (blötlägg koriandern i rikligt med vatten i 5 minuter, häll sedan av den innan du hackar den för att ta bort sand eller smuts).
• Lök: 4 stora lökar, skivade (för"&amp;" stekning och garnering).
• Bröd: 2 limpor, skurna i fyrkanter och friterade.
• Till garnering: Granatäpplekärnor, hackad persilja och färsk koriander.
• Deg: Du kan använda hemlagad deg (mjöl, salt och vatten) skuren i små fyrkanter, eller ersätta den"&amp;" med pasta (det finns många pastaformer som passar för Harraq Esba'o istället för deg, till exempel små snäckor eller någon annan attraktiv form du gillar).
• Pasta")</f>
        <v>Ingredienser:
• 2 koppar bruna linser med skal. Dessa är grova, bredkorniga linser som är skalade och urkokta. De grova, grodda linserna är bäst.
• Granatäpplemelass: En halv kopp (eller efter smak). Generellt sett bör denna rätt ha en syrlig smak. Mängden granatäpplemelass du köper beror på dess syra. Justera mängden och smaken för att säkerställa att du har uppnått önskad smak.
• • Tamarind: 250 g tamarind blötlagd och väl silad, en gång medan du pressar den och igen efter att du är klar.
• Olivolja: 200 g
• Vitlök: 1 msk finhackad vitlök
• Koriander: 1 knippe färsk koriander, finhackad (blötlägg koriandern i rikligt med vatten i 5 minuter, häll sedan av den innan du hackar den för att ta bort sand eller smuts).
• Lök: 4 stora lökar, skivade (för stekning och garnering).
• Bröd: 2 limpor, skurna i fyrkanter och friterade.
• Till garnering: Granatäpplekärnor, hackad persilja och färsk koriander.
• Deg: Du kan använda hemlagad deg (mjöl, salt och vatten) skuren i små fyrkanter, eller ersätta den med pasta (det finns många pastaformer som passar för Harraq Esba'o istället för deg, till exempel små snäckor eller någon annan attraktiv form du gillar).
• Pasta</v>
      </c>
      <c r="AH23" s="17" t="str">
        <f ca="1">IFERROR(__xludf.DUMMYFUNCTION("GOOGLETRANSLATE(T23, ""en"", ""sv"")"),"1. Koka linserna: Tvätta linserna och koka dem i en kastrull med tillräckligt med vatten tills de är cirka 80 % kokta (låt dem inte bli mosiga; lämna lite vätska kvar). Använd cirka 1 liter vatten.
2. Tillsätt deg/pastan: Tillsätt degbitarna (eller pasta"&amp;"n) i linserna under omrörning långsamt för att förhindra att de fastnar. Låt dem koka med linserna tills de är helt kokta.
3. Tillsätt tamarindte, granatäpplemelass och salt.
4. Rör om blandningen och låt den sjuda på låg värme tills den tjocknar. (Om b"&amp;"landningen är för tjock, tillsätt lite kokande vatten.)
5. Stek löken: Värm olivolja i en separat panna och stek den skivade löken tills den är gyllenbrun och krispig. Ta bort hälften av löken för garnering. 6. Koriander och vitlök: Efter att ha stekt lö"&amp;"ken, tillsätt den hackade vitlöken i samma olja och låt den bli gyllenbrun. Tillsätt sedan den färska koriandern och rör om i bara två minuter tills den doftar gott. Häll hälften av blandningen över linserna och pastan medan det kokar.
7. Servering: Häll"&amp;" Harraq Esba'o i breda skålar.
8. Garnering:")</f>
        <v>1. Koka linserna: Tvätta linserna och koka dem i en kastrull med tillräckligt med vatten tills de är cirka 80 % kokta (låt dem inte bli mosiga; lämna lite vätska kvar). Använd cirka 1 liter vatten.
2. Tillsätt deg/pastan: Tillsätt degbitarna (eller pastan) i linserna under omrörning långsamt för att förhindra att de fastnar. Låt dem koka med linserna tills de är helt kokta.
3. Tillsätt tamarindte, granatäpplemelass och salt.
4. Rör om blandningen och låt den sjuda på låg värme tills den tjocknar. (Om blandningen är för tjock, tillsätt lite kokande vatten.)
5. Stek löken: Värm olivolja i en separat panna och stek den skivade löken tills den är gyllenbrun och krispig. Ta bort hälften av löken för garnering. 6. Koriander och vitlök: Efter att ha stekt löken, tillsätt den hackade vitlöken i samma olja och låt den bli gyllenbrun. Tillsätt sedan den färska koriandern och rör om i bara två minuter tills den doftar gott. Häll hälften av blandningen över linserna och pastan medan det kokar.
7. Servering: Häll Harraq Esba'o i breda skålar.
8. Garnering:</v>
      </c>
      <c r="AI23" s="17" t="str">
        <f ca="1">IFERROR(__xludf.DUMMYFUNCTION("GOOGLETRANSLATE(U23, ""en"", ""sv"")"),"Mängden räcker till 6 personer.")</f>
        <v>Mängden räcker till 6 personer.</v>
      </c>
      <c r="AJ23" s="17" t="str">
        <f ca="1">IFERROR(__xludf.DUMMYFUNCTION("GOOGLETRANSLATE(V23, ""en"", ""sv"")"),"Presentationen av denna rätt ska vara som ett konstverk: dekorera toppen av Harraq Esba'o-grytan eller Pyrex-formen du serverar den i med stekt bröd, resterande koriander- och vitlöksblandning, stekt lök och granatäpplekärnor, som du kan arrangera i grupp"&amp;"er ovanpå för att skapa ett vackert geometriskt mönster.
")</f>
        <v xml:space="preserve">Presentationen av denna rätt ska vara som ett konstverk: dekorera toppen av Harraq Esba'o-grytan eller Pyrex-formen du serverar den i med stekt bröd, resterande koriander- och vitlöksblandning, stekt lök och granatäpplekärnor, som du kan arrangera i grupper ovanpå för att skapa ett vackert geometriskt mönster.
</v>
      </c>
      <c r="AK23" s="17" t="str">
        <f ca="1">IFERROR(__xludf.DUMMYFUNCTION("GOOGLETRANSLATE(W23, ""en"", ""sv"")"),"Eftersom denna rätt är en del av vårt arv och har ett mycket högt näringsvärde, är jag mycket noggrann när jag tillagas. Jag förbereder en deg av mjöl, salt, socker och mjölk en dag i förväg och låter den stå till nästa dag. Sedan kavlar jag ut degbitarna"&amp;" och skär dem med en fingerborg för att göra dem små eller något större om du har ett skärverktyg. Jag steker bitarna i olja så att de blåser upp sig något i oljan och får den underbara gyllene färgen som denna rätt förtjänar, och en oemotståndlig smak. O"&amp;"m du har lång tid kan du tillämpa denna hemlighet från Umm Samer.")</f>
        <v>Eftersom denna rätt är en del av vårt arv och har ett mycket högt näringsvärde, är jag mycket noggrann när jag tillagas. Jag förbereder en deg av mjöl, salt, socker och mjölk en dag i förväg och låter den stå till nästa dag. Sedan kavlar jag ut degbitarna och skär dem med en fingerborg för att göra dem små eller något större om du har ett skärverktyg. Jag steker bitarna i olja så att de blåser upp sig något i oljan och får den underbara gyllene färgen som denna rätt förtjänar, och en oemotståndlig smak. Om du har lång tid kan du tillämpa denna hemlighet från Umm Samer.</v>
      </c>
      <c r="AL23" s="17" t="str">
        <f ca="1">IFERROR(__xludf.DUMMYFUNCTION("GOOGLETRANSLATE(X23, ""en"", ""sv"")"),"bilder/Harra_Esaboo.jpg")</f>
        <v>bilder/Harra_Esaboo.jpg</v>
      </c>
      <c r="AM23" s="17" t="str">
        <f ca="1">IFERROR(__xludf.DUMMYFUNCTION("GOOGLETRANSLATE(Y23, ""en"", ""sv"")"),"#VALUE!")</f>
        <v>#VALUE!</v>
      </c>
      <c r="AN23" s="17" t="str">
        <f ca="1">IFERROR(__xludf.DUMMYFUNCTION("GOOGLETRANSLATE(Z23, ""en"", ""sv"")"),"#VALUE!")</f>
        <v>#VALUE!</v>
      </c>
      <c r="AO23" s="17" t="str">
        <f ca="1">IFERROR(__xludf.DUMMYFUNCTION("GOOGLETRANSLATE(AA23, ""en"", ""sv"")"),"#VALUE!")</f>
        <v>#VALUE!</v>
      </c>
      <c r="AP23" s="17" t="str">
        <f ca="1">IFERROR(__xludf.DUMMYFUNCTION("GOOGLETRANSLATE(AB23, ""en"", ""sv"")"),"#VALUE!")</f>
        <v>#VALUE!</v>
      </c>
      <c r="AQ23" s="17"/>
    </row>
    <row r="24" spans="1:43" ht="369.6" x14ac:dyDescent="0.3">
      <c r="A24" s="8" t="s">
        <v>198</v>
      </c>
      <c r="B24" s="38" t="s">
        <v>111</v>
      </c>
      <c r="C24" s="39" t="s">
        <v>199</v>
      </c>
      <c r="D24" s="42" t="s">
        <v>161</v>
      </c>
      <c r="E24" s="42" t="s">
        <v>200</v>
      </c>
      <c r="F24" s="35" t="s">
        <v>201</v>
      </c>
      <c r="G24" s="35" t="s">
        <v>202</v>
      </c>
      <c r="H24" s="35" t="s">
        <v>203</v>
      </c>
      <c r="I24" s="35" t="s">
        <v>204</v>
      </c>
      <c r="J24" s="36" t="s">
        <v>205</v>
      </c>
      <c r="K24" s="41"/>
      <c r="L24" s="41"/>
      <c r="M24" s="41"/>
      <c r="N24" s="41"/>
      <c r="O24" s="14" t="str">
        <f t="shared" si="0"/>
        <v>23</v>
      </c>
      <c r="P24" s="15" t="str">
        <f ca="1">IFERROR(__xludf.DUMMYFUNCTION("GOOGLETRANSLATE(B24, ""ar"", ""en"")"),"vegetables")</f>
        <v>vegetables</v>
      </c>
      <c r="Q24" s="15" t="str">
        <f ca="1">IFERROR(__xludf.DUMMYFUNCTION("GOOGLETRANSLATE(C24, ""ar"", ""en"")"),"potato mash")</f>
        <v>potato mash</v>
      </c>
      <c r="R24" s="15" t="str">
        <f ca="1">IFERROR(__xludf.DUMMYFUNCTION("GOOGLETRANSLATE(D24, ""ar"", ""en"")"),"hour")</f>
        <v>hour</v>
      </c>
      <c r="S24" s="15" t="str">
        <f ca="1">IFERROR(__xludf.DUMMYFUNCTION("GOOGLETRANSLATE(E24, ""ar"", ""en"")"),"Ingredients:
• 1 kg potatoes
• 10 eggs
• 1 tsp black pepper
• 1/4 tsp ground cinnamon
• 1 tsp salt
• 3 tbsp ghee
• Oil for frying the potatoes
The same recipe with minced meat:
• 1 kg potatoes
• 12 eggs
• 1/4 kg minced meat
• 1 medium onion (150 g)
• 1 t"&amp;"sp black pepper
• 1/4 tsp ground cinnamon
• 1 tsp salt
• 1 tbsp ghee
• Oil for frying the potatoes")</f>
        <v>Ingredients:
• 1 kg potatoes
• 10 eggs
• 1 tsp black pepper
• 1/4 tsp ground cinnamon
• 1 tsp salt
• 3 tbsp ghee
• Oil for frying the potatoes
The same recipe with minced meat:
• 1 kg potatoes
• 12 eggs
• 1/4 kg minced meat
• 1 medium onion (150 g)
• 1 tsp black pepper
• 1/4 tsp ground cinnamon
• 1 tsp salt
• 1 tbsp ghee
• Oil for frying the potatoes</v>
      </c>
      <c r="T24" s="15" t="str">
        <f ca="1">IFERROR(__xludf.DUMMYFUNCTION("GOOGLETRANSLATE(F24, ""ar"", ""en"")"),"Preparation Method: The simplest, tastiest, and quickest dish:
Peel the potatoes and cut them into small cubes. Soak them in water for an hour to draw out the starch.
Fry the potatoes until they are a light golden brown, not brown.
Heat ghee in a pan su"&amp;"itable for the quantity of potatoes. Heat the ghee over medium heat, then add the potatoes. Meanwhile, whisk the eggs in a separate bowl. After frying the potatoes for about 3 minutes, add the eggs to the pan over high heat and stir well. Sprinkle with sa"&amp;"lt, black pepper, and cinnamon to help the eggs adhere and prevent any unpleasant odor from affecting the dish. Stir the mixture until the eggs are fully set.
For the potato and minced meat version, you only need to prepare the meat with a tablespoon of "&amp;"ghee and sauté the onions. Cover and cook over low heat for about half an hour until the meat is cooked through. Then follow the same steps as for the potato and ghee version.")</f>
        <v>Preparation Method: The simplest, tastiest, and quickest dish:
Peel the potatoes and cut them into small cubes. Soak them in water for an hour to draw out the starch.
Fry the potatoes until they are a light golden brown, not brown.
Heat ghee in a pan suitable for the quantity of potatoes. Heat the ghee over medium heat, then add the potatoes. Meanwhile, whisk the eggs in a separate bowl. After frying the potatoes for about 3 minutes, add the eggs to the pan over high heat and stir well. Sprinkle with salt, black pepper, and cinnamon to help the eggs adhere and prevent any unpleasant odor from affecting the dish. Stir the mixture until the eggs are fully set.
For the potato and minced meat version, you only need to prepare the meat with a tablespoon of ghee and sauté the onions. Cover and cook over low heat for about half an hour until the meat is cooked through. Then follow the same steps as for the potato and ghee version.</v>
      </c>
      <c r="U24" s="15" t="str">
        <f ca="1">IFERROR(__xludf.DUMMYFUNCTION("GOOGLETRANSLATE(G24, ""ar"", ""en"")"),"With ghee, the quantity serves 4 people.
With meat, it serves 6 people.")</f>
        <v>With ghee, the quantity serves 4 people.
With meat, it serves 6 people.</v>
      </c>
      <c r="V24" s="15" t="str">
        <f ca="1">IFERROR(__xludf.DUMMYFUNCTION("GOOGLETRANSLATE(H24, ""ar"", ""en"")"),"Garnish the mfarkeh with sliced ​​tomatoes, bell peppers, and chopped parsley.")</f>
        <v>Garnish the mfarkeh with sliced ​​tomatoes, bell peppers, and chopped parsley.</v>
      </c>
      <c r="W24" s="15" t="str">
        <f ca="1">IFERROR(__xludf.DUMMYFUNCTION("GOOGLETRANSLATE(I24, ""ar"", ""en"")"),"Many women boil potatoes and then toss them with eggs. A tip: fried potatoes have a much better flavor than boiled ones. Similarly, when tossed, the potatoes should be fluffy and not stuck together due to boiling, resulting in a delicious taste.
Prepare "&amp;"a salad to go with them, or try cucumber and yogurt with dried mint and garlic.")</f>
        <v>Many women boil potatoes and then toss them with eggs. A tip: fried potatoes have a much better flavor than boiled ones. Similarly, when tossed, the potatoes should be fluffy and not stuck together due to boiling, resulting in a delicious taste.
Prepare a salad to go with them, or try cucumber and yogurt with dried mint and garlic.</v>
      </c>
      <c r="X24" s="15" t="str">
        <f ca="1">IFERROR(__xludf.DUMMYFUNCTION("GOOGLETRANSLATE(J24, ""ar"", ""en"")"),"Images/Mfarraket_Batata.jpg")</f>
        <v>Images/Mfarraket_Batata.jpg</v>
      </c>
      <c r="Y24" s="15" t="str">
        <f ca="1">IFERROR(__xludf.DUMMYFUNCTION("GOOGLETRANSLATE(K24, ""ar"", ""en"")"),"#VALUE!")</f>
        <v>#VALUE!</v>
      </c>
      <c r="Z24" s="15" t="str">
        <f ca="1">IFERROR(__xludf.DUMMYFUNCTION("GOOGLETRANSLATE(L24, ""ar"", ""en"")"),"#VALUE!")</f>
        <v>#VALUE!</v>
      </c>
      <c r="AA24" s="15" t="str">
        <f ca="1">IFERROR(__xludf.DUMMYFUNCTION("GOOGLETRANSLATE(M24, ""ar"", ""en"")"),"#VALUE!")</f>
        <v>#VALUE!</v>
      </c>
      <c r="AB24" s="15" t="str">
        <f ca="1">IFERROR(__xludf.DUMMYFUNCTION("GOOGLETRANSLATE(N24, ""ar"", ""en"")"),"#VALUE!")</f>
        <v>#VALUE!</v>
      </c>
      <c r="AC24" s="16" t="str">
        <f t="shared" si="1"/>
        <v>23</v>
      </c>
      <c r="AD24" s="17" t="str">
        <f ca="1">IFERROR(__xludf.DUMMYFUNCTION("GOOGLETRANSLATE(P24, ""en"", ""sv"")"),"grönsaker")</f>
        <v>grönsaker</v>
      </c>
      <c r="AE24" s="17" t="str">
        <f ca="1">IFERROR(__xludf.DUMMYFUNCTION("GOOGLETRANSLATE(Q24, ""en"", ""sv"")"),"potatismos")</f>
        <v>potatismos</v>
      </c>
      <c r="AF24" s="17" t="str">
        <f ca="1">IFERROR(__xludf.DUMMYFUNCTION("GOOGLETRANSLATE(R24, ""en"", ""sv"")"),"timme")</f>
        <v>timme</v>
      </c>
      <c r="AG24" s="17" t="str">
        <f ca="1">IFERROR(__xludf.DUMMYFUNCTION("GOOGLETRANSLATE(S24, ""en"", ""sv"")"),"Ingredienser:
• 1 kg potatis
• 10 ägg
• 1 tsk svartpeppar
• 1/4 tsk malen kanel
• 1 tsk salt
• 3 msk ghee
• Olja för att steka potatisen
Samma recept med köttfärs:
• 1 kg potatis
• 12 ägg
• 1/4 kg köttfärs
• 1 medelstor lök (150 g)
• 1 tsk svartpeppar
• "&amp;"1/4 tsk malen kanel
• 1 tsk salt
• 1 msk ghee
• Olja för att steka potatisen")</f>
        <v>Ingredienser:
• 1 kg potatis
• 10 ägg
• 1 tsk svartpeppar
• 1/4 tsk malen kanel
• 1 tsk salt
• 3 msk ghee
• Olja för att steka potatisen
Samma recept med köttfärs:
• 1 kg potatis
• 12 ägg
• 1/4 kg köttfärs
• 1 medelstor lök (150 g)
• 1 tsk svartpeppar
• 1/4 tsk malen kanel
• 1 tsk salt
• 1 msk ghee
• Olja för att steka potatisen</v>
      </c>
      <c r="AH24" s="17" t="str">
        <f ca="1">IFERROR(__xludf.DUMMYFUNCTION("GOOGLETRANSLATE(T24, ""en"", ""sv"")"),"Tillagningsmetod: Den enklaste, godaste och snabbaste rätten:
Skala potatisen och skär den i små tärningar. Blötlägg den i vatten i en timme för att dra ut stärkelsen.
Fräs potatisen tills den är gyllenbrun, inte brun.
Värm ghee i en stekpanna som passa"&amp;"r mängden potatis. Värm ghee på medelvärme och tillsätt sedan potatisen. Vispa under tiden äggen i en separat skål. Efter att ha stekt potatisen i cirka 3 minuter, tillsätt äggen i pannan på hög värme och rör om väl. Strö över salt, svartpeppar och kanel "&amp;"för att hjälpa äggen att fästa och förhindra att obehaglig lukt påverkar rätten. Rör om blandningen tills äggen har stelnat helt.
För potatis- och köttfärsversionen behöver du bara förbereda köttet med en matsked ghee och fräsa löken. Täck över och tilla"&amp;"ga på låg värme i cirka en halvtimme tills köttet är genomstekt. Följ sedan samma steg som för potatis- och ghee-versionen.")</f>
        <v>Tillagningsmetod: Den enklaste, godaste och snabbaste rätten:
Skala potatisen och skär den i små tärningar. Blötlägg den i vatten i en timme för att dra ut stärkelsen.
Fräs potatisen tills den är gyllenbrun, inte brun.
Värm ghee i en stekpanna som passar mängden potatis. Värm ghee på medelvärme och tillsätt sedan potatisen. Vispa under tiden äggen i en separat skål. Efter att ha stekt potatisen i cirka 3 minuter, tillsätt äggen i pannan på hög värme och rör om väl. Strö över salt, svartpeppar och kanel för att hjälpa äggen att fästa och förhindra att obehaglig lukt påverkar rätten. Rör om blandningen tills äggen har stelnat helt.
För potatis- och köttfärsversionen behöver du bara förbereda köttet med en matsked ghee och fräsa löken. Täck över och tillaga på låg värme i cirka en halvtimme tills köttet är genomstekt. Följ sedan samma steg som för potatis- och ghee-versionen.</v>
      </c>
      <c r="AI24" s="17" t="str">
        <f ca="1">IFERROR(__xludf.DUMMYFUNCTION("GOOGLETRANSLATE(U24, ""en"", ""sv"")"),"Med ghee räcker mängden till 4 personer.
Med kött räcker det till 6 personer.")</f>
        <v>Med ghee räcker mängden till 4 personer.
Med kött räcker det till 6 personer.</v>
      </c>
      <c r="AJ24" s="17" t="str">
        <f ca="1">IFERROR(__xludf.DUMMYFUNCTION("GOOGLETRANSLATE(V24, ""en"", ""sv"")"),"Garnera mfarkehen med skivade tomater, paprika och hackad persilja.")</f>
        <v>Garnera mfarkehen med skivade tomater, paprika och hackad persilja.</v>
      </c>
      <c r="AK24" s="17" t="str">
        <f ca="1">IFERROR(__xludf.DUMMYFUNCTION("GOOGLETRANSLATE(W24, ""en"", ""sv"")"),"Många kvinnor kokar potatis och blandar den sedan med ägg. Ett tips: stekt potatis har en mycket bättre smak än kokt. På samma sätt, när potatisen blandas, ska den vara fluffig och inte fastna ihop på grund av kokningen, vilket resulterar i en utsökt smak"&amp;".
Gör en sallad till den, eller prova gurka och yoghurt med torkad mynta och vitlök.")</f>
        <v>Många kvinnor kokar potatis och blandar den sedan med ägg. Ett tips: stekt potatis har en mycket bättre smak än kokt. På samma sätt, när potatisen blandas, ska den vara fluffig och inte fastna ihop på grund av kokningen, vilket resulterar i en utsökt smak.
Gör en sallad till den, eller prova gurka och yoghurt med torkad mynta och vitlök.</v>
      </c>
      <c r="AL24" s="17" t="str">
        <f ca="1">IFERROR(__xludf.DUMMYFUNCTION("GOOGLETRANSLATE(X24, ""en"", ""sv"")"),"Bilder/Mfarraket_Bata.jpg")</f>
        <v>Bilder/Mfarraket_Bata.jpg</v>
      </c>
      <c r="AM24" s="17" t="str">
        <f ca="1">IFERROR(__xludf.DUMMYFUNCTION("GOOGLETRANSLATE(Y24, ""en"", ""sv"")"),"#VALUE!")</f>
        <v>#VALUE!</v>
      </c>
      <c r="AN24" s="17" t="str">
        <f ca="1">IFERROR(__xludf.DUMMYFUNCTION("GOOGLETRANSLATE(Z24, ""en"", ""sv"")"),"#VALUE!")</f>
        <v>#VALUE!</v>
      </c>
      <c r="AO24" s="17" t="str">
        <f ca="1">IFERROR(__xludf.DUMMYFUNCTION("GOOGLETRANSLATE(AA24, ""en"", ""sv"")"),"#VALUE!")</f>
        <v>#VALUE!</v>
      </c>
      <c r="AP24" s="17" t="str">
        <f ca="1">IFERROR(__xludf.DUMMYFUNCTION("GOOGLETRANSLATE(AB24, ""en"", ""sv"")"),"#VALUE!")</f>
        <v>#VALUE!</v>
      </c>
      <c r="AQ24" s="17"/>
    </row>
    <row r="25" spans="1:43" ht="330" x14ac:dyDescent="0.3">
      <c r="A25" s="8" t="s">
        <v>206</v>
      </c>
      <c r="B25" s="43" t="s">
        <v>111</v>
      </c>
      <c r="C25" s="35" t="s">
        <v>207</v>
      </c>
      <c r="D25" s="39" t="s">
        <v>161</v>
      </c>
      <c r="E25" s="35" t="s">
        <v>208</v>
      </c>
      <c r="F25" s="35" t="s">
        <v>209</v>
      </c>
      <c r="G25" s="35" t="s">
        <v>210</v>
      </c>
      <c r="H25" s="35" t="s">
        <v>211</v>
      </c>
      <c r="I25" s="35" t="s">
        <v>212</v>
      </c>
      <c r="J25" s="36" t="s">
        <v>213</v>
      </c>
      <c r="K25" s="41"/>
      <c r="L25" s="41"/>
      <c r="M25" s="41"/>
      <c r="N25" s="41"/>
      <c r="O25" s="14" t="str">
        <f t="shared" si="0"/>
        <v>24</v>
      </c>
      <c r="P25" s="15" t="str">
        <f ca="1">IFERROR(__xludf.DUMMYFUNCTION("GOOGLETRANSLATE(B25, ""ar"", ""en"")"),"vegetables")</f>
        <v>vegetables</v>
      </c>
      <c r="Q25" s="15" t="str">
        <f ca="1">IFERROR(__xludf.DUMMYFUNCTION("GOOGLETRANSLATE(C25, ""ar"", ""en"")"),"Zucchini fritters with ghee
Zucchini fritters with minced meat")</f>
        <v>Zucchini fritters with ghee
Zucchini fritters with minced meat</v>
      </c>
      <c r="R25" s="15" t="str">
        <f ca="1">IFERROR(__xludf.DUMMYFUNCTION("GOOGLETRANSLATE(D25, ""ar"", ""en"")"),"hour")</f>
        <v>hour</v>
      </c>
      <c r="S25" s="15" t="str">
        <f ca="1">IFERROR(__xludf.DUMMYFUNCTION("GOOGLETRANSLATE(E25, ""ar"", ""en"")"),"Ingredients:
• 1 kg large zucchini
• 10 eggs
• 1 tsp black pepper
• 1/4 tsp ground cinnamon
• 1 tsp salt
• 3 tbsp ghee
• 2 tbsp olive oil
For the zucchini casserole itself with minced meat:
• 1 kg zucchini
• 12 eggs
• 1/4 kg minced meat
• 1 medium onion "&amp;"(150 g)
• 1 tsp black pepper
• 1/4 tsp ground cinnamon
• 1 tsp salt
• 3 tbsp ghee
• 2 tbsp olive oil")</f>
        <v>Ingredients:
• 1 kg large zucchini
• 10 eggs
• 1 tsp black pepper
• 1/4 tsp ground cinnamon
• 1 tsp salt
• 3 tbsp ghee
• 2 tbsp olive oil
For the zucchini casserole itself with minced meat:
• 1 kg zucchini
• 12 eggs
• 1/4 kg minced meat
• 1 medium onion (150 g)
• 1 tsp black pepper
• 1/4 tsp ground cinnamon
• 1 tsp salt
• 3 tbsp ghee
• 2 tbsp olive oil</v>
      </c>
      <c r="T25" s="15" t="str">
        <f ca="1">IFERROR(__xludf.DUMMYFUNCTION("GOOGLETRANSLATE(F25, ""ar"", ""en"")"),"Preparation method: Wash the zucchini with a brush to remove any sand, as previously mentioned, and cut it into medium-sized cubes.
Heat the ghee and olive oil in a pan until hot. Add the zucchini and sauté for 5 minutes. Sprinkle with a little water and"&amp;" cover for 10 minutes, or until the zucchini is fully cooked.
Now add the beaten eggs, then sprinkle with salt, black pepper, and cinnamon. This will help the eggs adhere and prevent any unpleasant smell from the mixture. Stir-fry for about 3 minutes ove"&amp;"r high heat until the eggs are completely set.
For the zucchini and minced meat version, you will need to prepare the meat with a tablespoon of ghee, olive oil, and onions. Sauté them briefly, covered, over low heat for about half an hour, or until the m"&amp;"eat is cooked through. Then follow the same steps as for the zucchini and ghee version.")</f>
        <v>Preparation method: Wash the zucchini with a brush to remove any sand, as previously mentioned, and cut it into medium-sized cubes.
Heat the ghee and olive oil in a pan until hot. Add the zucchini and sauté for 5 minutes. Sprinkle with a little water and cover for 10 minutes, or until the zucchini is fully cooked.
Now add the beaten eggs, then sprinkle with salt, black pepper, and cinnamon. This will help the eggs adhere and prevent any unpleasant smell from the mixture. Stir-fry for about 3 minutes over high heat until the eggs are completely set.
For the zucchini and minced meat version, you will need to prepare the meat with a tablespoon of ghee, olive oil, and onions. Sauté them briefly, covered, over low heat for about half an hour, or until the meat is cooked through. Then follow the same steps as for the zucchini and ghee version.</v>
      </c>
      <c r="U25" s="15" t="str">
        <f ca="1">IFERROR(__xludf.DUMMYFUNCTION("GOOGLETRANSLATE(G25, ""ar"", ""en"")"),"With ghee, this quantity serves 6 people.
With meat, this quantity serves 8 people.")</f>
        <v>With ghee, this quantity serves 6 people.
With meat, this quantity serves 8 people.</v>
      </c>
      <c r="V25" s="15" t="str">
        <f ca="1">IFERROR(__xludf.DUMMYFUNCTION("GOOGLETRANSLATE(H25, ""ar"", ""en"")"),"Garnish the mfarkeh with sliced ​​tomatoes, fresh red bell peppers, and chopped parsley.")</f>
        <v>Garnish the mfarkeh with sliced ​​tomatoes, fresh red bell peppers, and chopped parsley.</v>
      </c>
      <c r="W25" s="15" t="str">
        <f ca="1">IFERROR(__xludf.DUMMYFUNCTION("GOOGLETRANSLATE(I25, ""ar"", ""en"")"),"Do not boil the zucchini because it will become bland. Frying the zucchini in olive oil and ghee will give it a great and wonderful flavor.")</f>
        <v>Do not boil the zucchini because it will become bland. Frying the zucchini in olive oil and ghee will give it a great and wonderful flavor.</v>
      </c>
      <c r="X25" s="15" t="str">
        <f ca="1">IFERROR(__xludf.DUMMYFUNCTION("GOOGLETRANSLATE(J25, ""ar"", ""en"")"),"Images/Mfarraket_Kousa.jpg")</f>
        <v>Images/Mfarraket_Kousa.jpg</v>
      </c>
      <c r="Y25" s="15" t="str">
        <f ca="1">IFERROR(__xludf.DUMMYFUNCTION("GOOGLETRANSLATE(K25, ""ar"", ""en"")"),"#VALUE!")</f>
        <v>#VALUE!</v>
      </c>
      <c r="Z25" s="15" t="str">
        <f ca="1">IFERROR(__xludf.DUMMYFUNCTION("GOOGLETRANSLATE(L25, ""ar"", ""en"")"),"#VALUE!")</f>
        <v>#VALUE!</v>
      </c>
      <c r="AA25" s="15" t="str">
        <f ca="1">IFERROR(__xludf.DUMMYFUNCTION("GOOGLETRANSLATE(M25, ""ar"", ""en"")"),"#VALUE!")</f>
        <v>#VALUE!</v>
      </c>
      <c r="AB25" s="15" t="str">
        <f ca="1">IFERROR(__xludf.DUMMYFUNCTION("GOOGLETRANSLATE(N25, ""ar"", ""en"")"),"#VALUE!")</f>
        <v>#VALUE!</v>
      </c>
      <c r="AC25" s="16" t="str">
        <f t="shared" si="1"/>
        <v>24</v>
      </c>
      <c r="AD25" s="17" t="str">
        <f ca="1">IFERROR(__xludf.DUMMYFUNCTION("GOOGLETRANSLATE(P25, ""en"", ""sv"")"),"grönsaker")</f>
        <v>grönsaker</v>
      </c>
      <c r="AE25" s="17" t="str">
        <f ca="1">IFERROR(__xludf.DUMMYFUNCTION("GOOGLETRANSLATE(Q25, ""en"", ""sv"")"),"Zucchinifritters med ghee
Zucchinifritters med köttfärs")</f>
        <v>Zucchinifritters med ghee
Zucchinifritters med köttfärs</v>
      </c>
      <c r="AF25" s="17" t="str">
        <f ca="1">IFERROR(__xludf.DUMMYFUNCTION("GOOGLETRANSLATE(R25, ""en"", ""sv"")"),"timme")</f>
        <v>timme</v>
      </c>
      <c r="AG25" s="17" t="str">
        <f ca="1">IFERROR(__xludf.DUMMYFUNCTION("GOOGLETRANSLATE(S25, ""en"", ""sv"")"),"Ingredienser:
• 1 kg stor zucchini
• 10 ägg
• 1 tsk svartpeppar
• 1/4 tsk malen kanel
• 1 tsk salt
• 3 msk ghee
• 2 msk olivolja
Till själva zucchinigrytan med köttfärs:
• 1 kg zucchini
• 12 ägg
• 1/4 kg köttfärs
• 1 medelstor lök (150 g)
• 1 tsk svartpe"&amp;"ppar
• 1/4 tsk malen kanel
• 1 tsk salt
• 3 msk ghee
• 2 msk olivolja")</f>
        <v>Ingredienser:
• 1 kg stor zucchini
• 10 ägg
• 1 tsk svartpeppar
• 1/4 tsk malen kanel
• 1 tsk salt
• 3 msk ghee
• 2 msk olivolja
Till själva zucchinigrytan med köttfärs:
• 1 kg zucchini
• 12 ägg
• 1/4 kg köttfärs
• 1 medelstor lök (150 g)
• 1 tsk svartpeppar
• 1/4 tsk malen kanel
• 1 tsk salt
• 3 msk ghee
• 2 msk olivolja</v>
      </c>
      <c r="AH25" s="17" t="str">
        <f ca="1">IFERROR(__xludf.DUMMYFUNCTION("GOOGLETRANSLATE(T25, ""en"", ""sv"")"),"Tillagningsmetod: Tvätta zucchinin med en borste för att ta bort eventuell sand, som tidigare nämnts, och skär den i medelstora tärningar.
Värm ghee och olivolja i en stekpanna tills den är varm. Tillsätt zucchinin och stek i 5 minuter. Strö över lite va"&amp;"tten och täck över i 10 minuter, eller tills zucchinin är helt genomkokt.
Tillsätt nu de uppvispade äggen och strö sedan över salt, svartpeppar och kanel. Detta hjälper äggen att fästa och förhindra obehaglig lukt från blandningen. Woka i cirka 3 minuter"&amp;" på hög värme tills äggen har stelnat helt.
För zucchini- och köttfärsversionen behöver du förbereda köttet med en matsked ghee, olivolja och lök. Fräs dem kort, täckta, på låg värme i cirka en halvtimme, eller tills köttet är genomkokt. Följ sedan samma"&amp;" steg som för zucchini- och ghee-versionen.")</f>
        <v>Tillagningsmetod: Tvätta zucchinin med en borste för att ta bort eventuell sand, som tidigare nämnts, och skär den i medelstora tärningar.
Värm ghee och olivolja i en stekpanna tills den är varm. Tillsätt zucchinin och stek i 5 minuter. Strö över lite vatten och täck över i 10 minuter, eller tills zucchinin är helt genomkokt.
Tillsätt nu de uppvispade äggen och strö sedan över salt, svartpeppar och kanel. Detta hjälper äggen att fästa och förhindra obehaglig lukt från blandningen. Woka i cirka 3 minuter på hög värme tills äggen har stelnat helt.
För zucchini- och köttfärsversionen behöver du förbereda köttet med en matsked ghee, olivolja och lök. Fräs dem kort, täckta, på låg värme i cirka en halvtimme, eller tills köttet är genomkokt. Följ sedan samma steg som för zucchini- och ghee-versionen.</v>
      </c>
      <c r="AI25" s="17" t="str">
        <f ca="1">IFERROR(__xludf.DUMMYFUNCTION("GOOGLETRANSLATE(U25, ""en"", ""sv"")"),"Med ghee räcker denna mängd till 6 personer.
Med kött räcker denna mängd till 8 personer.")</f>
        <v>Med ghee räcker denna mängd till 6 personer.
Med kött räcker denna mängd till 8 personer.</v>
      </c>
      <c r="AJ25" s="17" t="str">
        <f ca="1">IFERROR(__xludf.DUMMYFUNCTION("GOOGLETRANSLATE(V25, ""en"", ""sv"")"),"Garnera mfarkehen med skivade tomater, färska röda paprikor och hackad persilja.")</f>
        <v>Garnera mfarkehen med skivade tomater, färska röda paprikor och hackad persilja.</v>
      </c>
      <c r="AK25" s="17" t="str">
        <f ca="1">IFERROR(__xludf.DUMMYFUNCTION("GOOGLETRANSLATE(W25, ""en"", ""sv"")"),"Koka inte zucchinin eftersom den då blir smaklös. Att steka zucchinin i olivolja och ghee ger den en fantastisk och underbar smak.")</f>
        <v>Koka inte zucchinin eftersom den då blir smaklös. Att steka zucchinin i olivolja och ghee ger den en fantastisk och underbar smak.</v>
      </c>
      <c r="AL25" s="17" t="str">
        <f ca="1">IFERROR(__xludf.DUMMYFUNCTION("GOOGLETRANSLATE(X25, ""en"", ""sv"")"),"Bilder/Mfarraket_Kousa.jpg")</f>
        <v>Bilder/Mfarraket_Kousa.jpg</v>
      </c>
      <c r="AM25" s="17" t="str">
        <f ca="1">IFERROR(__xludf.DUMMYFUNCTION("GOOGLETRANSLATE(Y25, ""en"", ""sv"")"),"#VALUE!")</f>
        <v>#VALUE!</v>
      </c>
      <c r="AN25" s="17" t="str">
        <f ca="1">IFERROR(__xludf.DUMMYFUNCTION("GOOGLETRANSLATE(Z25, ""en"", ""sv"")"),"#VALUE!")</f>
        <v>#VALUE!</v>
      </c>
      <c r="AO25" s="17" t="str">
        <f ca="1">IFERROR(__xludf.DUMMYFUNCTION("GOOGLETRANSLATE(AA25, ""en"", ""sv"")"),"#VALUE!")</f>
        <v>#VALUE!</v>
      </c>
      <c r="AP25" s="17" t="str">
        <f ca="1">IFERROR(__xludf.DUMMYFUNCTION("GOOGLETRANSLATE(AB25, ""en"", ""sv"")"),"#VALUE!")</f>
        <v>#VALUE!</v>
      </c>
      <c r="AQ25" s="17"/>
    </row>
    <row r="26" spans="1:43" ht="303.60000000000002" x14ac:dyDescent="0.3">
      <c r="A26" s="8" t="s">
        <v>214</v>
      </c>
      <c r="B26" s="38" t="s">
        <v>111</v>
      </c>
      <c r="C26" s="39" t="s">
        <v>215</v>
      </c>
      <c r="D26" s="39" t="s">
        <v>216</v>
      </c>
      <c r="E26" s="42" t="s">
        <v>217</v>
      </c>
      <c r="F26" s="35" t="s">
        <v>218</v>
      </c>
      <c r="G26" s="35" t="s">
        <v>219</v>
      </c>
      <c r="H26" s="35" t="s">
        <v>220</v>
      </c>
      <c r="I26" s="35" t="s">
        <v>221</v>
      </c>
      <c r="J26" s="36" t="s">
        <v>222</v>
      </c>
      <c r="K26" s="41"/>
      <c r="L26" s="41"/>
      <c r="M26" s="41"/>
      <c r="N26" s="41"/>
      <c r="O26" s="14" t="str">
        <f t="shared" si="0"/>
        <v>25</v>
      </c>
      <c r="P26" s="15" t="str">
        <f ca="1">IFERROR(__xludf.DUMMYFUNCTION("GOOGLETRANSLATE(B26, ""ar"", ""en"")"),"vegetables")</f>
        <v>vegetables</v>
      </c>
      <c r="Q26" s="15" t="str">
        <f ca="1">IFERROR(__xludf.DUMMYFUNCTION("GOOGLETRANSLATE(C26, ""ar"", ""en"")"),"Makmur Batinjan")</f>
        <v>Makmur Batinjan</v>
      </c>
      <c r="R26" s="15" t="str">
        <f ca="1">IFERROR(__xludf.DUMMYFUNCTION("GOOGLETRANSLATE(D26, ""ar"", ""en"")"),"45 minutes")</f>
        <v>45 minutes</v>
      </c>
      <c r="S26" s="15" t="str">
        <f ca="1">IFERROR(__xludf.DUMMYFUNCTION("GOOGLETRANSLATE(E26, ""ar"", ""en"")"),"• 1 kg eggplant
• 1 large potato
• 2 medium onions (400 g)
• 1/2 kg tomatoes
• 2 tablespoons tomato paste
• 1 teaspoon black pepper
• 1 teaspoon salt
• 1 fresh green bell pepper (sweet or hot, as desired)
• 1 fresh green bell pepper (sweet or hot, as desi"&amp;"red)
• Oil for frying the eggplant
• 1/4 cup olive oil for the onions")</f>
        <v>• 1 kg eggplant
• 1 large potato
• 2 medium onions (400 g)
• 1/2 kg tomatoes
• 2 tablespoons tomato paste
• 1 teaspoon black pepper
• 1 teaspoon salt
• 1 fresh green bell pepper (sweet or hot, as desired)
• 1 fresh green bell pepper (sweet or hot, as desired)
• Oil for frying the eggplant
• 1/4 cup olive oil for the onions</v>
      </c>
      <c r="T26" s="15" t="str">
        <f ca="1">IFERROR(__xludf.DUMMYFUNCTION("GOOGLETRANSLATE(F26, ""ar"", ""en"")"),"Peel the eggplant completely or leave it striped.
Fry the eggplant in plenty of hot oil so it doesn't absorb too much oil, then place it on paper towels to drain.
Peel the potatoes and cut them into medium-sized cubes. Fry them like you would French frie"&amp;"s.
Dice the onions, green and red bell peppers, and tomatoes into small squares.
Heat olive oil in a suitable pot and sauté the onions until golden brown. Cover the pot and cook for 5 minutes. Then add the bell peppers and sauté until fragrant and parti"&amp;"ally cooked.
Place the fried eggplant on top of the mixture, then add salt, spices, two tablespoons of tomato paste, and the tomatoes. Stir well and cover for 15 minutes.")</f>
        <v>Peel the eggplant completely or leave it striped.
Fry the eggplant in plenty of hot oil so it doesn't absorb too much oil, then place it on paper towels to drain.
Peel the potatoes and cut them into medium-sized cubes. Fry them like you would French fries.
Dice the onions, green and red bell peppers, and tomatoes into small squares.
Heat olive oil in a suitable pot and sauté the onions until golden brown. Cover the pot and cook for 5 minutes. Then add the bell peppers and sauté until fragrant and partially cooked.
Place the fried eggplant on top of the mixture, then add salt, spices, two tablespoons of tomato paste, and the tomatoes. Stir well and cover for 15 minutes.</v>
      </c>
      <c r="U26" s="15" t="str">
        <f ca="1">IFERROR(__xludf.DUMMYFUNCTION("GOOGLETRANSLATE(G26, ""ar"", ""en"")"),"This quantity is enough for 8 people because the dish is eaten by dipping bread in it, not with rice.")</f>
        <v>This quantity is enough for 8 people because the dish is eaten by dipping bread in it, not with rice.</v>
      </c>
      <c r="V26" s="15" t="str">
        <f ca="1">IFERROR(__xludf.DUMMYFUNCTION("GOOGLETRANSLATE(H26, ""ar"", ""en"")"),"Garnish the dish with finely chopped parsley.")</f>
        <v>Garnish the dish with finely chopped parsley.</v>
      </c>
      <c r="W26" s="15" t="str">
        <f ca="1">IFERROR(__xludf.DUMMYFUNCTION("GOOGLETRANSLATE(I26, ""ar"", ""en"")"),"Women in Aleppo don't usually add green or red peppers to the dish, but I've found that eggplant always goes well with all kinds of peppers. Similarly, in Aleppo, potatoes are typically served with just eggplant, onions, and tomatoes.
A tip for saving mo"&amp;"ney and preserving blessings: Whenever you make stuffed eggplant, scoop out the first pulp with a large corer and collect it in a bowl. Once you've finished, cut each piece in half and fry it in oil, just like you did with the sliced ​​eggplant, until it "&amp;"turns light brown. Then, cook it as a side dish or appetizer. Your family will appreciate this and love it because it will be a small portion and so appetizing.")</f>
        <v>Women in Aleppo don't usually add green or red peppers to the dish, but I've found that eggplant always goes well with all kinds of peppers. Similarly, in Aleppo, potatoes are typically served with just eggplant, onions, and tomatoes.
A tip for saving money and preserving blessings: Whenever you make stuffed eggplant, scoop out the first pulp with a large corer and collect it in a bowl. Once you've finished, cut each piece in half and fry it in oil, just like you did with the sliced ​​eggplant, until it turns light brown. Then, cook it as a side dish or appetizer. Your family will appreciate this and love it because it will be a small portion and so appetizing.</v>
      </c>
      <c r="X26" s="15" t="str">
        <f ca="1">IFERROR(__xludf.DUMMYFUNCTION("GOOGLETRANSLATE(J26, ""ar"", ""en"")"),"images/Makmour.jpg")</f>
        <v>images/Makmour.jpg</v>
      </c>
      <c r="Y26" s="15" t="str">
        <f ca="1">IFERROR(__xludf.DUMMYFUNCTION("GOOGLETRANSLATE(K26, ""ar"", ""en"")"),"#VALUE!")</f>
        <v>#VALUE!</v>
      </c>
      <c r="Z26" s="15" t="str">
        <f ca="1">IFERROR(__xludf.DUMMYFUNCTION("GOOGLETRANSLATE(L26, ""ar"", ""en"")"),"#VALUE!")</f>
        <v>#VALUE!</v>
      </c>
      <c r="AA26" s="15" t="str">
        <f ca="1">IFERROR(__xludf.DUMMYFUNCTION("GOOGLETRANSLATE(M26, ""ar"", ""en"")"),"#VALUE!")</f>
        <v>#VALUE!</v>
      </c>
      <c r="AB26" s="15" t="str">
        <f ca="1">IFERROR(__xludf.DUMMYFUNCTION("GOOGLETRANSLATE(N26, ""ar"", ""en"")"),"#VALUE!")</f>
        <v>#VALUE!</v>
      </c>
      <c r="AC26" s="16" t="str">
        <f t="shared" si="1"/>
        <v>25</v>
      </c>
      <c r="AD26" s="17" t="str">
        <f ca="1">IFERROR(__xludf.DUMMYFUNCTION("GOOGLETRANSLATE(P26, ""en"", ""sv"")"),"grönsaker")</f>
        <v>grönsaker</v>
      </c>
      <c r="AE26" s="17" t="str">
        <f ca="1">IFERROR(__xludf.DUMMYFUNCTION("GOOGLETRANSLATE(Q26, ""en"", ""sv"")"),"Makmur Batinjan")</f>
        <v>Makmur Batinjan</v>
      </c>
      <c r="AF26" s="17" t="str">
        <f ca="1">IFERROR(__xludf.DUMMYFUNCTION("GOOGLETRANSLATE(R26, ""en"", ""sv"")"),"45 minuter")</f>
        <v>45 minuter</v>
      </c>
      <c r="AG26" s="17" t="str">
        <f ca="1">IFERROR(__xludf.DUMMYFUNCTION("GOOGLETRANSLATE(S26, ""en"", ""sv"")"),"• 1 kg aubergine
• 1 stor potatis
• 2 medelstora lökar (400 g)
• 1/2 kg tomater
• 2 msk tomatpuré
• 1 tsk svartpeppar
• 1 tsk salt
• 1 färsk grön paprika (söt eller stark, efter önskemål)
• 1 färsk grön paprika (söt eller stark, efter önskemål)
• Olja för"&amp;" att steka auberginen
• 1/4 dl olivolja för löken")</f>
        <v>• 1 kg aubergine
• 1 stor potatis
• 2 medelstora lökar (400 g)
• 1/2 kg tomater
• 2 msk tomatpuré
• 1 tsk svartpeppar
• 1 tsk salt
• 1 färsk grön paprika (söt eller stark, efter önskemål)
• 1 färsk grön paprika (söt eller stark, efter önskemål)
• Olja för att steka auberginen
• 1/4 dl olivolja för löken</v>
      </c>
      <c r="AH26" s="17" t="str">
        <f ca="1">IFERROR(__xludf.DUMMYFUNCTION("GOOGLETRANSLATE(T26, ""en"", ""sv"")"),"Skala auberginen helt eller låt den vara strimlad.
Fräs auberginen i rikligt med het olja så att den inte absorberar för mycket olja. Lägg den sedan på hushållspapper för att rinna av.
Skala potatisen och skär den i medelstora tärningar. Fräs dem som du"&amp;" skulle steka med pommes frites.
Tärna löken, gröna och röda paprikor och tomater i små fyrkanter.
Värm olivolja i en lämplig kastrull och fräs löken tills den är gyllenbrun. Täck över kastrullen och tillaga i 5 minuter. Tillsätt sedan paprikorna och fr"&amp;"äs tills de doftar och är delvis genomkokta.
Lägg den friterade auberginen ovanpå blandningen, tillsätt sedan salt, kryddor, två matskedar tomatpuré och tomaterna. Rör om väl och täck över i 15 minuter.")</f>
        <v>Skala auberginen helt eller låt den vara strimlad.
Fräs auberginen i rikligt med het olja så att den inte absorberar för mycket olja. Lägg den sedan på hushållspapper för att rinna av.
Skala potatisen och skär den i medelstora tärningar. Fräs dem som du skulle steka med pommes frites.
Tärna löken, gröna och röda paprikor och tomater i små fyrkanter.
Värm olivolja i en lämplig kastrull och fräs löken tills den är gyllenbrun. Täck över kastrullen och tillaga i 5 minuter. Tillsätt sedan paprikorna och fräs tills de doftar och är delvis genomkokta.
Lägg den friterade auberginen ovanpå blandningen, tillsätt sedan salt, kryddor, två matskedar tomatpuré och tomaterna. Rör om väl och täck över i 15 minuter.</v>
      </c>
      <c r="AI26" s="17" t="str">
        <f ca="1">IFERROR(__xludf.DUMMYFUNCTION("GOOGLETRANSLATE(U26, ""en"", ""sv"")"),"Denna mängd räcker till 8 personer eftersom rätten äts genom att doppa bröd i den, inte med ris.")</f>
        <v>Denna mängd räcker till 8 personer eftersom rätten äts genom att doppa bröd i den, inte med ris.</v>
      </c>
      <c r="AJ26" s="17" t="str">
        <f ca="1">IFERROR(__xludf.DUMMYFUNCTION("GOOGLETRANSLATE(V26, ""en"", ""sv"")"),"Garnera rätten med finhackad persilja.")</f>
        <v>Garnera rätten med finhackad persilja.</v>
      </c>
      <c r="AK26" s="17" t="str">
        <f ca="1">IFERROR(__xludf.DUMMYFUNCTION("GOOGLETRANSLATE(W26, ""en"", ""sv"")"),"Kvinnor i Aleppo brukar inte lägga till grön eller röd paprika i rätten, men jag har märkt att aubergine alltid passar bra med alla möjliga sorters paprika. På samma sätt serveras potatis i Aleppo vanligtvis bara med aubergine, lök och tomater.
Ett tips "&amp;"för att spara pengar och bevara välsignelser: När du gör fylld aubergine, gröp ur den första fruktköttet med en stor urkärnare och samla upp det i en skål. När du är klar, skär varje bit på mitten och stek den i olja, precis som du gjorde med den skivade "&amp;"auberginen, tills den blir ljusbrun. Tillaga den sedan som en sidorätt eller förrätt. Din familj kommer att uppskatta detta och älska det eftersom det blir en liten portion och så aptitretande.")</f>
        <v>Kvinnor i Aleppo brukar inte lägga till grön eller röd paprika i rätten, men jag har märkt att aubergine alltid passar bra med alla möjliga sorters paprika. På samma sätt serveras potatis i Aleppo vanligtvis bara med aubergine, lök och tomater.
Ett tips för att spara pengar och bevara välsignelser: När du gör fylld aubergine, gröp ur den första fruktköttet med en stor urkärnare och samla upp det i en skål. När du är klar, skär varje bit på mitten och stek den i olja, precis som du gjorde med den skivade auberginen, tills den blir ljusbrun. Tillaga den sedan som en sidorätt eller förrätt. Din familj kommer att uppskatta detta och älska det eftersom det blir en liten portion och så aptitretande.</v>
      </c>
      <c r="AL26" s="17" t="str">
        <f ca="1">IFERROR(__xludf.DUMMYFUNCTION("GOOGLETRANSLATE(X26, ""en"", ""sv"")"),"bilder/Makmour.jpg")</f>
        <v>bilder/Makmour.jpg</v>
      </c>
      <c r="AM26" s="17" t="str">
        <f ca="1">IFERROR(__xludf.DUMMYFUNCTION("GOOGLETRANSLATE(Y26, ""en"", ""sv"")"),"#VALUE!")</f>
        <v>#VALUE!</v>
      </c>
      <c r="AN26" s="17" t="str">
        <f ca="1">IFERROR(__xludf.DUMMYFUNCTION("GOOGLETRANSLATE(Z26, ""en"", ""sv"")"),"#VALUE!")</f>
        <v>#VALUE!</v>
      </c>
      <c r="AO26" s="17" t="str">
        <f ca="1">IFERROR(__xludf.DUMMYFUNCTION("GOOGLETRANSLATE(AA26, ""en"", ""sv"")"),"#VALUE!")</f>
        <v>#VALUE!</v>
      </c>
      <c r="AP26" s="17" t="str">
        <f ca="1">IFERROR(__xludf.DUMMYFUNCTION("GOOGLETRANSLATE(AB26, ""en"", ""sv"")"),"#VALUE!")</f>
        <v>#VALUE!</v>
      </c>
      <c r="AQ26" s="17"/>
    </row>
    <row r="27" spans="1:43" ht="409.6" x14ac:dyDescent="0.3">
      <c r="A27" s="8" t="s">
        <v>223</v>
      </c>
      <c r="B27" s="38" t="s">
        <v>111</v>
      </c>
      <c r="C27" s="39" t="s">
        <v>224</v>
      </c>
      <c r="D27" s="39" t="s">
        <v>161</v>
      </c>
      <c r="E27" s="35" t="s">
        <v>225</v>
      </c>
      <c r="F27" s="44" t="s">
        <v>226</v>
      </c>
      <c r="G27" s="35" t="s">
        <v>227</v>
      </c>
      <c r="H27" s="35" t="s">
        <v>228</v>
      </c>
      <c r="I27" s="35" t="s">
        <v>229</v>
      </c>
      <c r="J27" s="36" t="s">
        <v>230</v>
      </c>
      <c r="K27" s="41"/>
      <c r="L27" s="41"/>
      <c r="M27" s="41"/>
      <c r="N27" s="41"/>
      <c r="O27" s="14" t="str">
        <f t="shared" si="0"/>
        <v>26</v>
      </c>
      <c r="P27" s="15" t="str">
        <f ca="1">IFERROR(__xludf.DUMMYFUNCTION("GOOGLETRANSLATE(B27, ""ar"", ""en"")"),"vegetables")</f>
        <v>vegetables</v>
      </c>
      <c r="Q27" s="15" t="str">
        <f ca="1">IFERROR(__xludf.DUMMYFUNCTION("GOOGLETRANSLATE(C27, ""ar"", ""en"")"),"Rice with green beans")</f>
        <v>Rice with green beans</v>
      </c>
      <c r="R27" s="15" t="str">
        <f ca="1">IFERROR(__xludf.DUMMYFUNCTION("GOOGLETRANSLATE(D27, ""ar"", ""en"")"),"hour")</f>
        <v>hour</v>
      </c>
      <c r="S27" s="15" t="str">
        <f ca="1">IFERROR(__xludf.DUMMYFUNCTION("GOOGLETRANSLATE(E27, ""ar"", ""en"")"),"Ingredients:
• 1 kg green broad beans (the whole beans, not the whole ones), medium-sized beans. Frozen or fresh, depending on what's available.
• 500 g minced meat (or you can use a vegetarian version with 3 tablespoons of ghee or half a cup of Mazola oi"&amp;"l if you prefer).
• 4 cups rice (approximately 1 kg).
• 3 cups boiling water.
• 3 medium onions (approximately 400 g).
• 1 teaspoon black pepper.
• 1 tablespoon salt.")</f>
        <v>Ingredients:
• 1 kg green broad beans (the whole beans, not the whole ones), medium-sized beans. Frozen or fresh, depending on what's available.
• 500 g minced meat (or you can use a vegetarian version with 3 tablespoons of ghee or half a cup of Mazola oil if you prefer).
• 4 cups rice (approximately 1 kg).
• 3 cups boiling water.
• 3 medium onions (approximately 400 g).
• 1 teaspoon black pepper.
• 1 tablespoon salt.</v>
      </c>
      <c r="T27" s="15" t="str">
        <f ca="1">IFERROR(__xludf.DUMMYFUNCTION("GOOGLETRANSLATE(F27, ""ar"", ""en"")"),"Wash and soak the rice, whether it's short-grain Egyptian or basmati, and leave it aside for at least an hour.
Peel and finely chop the onion. Add it to the meat, ghee, or oil, depending on the type of cooking you're using. Let the onion cook until it's "&amp;"tender and turns golden brown in the oil or ghee.
If using frozen fava beans, place them in a bowl and pour boiling water over them. Leave them to thaw until ready to use (i.e., remove them from the freezer half an hour beforehand). Do not thaw the beans"&amp;" without boiling water; this will cause them to lose all their flavor and nutritional value.
Once the meat is cooked or the onions are golden brown, add the fava beans to the mixture, stir, sprinkle with black pepper, half a teaspoon of salt, and half a "&amp;"cup of boiling water. Cover and let it cook for 15 minutes. Now, prepare 3 cups of boiling water. Place the rice on top of the mixture and pour the water over it. Stir until well combined. Add a teaspoon of salt, cover, and bring to a boil. When the water"&amp;" level drops slightly below the top of the rice, reduce the heat to medium for 5 minutes, then reduce the heat to the lowest setting and let it cook for another 10 minutes. Turn off the heat and let it sit, covered, for another 10 minutes.
After that, tu"&amp;"rn the dish out onto a serving platter and fluff it up with a fork so the rice doesn't stick together and looks appetizing. After this, you can return it to the pot and cover it if it's not ready to eat.
")</f>
        <v xml:space="preserve">Wash and soak the rice, whether it's short-grain Egyptian or basmati, and leave it aside for at least an hour.
Peel and finely chop the onion. Add it to the meat, ghee, or oil, depending on the type of cooking you're using. Let the onion cook until it's tender and turns golden brown in the oil or ghee.
If using frozen fava beans, place them in a bowl and pour boiling water over them. Leave them to thaw until ready to use (i.e., remove them from the freezer half an hour beforehand). Do not thaw the beans without boiling water; this will cause them to lose all their flavor and nutritional value.
Once the meat is cooked or the onions are golden brown, add the fava beans to the mixture, stir, sprinkle with black pepper, half a teaspoon of salt, and half a cup of boiling water. Cover and let it cook for 15 minutes. Now, prepare 3 cups of boiling water. Place the rice on top of the mixture and pour the water over it. Stir until well combined. Add a teaspoon of salt, cover, and bring to a boil. When the water level drops slightly below the top of the rice, reduce the heat to medium for 5 minutes, then reduce the heat to the lowest setting and let it cook for another 10 minutes. Turn off the heat and let it sit, covered, for another 10 minutes.
After that, turn the dish out onto a serving platter and fluff it up with a fork so the rice doesn't stick together and looks appetizing. After this, you can return it to the pot and cover it if it's not ready to eat.
</v>
      </c>
      <c r="U27" s="15" t="str">
        <f ca="1">IFERROR(__xludf.DUMMYFUNCTION("GOOGLETRANSLATE(G27, ""ar"", ""en"")"),"The quantity is enough for 5 people.")</f>
        <v>The quantity is enough for 5 people.</v>
      </c>
      <c r="V27" s="15" t="str">
        <f ca="1">IFERROR(__xludf.DUMMYFUNCTION("GOOGLETRANSLATE(H27, ""ar"", ""en"")"),"Sprinkle black pepper on top and garnish with green peppers and tomatoes.
")</f>
        <v xml:space="preserve">Sprinkle black pepper on top and garnish with green peppers and tomatoes.
</v>
      </c>
      <c r="W27" s="15" t="str">
        <f ca="1">IFERROR(__xludf.DUMMYFUNCTION("GOOGLETRANSLATE(I27, ""ar"", ""en"")"),"I always recommend that in dishes containing rice and vegetables, whether it's Maqluba, rice with beans, or rice with peas, the rice should be boiled separately in a pot with salt and a little oil or ghee. When it's almost cooked, drain the water, leaving"&amp;" it slightly moist, and then mix it with the meat or onions, depending on the dish. This way, the rice stays fluffy and looks better than when cooked with all the vegetables.
However, be careful with this method: when you add the rice, the heat should be"&amp;" high for only two minutes, then reduce it to the lowest setting for five minutes. Turn off the heat and let it sit for ten minutes to allow the flavors to meld. Now, transfer the rice to a serving dish as I explained.")</f>
        <v>I always recommend that in dishes containing rice and vegetables, whether it's Maqluba, rice with beans, or rice with peas, the rice should be boiled separately in a pot with salt and a little oil or ghee. When it's almost cooked, drain the water, leaving it slightly moist, and then mix it with the meat or onions, depending on the dish. This way, the rice stays fluffy and looks better than when cooked with all the vegetables.
However, be careful with this method: when you add the rice, the heat should be high for only two minutes, then reduce it to the lowest setting for five minutes. Turn off the heat and let it sit for ten minutes to allow the flavors to meld. Now, transfer the rice to a serving dish as I explained.</v>
      </c>
      <c r="X27" s="15" t="str">
        <f ca="1">IFERROR(__xludf.DUMMYFUNCTION("GOOGLETRANSLATE(J27, ""ar"", ""en"")"),"Images/Rez_Foul/jpg")</f>
        <v>Images/Rez_Foul/jpg</v>
      </c>
      <c r="Y27" s="15" t="str">
        <f ca="1">IFERROR(__xludf.DUMMYFUNCTION("GOOGLETRANSLATE(K27, ""ar"", ""en"")"),"#VALUE!")</f>
        <v>#VALUE!</v>
      </c>
      <c r="Z27" s="15" t="str">
        <f ca="1">IFERROR(__xludf.DUMMYFUNCTION("GOOGLETRANSLATE(L27, ""ar"", ""en"")"),"#VALUE!")</f>
        <v>#VALUE!</v>
      </c>
      <c r="AA27" s="15" t="str">
        <f ca="1">IFERROR(__xludf.DUMMYFUNCTION("GOOGLETRANSLATE(M27, ""ar"", ""en"")"),"#VALUE!")</f>
        <v>#VALUE!</v>
      </c>
      <c r="AB27" s="15" t="str">
        <f ca="1">IFERROR(__xludf.DUMMYFUNCTION("GOOGLETRANSLATE(N27, ""ar"", ""en"")"),"#VALUE!")</f>
        <v>#VALUE!</v>
      </c>
      <c r="AC27" s="16" t="str">
        <f t="shared" si="1"/>
        <v>26</v>
      </c>
      <c r="AD27" s="17" t="str">
        <f ca="1">IFERROR(__xludf.DUMMYFUNCTION("GOOGLETRANSLATE(P27, ""en"", ""sv"")"),"grönsaker")</f>
        <v>grönsaker</v>
      </c>
      <c r="AE27" s="17" t="str">
        <f ca="1">IFERROR(__xludf.DUMMYFUNCTION("GOOGLETRANSLATE(Q27, ""en"", ""sv"")"),"Ris med gröna bönor")</f>
        <v>Ris med gröna bönor</v>
      </c>
      <c r="AF27" s="17" t="str">
        <f ca="1">IFERROR(__xludf.DUMMYFUNCTION("GOOGLETRANSLATE(R27, ""en"", ""sv"")"),"timme")</f>
        <v>timme</v>
      </c>
      <c r="AG27" s="17" t="str">
        <f ca="1">IFERROR(__xludf.DUMMYFUNCTION("GOOGLETRANSLATE(S27, ""en"", ""sv"")"),"Ingredienser:
• 1 kg gröna bondbönor (hela bönor, inte hela), medelstora bönor. Frysta eller färska, beroende på vad som finns tillgängligt.
• 500 g köttfärs (eller så kan du använda en vegetarisk version med 3 matskedar ghee eller en halv kopp mazolaolja"&amp;" om du föredrar det).
• 1,2 dl ris (cirka 1 kg).
• 7,5 dl kokande vatten.
• 3 medelstora lökar (cirka 400 g).
• 1 tesked svartpeppar.
• 1 matsked salt.")</f>
        <v>Ingredienser:
• 1 kg gröna bondbönor (hela bönor, inte hela), medelstora bönor. Frysta eller färska, beroende på vad som finns tillgängligt.
• 500 g köttfärs (eller så kan du använda en vegetarisk version med 3 matskedar ghee eller en halv kopp mazolaolja om du föredrar det).
• 1,2 dl ris (cirka 1 kg).
• 7,5 dl kokande vatten.
• 3 medelstora lökar (cirka 400 g).
• 1 tesked svartpeppar.
• 1 matsked salt.</v>
      </c>
      <c r="AH27" s="17" t="str">
        <f ca="1">IFERROR(__xludf.DUMMYFUNCTION("GOOGLETRANSLATE(T27, ""en"", ""sv"")"),"Tvätta och blötlägg riset, oavsett om det är kortkornigt egyptiskt ris eller basmatiris, och låt det stå åt sidan i minst en timme.
Skala och finhacka löken. Tillsätt den till köttet, gheen eller oljan, beroende på vilken typ av tillagning du använder. L"&amp;"åt löken koka tills den är mör och blir gyllenbrun i oljan eller gheen.
Om du använder frysta bondbönor, lägg dem i en skål och häll kokande vatten över dem. Låt dem tina tills de ska användas (dvs. ta ut dem ur frysen en halvtimme i förväg). Tina inte b"&amp;"önorna utan att koka vatten; det kommer att få dem att förlora all sin smak och sitt näringsvärde.
När köttet är tillagat eller löken är gyllenbrun, tillsätt bondbönorna i blandningen, rör om, strö över svartpeppar, en halv tesked salt och en halv kopp k"&amp;"okande vatten. Täck över och låt det koka i 15 minuter. Förbered nu 3 koppar kokande vatten. Lägg riset ovanpå blandningen och häll vattnet över det. Rör om tills det är väl blandat. Tillsätt en tesked salt, täck över och koka upp. När vattennivån sjunker"&amp;" något under risets ovansida, sänk värmen till medelvärme i 5 minuter, sänk sedan värmen till lägsta och låt det koka i ytterligare 10 minuter. Stäng av värmen och låt det stå täckt i ytterligare 10 minuter.
Därefter, stjälp upp rätten på ett serveringsf"&amp;"at och fluffa upp den med en gaffel så att riset inte klibbar ihop och ser aptitretande ut. Efter detta kan du lägga tillbaka riset i grytan och täcka över det om det inte är klart att ätas.
")</f>
        <v xml:space="preserve">Tvätta och blötlägg riset, oavsett om det är kortkornigt egyptiskt ris eller basmatiris, och låt det stå åt sidan i minst en timme.
Skala och finhacka löken. Tillsätt den till köttet, gheen eller oljan, beroende på vilken typ av tillagning du använder. Låt löken koka tills den är mör och blir gyllenbrun i oljan eller gheen.
Om du använder frysta bondbönor, lägg dem i en skål och häll kokande vatten över dem. Låt dem tina tills de ska användas (dvs. ta ut dem ur frysen en halvtimme i förväg). Tina inte bönorna utan att koka vatten; det kommer att få dem att förlora all sin smak och sitt näringsvärde.
När köttet är tillagat eller löken är gyllenbrun, tillsätt bondbönorna i blandningen, rör om, strö över svartpeppar, en halv tesked salt och en halv kopp kokande vatten. Täck över och låt det koka i 15 minuter. Förbered nu 3 koppar kokande vatten. Lägg riset ovanpå blandningen och häll vattnet över det. Rör om tills det är väl blandat. Tillsätt en tesked salt, täck över och koka upp. När vattennivån sjunker något under risets ovansida, sänk värmen till medelvärme i 5 minuter, sänk sedan värmen till lägsta och låt det koka i ytterligare 10 minuter. Stäng av värmen och låt det stå täckt i ytterligare 10 minuter.
Därefter, stjälp upp rätten på ett serveringsfat och fluffa upp den med en gaffel så att riset inte klibbar ihop och ser aptitretande ut. Efter detta kan du lägga tillbaka riset i grytan och täcka över det om det inte är klart att ätas.
</v>
      </c>
      <c r="AI27" s="17" t="str">
        <f ca="1">IFERROR(__xludf.DUMMYFUNCTION("GOOGLETRANSLATE(U27, ""en"", ""sv"")"),"Mängden räcker till 5 personer.")</f>
        <v>Mängden räcker till 5 personer.</v>
      </c>
      <c r="AJ27" s="17" t="str">
        <f ca="1">IFERROR(__xludf.DUMMYFUNCTION("GOOGLETRANSLATE(V27, ""en"", ""sv"")"),"Strö svartpeppar över och garnera med grön paprika och tomater.
")</f>
        <v xml:space="preserve">Strö svartpeppar över och garnera med grön paprika och tomater.
</v>
      </c>
      <c r="AK27" s="17" t="str">
        <f ca="1">IFERROR(__xludf.DUMMYFUNCTION("GOOGLETRANSLATE(W27, ""en"", ""sv"")"),"Jag rekommenderar alltid att i rätter som innehåller ris och grönsaker, oavsett om det är Maqluba, ris med bönor eller ris med ärtor, kokas riset separat i en kastrull med salt och lite olja eller ghee. När det nästan är kokt, häll av vattnet, låt det var"&amp;"a lätt fuktigt, och blanda det sedan med köttet eller löken, beroende på rätten. På så sätt förblir riset fluffigt och ser bättre ut än när det tillagas med alla grönsaker.
Var dock försiktig med den här metoden: när du tillsätter riset ska värmen vara h"&amp;"ög i bara två minuter, sedan sänk den till lägsta inställningen i fem minuter. Stäng av värmen och låt det stå i tio minuter så att smakerna smälter samman. Lägg nu över riset i en serveringsskål som jag förklarade.")</f>
        <v>Jag rekommenderar alltid att i rätter som innehåller ris och grönsaker, oavsett om det är Maqluba, ris med bönor eller ris med ärtor, kokas riset separat i en kastrull med salt och lite olja eller ghee. När det nästan är kokt, häll av vattnet, låt det vara lätt fuktigt, och blanda det sedan med köttet eller löken, beroende på rätten. På så sätt förblir riset fluffigt och ser bättre ut än när det tillagas med alla grönsaker.
Var dock försiktig med den här metoden: när du tillsätter riset ska värmen vara hög i bara två minuter, sedan sänk den till lägsta inställningen i fem minuter. Stäng av värmen och låt det stå i tio minuter så att smakerna smälter samman. Lägg nu över riset i en serveringsskål som jag förklarade.</v>
      </c>
      <c r="AL27" s="17" t="str">
        <f ca="1">IFERROR(__xludf.DUMMYFUNCTION("GOOGLETRANSLATE(X27, ""en"", ""sv"")"),"Bilder/Rez_Foul/jpg")</f>
        <v>Bilder/Rez_Foul/jpg</v>
      </c>
      <c r="AM27" s="17" t="str">
        <f ca="1">IFERROR(__xludf.DUMMYFUNCTION("GOOGLETRANSLATE(Y27, ""en"", ""sv"")"),"#VALUE!")</f>
        <v>#VALUE!</v>
      </c>
      <c r="AN27" s="17" t="str">
        <f ca="1">IFERROR(__xludf.DUMMYFUNCTION("GOOGLETRANSLATE(Z27, ""en"", ""sv"")"),"#VALUE!")</f>
        <v>#VALUE!</v>
      </c>
      <c r="AO27" s="17" t="str">
        <f ca="1">IFERROR(__xludf.DUMMYFUNCTION("GOOGLETRANSLATE(AA27, ""en"", ""sv"")"),"#VALUE!")</f>
        <v>#VALUE!</v>
      </c>
      <c r="AP27" s="17" t="str">
        <f ca="1">IFERROR(__xludf.DUMMYFUNCTION("GOOGLETRANSLATE(AB27, ""en"", ""sv"")"),"#VALUE!")</f>
        <v>#VALUE!</v>
      </c>
      <c r="AQ27" s="17"/>
    </row>
    <row r="28" spans="1:43" ht="14.25" customHeight="1" x14ac:dyDescent="0.3">
      <c r="A28" s="8" t="s">
        <v>231</v>
      </c>
      <c r="B28" s="38" t="s">
        <v>111</v>
      </c>
      <c r="C28" s="39" t="s">
        <v>232</v>
      </c>
      <c r="D28" s="39" t="s">
        <v>233</v>
      </c>
      <c r="E28" s="35" t="s">
        <v>234</v>
      </c>
      <c r="F28" s="35" t="s">
        <v>235</v>
      </c>
      <c r="G28" s="35" t="s">
        <v>227</v>
      </c>
      <c r="H28" s="35" t="s">
        <v>236</v>
      </c>
      <c r="I28" s="35" t="s">
        <v>229</v>
      </c>
      <c r="J28" s="36" t="s">
        <v>237</v>
      </c>
      <c r="K28" s="41"/>
      <c r="L28" s="41"/>
      <c r="M28" s="41"/>
      <c r="N28" s="41"/>
      <c r="O28" s="14" t="str">
        <f t="shared" si="0"/>
        <v>27</v>
      </c>
      <c r="P28" s="15" t="str">
        <f ca="1">IFERROR(__xludf.DUMMYFUNCTION("GOOGLETRANSLATE(B28, ""ar"", ""en"")"),"vegetables")</f>
        <v>vegetables</v>
      </c>
      <c r="Q28" s="15" t="str">
        <f ca="1">IFERROR(__xludf.DUMMYFUNCTION("GOOGLETRANSLATE(C28, ""ar"", ""en"")"),"Rice with peas and carrots")</f>
        <v>Rice with peas and carrots</v>
      </c>
      <c r="R28" s="15" t="str">
        <f ca="1">IFERROR(__xludf.DUMMYFUNCTION("GOOGLETRANSLATE(D28, ""ar"", ""en"")"),"hour ")</f>
        <v xml:space="preserve">hour </v>
      </c>
      <c r="S28" s="15" t="str">
        <f ca="1">IFERROR(__xludf.DUMMYFUNCTION("GOOGLETRANSLATE(E28, ""ar"", ""en"")"),"Ingredients:
• 450g frozen or fresh peas (I prefer frozen)
• 500g minced meat (or you can use a vegetarian version with 3 tablespoons of ghee or half a cup of Mazola oil if you prefer)
• 4 cups rice (approximately 1 kg)
• 2 medium carrots (approximately 2"&amp;"00g)
• 3 cups boiling water
• 3 medium onions (approximately 400g)
• 1 teaspoon black pepper
• 1 tablespoon salt")</f>
        <v>Ingredients:
• 450g frozen or fresh peas (I prefer frozen)
• 500g minced meat (or you can use a vegetarian version with 3 tablespoons of ghee or half a cup of Mazola oil if you prefer)
• 4 cups rice (approximately 1 kg)
• 2 medium carrots (approximately 200g)
• 3 cups boiling water
• 3 medium onions (approximately 400g)
• 1 teaspoon black pepper
• 1 tablespoon salt</v>
      </c>
      <c r="T28" s="15" t="str">
        <f ca="1">IFERROR(__xludf.DUMMYFUNCTION("GOOGLETRANSLATE(F28, ""ar"", ""en"")"),"Wash and soak the rice, whether it's short-grain Egyptian or basmati, and leave it aside for at least an hour.
Peel and finely chop the onion. Add it to the meat, ghee, or oil, depending on the type of cooking you're using. Let the onion cook until it's "&amp;"tender and turns golden brown in the oil or ghee.
If the peas and carrots are frozen, place them in a bowl and pour boiling water over them. Leave them to thaw until ready to use (remove them from the freezer half an hour beforehand). Do not thaw the pea"&amp;"s and carrots without boiling water; this will cause them to lose all their flavor and nutritional value.
Once the meat is cooked or the onions are browned, add the peas and carrots to the mixture, stir, sprinkle with black pepper, half a teaspoon of sal"&amp;"t, and half a cup of boiling water. Cover and let it cook for 15 minutes. Now, prepare 3 cups of boiling water. Place the rice on top of the mixture and pour the water over it. Stir until well combined. Add a teaspoon of salt, cover, and bring to a boil. "&amp;"When the water level drops slightly below the top of the rice, reduce the heat to medium for 5 minutes, then reduce the heat to the lowest setting and let it cook for another 10 minutes. Turn off the heat and let it sit, covered, for another 10 minutes.
"&amp;"After that, turn the dish out onto a serving platter and fluff it up with a fork so the rice doesn't stick together and looks appetizing. After this, you can return it to the pot and cover it if it's not ready to eat.")</f>
        <v>Wash and soak the rice, whether it's short-grain Egyptian or basmati, and leave it aside for at least an hour.
Peel and finely chop the onion. Add it to the meat, ghee, or oil, depending on the type of cooking you're using. Let the onion cook until it's tender and turns golden brown in the oil or ghee.
If the peas and carrots are frozen, place them in a bowl and pour boiling water over them. Leave them to thaw until ready to use (remove them from the freezer half an hour beforehand). Do not thaw the peas and carrots without boiling water; this will cause them to lose all their flavor and nutritional value.
Once the meat is cooked or the onions are browned, add the peas and carrots to the mixture, stir, sprinkle with black pepper, half a teaspoon of salt, and half a cup of boiling water. Cover and let it cook for 15 minutes. Now, prepare 3 cups of boiling water. Place the rice on top of the mixture and pour the water over it. Stir until well combined. Add a teaspoon of salt, cover, and bring to a boil. When the water level drops slightly below the top of the rice, reduce the heat to medium for 5 minutes, then reduce the heat to the lowest setting and let it cook for another 10 minutes. Turn off the heat and let it sit, covered, for another 10 minutes.
After that, turn the dish out onto a serving platter and fluff it up with a fork so the rice doesn't stick together and looks appetizing. After this, you can return it to the pot and cover it if it's not ready to eat.</v>
      </c>
      <c r="U28" s="15" t="str">
        <f ca="1">IFERROR(__xludf.DUMMYFUNCTION("GOOGLETRANSLATE(G28, ""ar"", ""en"")"),"The quantity is enough for 5 people.")</f>
        <v>The quantity is enough for 5 people.</v>
      </c>
      <c r="V28" s="15" t="str">
        <f ca="1">IFERROR(__xludf.DUMMYFUNCTION("GOOGLETRANSLATE(H28, ""ar"", ""en"")"),"Sprinkle black pepper on top and garnish with green peppers and tomatoes.
Serve this dish with a side of cucumber and yogurt, ayran, or plain yogurt.")</f>
        <v>Sprinkle black pepper on top and garnish with green peppers and tomatoes.
Serve this dish with a side of cucumber and yogurt, ayran, or plain yogurt.</v>
      </c>
      <c r="W28" s="15" t="str">
        <f ca="1">IFERROR(__xludf.DUMMYFUNCTION("GOOGLETRANSLATE(I28, ""ar"", ""en"")"),"I always recommend that in dishes containing rice and vegetables, whether it's Maqluba, rice with beans, or rice with peas, the rice should be boiled separately in a pot with salt and a little oil or ghee. When it's almost cooked, drain the water, leaving"&amp;" it slightly moist, and then mix it with the meat or onions, depending on the dish. This way, the rice stays fluffy and looks better than when cooked with all the vegetables.
However, be careful with this method: when you add the rice, the heat should be"&amp;" high for only two minutes, then reduce it to the lowest setting for five minutes. Turn off the heat and let it sit for ten minutes to allow the flavors to meld. Now, transfer the rice to a serving dish as I explained.")</f>
        <v>I always recommend that in dishes containing rice and vegetables, whether it's Maqluba, rice with beans, or rice with peas, the rice should be boiled separately in a pot with salt and a little oil or ghee. When it's almost cooked, drain the water, leaving it slightly moist, and then mix it with the meat or onions, depending on the dish. This way, the rice stays fluffy and looks better than when cooked with all the vegetables.
However, be careful with this method: when you add the rice, the heat should be high for only two minutes, then reduce it to the lowest setting for five minutes. Turn off the heat and let it sit for ten minutes to allow the flavors to meld. Now, transfer the rice to a serving dish as I explained.</v>
      </c>
      <c r="X28" s="15" t="str">
        <f ca="1">IFERROR(__xludf.DUMMYFUNCTION("GOOGLETRANSLATE(J28, ""ar"", ""en"")"),"Images/Rez_Bazella/jpg")</f>
        <v>Images/Rez_Bazella/jpg</v>
      </c>
      <c r="Y28" s="15" t="str">
        <f ca="1">IFERROR(__xludf.DUMMYFUNCTION("GOOGLETRANSLATE(K28, ""ar"", ""en"")"),"#VALUE!")</f>
        <v>#VALUE!</v>
      </c>
      <c r="Z28" s="15" t="str">
        <f ca="1">IFERROR(__xludf.DUMMYFUNCTION("GOOGLETRANSLATE(L28, ""ar"", ""en"")"),"#VALUE!")</f>
        <v>#VALUE!</v>
      </c>
      <c r="AA28" s="15" t="str">
        <f ca="1">IFERROR(__xludf.DUMMYFUNCTION("GOOGLETRANSLATE(M28, ""ar"", ""en"")"),"#VALUE!")</f>
        <v>#VALUE!</v>
      </c>
      <c r="AB28" s="15" t="str">
        <f ca="1">IFERROR(__xludf.DUMMYFUNCTION("GOOGLETRANSLATE(N28, ""ar"", ""en"")"),"#VALUE!")</f>
        <v>#VALUE!</v>
      </c>
      <c r="AC28" s="16" t="str">
        <f t="shared" si="1"/>
        <v>27</v>
      </c>
      <c r="AD28" s="17" t="str">
        <f ca="1">IFERROR(__xludf.DUMMYFUNCTION("GOOGLETRANSLATE(P28, ""en"", ""sv"")"),"grönsaker")</f>
        <v>grönsaker</v>
      </c>
      <c r="AE28" s="17" t="str">
        <f ca="1">IFERROR(__xludf.DUMMYFUNCTION("GOOGLETRANSLATE(Q28, ""en"", ""sv"")"),"Ris med ärtor och morötter")</f>
        <v>Ris med ärtor och morötter</v>
      </c>
      <c r="AF28" s="17" t="str">
        <f ca="1">IFERROR(__xludf.DUMMYFUNCTION("GOOGLETRANSLATE(R28, ""en"", ""sv"")"),"timme")</f>
        <v>timme</v>
      </c>
      <c r="AG28" s="17" t="str">
        <f ca="1">IFERROR(__xludf.DUMMYFUNCTION("GOOGLETRANSLATE(S28, ""en"", ""sv"")"),"Ingredienser:
• 450 g frysta eller färska ärtor (jag föredrar frysta)
• 500 g köttfärs (eller så kan du använda en vegetarisk version med 3 matskedar ghee eller en halv kopp mazolaolja om du föredrar det)
• 4 koppar ris (cirka 1 kg)
• 2 medelstora morötte"&amp;"r (cirka 200 g)
• 3 koppar kokande vatten
• 3 medelstora lökar (cirka 400 g)
• 1 tesked svartpeppar
• 1 matsked salt")</f>
        <v>Ingredienser:
• 450 g frysta eller färska ärtor (jag föredrar frysta)
• 500 g köttfärs (eller så kan du använda en vegetarisk version med 3 matskedar ghee eller en halv kopp mazolaolja om du föredrar det)
• 4 koppar ris (cirka 1 kg)
• 2 medelstora morötter (cirka 200 g)
• 3 koppar kokande vatten
• 3 medelstora lökar (cirka 400 g)
• 1 tesked svartpeppar
• 1 matsked salt</v>
      </c>
      <c r="AH28" s="17" t="str">
        <f ca="1">IFERROR(__xludf.DUMMYFUNCTION("GOOGLETRANSLATE(T28, ""en"", ""sv"")"),"Tvätta och blötlägg riset, oavsett om det är kortkornigt egyptiskt ris eller basmatiris, och låt det stå åt sidan i minst en timme.
Skala och finhacka löken. Tillsätt den till köttet, gheen eller oljan, beroende på vilken typ av tillagning du använder. L"&amp;"åt löken koka tills den är mör och blir gyllenbrun i oljan eller gheen.
Om ärtorna och morötterna är frysta, lägg dem i en skål och häll kokande vatten över dem. Låt dem tina tills de ska användas (ta ut dem ur frysen en halvtimme i förväg). Tina inte är"&amp;"torna och morötterna utan kokande vatten; det kommer att få dem att förlora all sin smak och sitt näringsvärde.
När köttet är tillagat eller löken har fått färg, tillsätt ärtorna och morötterna till blandningen, rör om, strö över svartpeppar, en halv tes"&amp;"ked salt och en halv kopp kokande vatten. Täck över och låt det koka i 15 minuter. Förbered nu 3 koppar kokande vatten. Lägg riset ovanpå blandningen och häll vattnet över det. Rör om tills det är väl blandat. Tillsätt en tesked salt, täck över och koka u"&amp;"pp. När vattennivån sjunker något under risets ovansida, sänk värmen till medelvärme i 5 minuter, sänk sedan värmen till lägsta och låt det koka i ytterligare 10 minuter. Stäng av värmen och låt det stå täckt i ytterligare 10 minuter.
Därefter, stjälp up"&amp;"p rätten på ett serveringsfat och fluffa upp den med en gaffel så att riset inte klibbar ihop och ser aptitretande ut. Efter detta kan du lägga tillbaka riset i grytan och täcka över det om det inte är klart att ätas.")</f>
        <v>Tvätta och blötlägg riset, oavsett om det är kortkornigt egyptiskt ris eller basmatiris, och låt det stå åt sidan i minst en timme.
Skala och finhacka löken. Tillsätt den till köttet, gheen eller oljan, beroende på vilken typ av tillagning du använder. Låt löken koka tills den är mör och blir gyllenbrun i oljan eller gheen.
Om ärtorna och morötterna är frysta, lägg dem i en skål och häll kokande vatten över dem. Låt dem tina tills de ska användas (ta ut dem ur frysen en halvtimme i förväg). Tina inte ärtorna och morötterna utan kokande vatten; det kommer att få dem att förlora all sin smak och sitt näringsvärde.
När köttet är tillagat eller löken har fått färg, tillsätt ärtorna och morötterna till blandningen, rör om, strö över svartpeppar, en halv tesked salt och en halv kopp kokande vatten. Täck över och låt det koka i 15 minuter. Förbered nu 3 koppar kokande vatten. Lägg riset ovanpå blandningen och häll vattnet över det. Rör om tills det är väl blandat. Tillsätt en tesked salt, täck över och koka upp. När vattennivån sjunker något under risets ovansida, sänk värmen till medelvärme i 5 minuter, sänk sedan värmen till lägsta och låt det koka i ytterligare 10 minuter. Stäng av värmen och låt det stå täckt i ytterligare 10 minuter.
Därefter, stjälp upp rätten på ett serveringsfat och fluffa upp den med en gaffel så att riset inte klibbar ihop och ser aptitretande ut. Efter detta kan du lägga tillbaka riset i grytan och täcka över det om det inte är klart att ätas.</v>
      </c>
      <c r="AI28" s="17" t="str">
        <f ca="1">IFERROR(__xludf.DUMMYFUNCTION("GOOGLETRANSLATE(U28, ""en"", ""sv"")"),"Mängden räcker till 5 personer.")</f>
        <v>Mängden räcker till 5 personer.</v>
      </c>
      <c r="AJ28" s="17" t="str">
        <f ca="1">IFERROR(__xludf.DUMMYFUNCTION("GOOGLETRANSLATE(V28, ""en"", ""sv"")"),"Strö svartpeppar över och garnera med grön paprika och tomater.
Servera denna rätt med gurka och yoghurt, ayran eller naturell yoghurt.")</f>
        <v>Strö svartpeppar över och garnera med grön paprika och tomater.
Servera denna rätt med gurka och yoghurt, ayran eller naturell yoghurt.</v>
      </c>
      <c r="AK28" s="17" t="str">
        <f ca="1">IFERROR(__xludf.DUMMYFUNCTION("GOOGLETRANSLATE(W28, ""en"", ""sv"")"),"Jag rekommenderar alltid att i rätter som innehåller ris och grönsaker, oavsett om det är Maqluba, ris med bönor eller ris med ärtor, kokas riset separat i en kastrull med salt och lite olja eller ghee. När det nästan är kokt, häll av vattnet, låt det var"&amp;"a lätt fuktigt, och blanda det sedan med köttet eller löken, beroende på rätten. På så sätt förblir riset fluffigt och ser bättre ut än när det tillagas med alla grönsaker.
Var dock försiktig med den här metoden: när du tillsätter riset ska värmen vara h"&amp;"ög i bara två minuter, sedan sänk den till lägsta inställningen i fem minuter. Stäng av värmen och låt det stå i tio minuter så att smakerna smälter samman. Lägg nu över riset i en serveringsskål som jag förklarade.")</f>
        <v>Jag rekommenderar alltid att i rätter som innehåller ris och grönsaker, oavsett om det är Maqluba, ris med bönor eller ris med ärtor, kokas riset separat i en kastrull med salt och lite olja eller ghee. När det nästan är kokt, häll av vattnet, låt det vara lätt fuktigt, och blanda det sedan med köttet eller löken, beroende på rätten. På så sätt förblir riset fluffigt och ser bättre ut än när det tillagas med alla grönsaker.
Var dock försiktig med den här metoden: när du tillsätter riset ska värmen vara hög i bara två minuter, sedan sänk den till lägsta inställningen i fem minuter. Stäng av värmen och låt det stå i tio minuter så att smakerna smälter samman. Lägg nu över riset i en serveringsskål som jag förklarade.</v>
      </c>
      <c r="AL28" s="17" t="str">
        <f ca="1">IFERROR(__xludf.DUMMYFUNCTION("GOOGLETRANSLATE(X28, ""en"", ""sv"")"),"Bilder/Rez_Bazella/jpg")</f>
        <v>Bilder/Rez_Bazella/jpg</v>
      </c>
      <c r="AM28" s="17" t="str">
        <f ca="1">IFERROR(__xludf.DUMMYFUNCTION("GOOGLETRANSLATE(Y28, ""en"", ""sv"")"),"#VALUE!")</f>
        <v>#VALUE!</v>
      </c>
      <c r="AN28" s="17" t="str">
        <f ca="1">IFERROR(__xludf.DUMMYFUNCTION("GOOGLETRANSLATE(Z28, ""en"", ""sv"")"),"#VALUE!")</f>
        <v>#VALUE!</v>
      </c>
      <c r="AO28" s="17" t="str">
        <f ca="1">IFERROR(__xludf.DUMMYFUNCTION("GOOGLETRANSLATE(AA28, ""en"", ""sv"")"),"#VALUE!")</f>
        <v>#VALUE!</v>
      </c>
      <c r="AP28" s="17" t="str">
        <f ca="1">IFERROR(__xludf.DUMMYFUNCTION("GOOGLETRANSLATE(AB28, ""en"", ""sv"")"),"#VALUE!")</f>
        <v>#VALUE!</v>
      </c>
      <c r="AQ28" s="17"/>
    </row>
    <row r="29" spans="1:43" ht="14.25" customHeight="1" x14ac:dyDescent="0.3">
      <c r="A29" s="8" t="s">
        <v>238</v>
      </c>
      <c r="B29" s="38" t="s">
        <v>239</v>
      </c>
      <c r="C29" s="39" t="s">
        <v>240</v>
      </c>
      <c r="D29" s="39" t="s">
        <v>31</v>
      </c>
      <c r="E29" s="42" t="s">
        <v>241</v>
      </c>
      <c r="F29" s="35" t="s">
        <v>242</v>
      </c>
      <c r="G29" s="35" t="s">
        <v>194</v>
      </c>
      <c r="H29" s="35" t="s">
        <v>243</v>
      </c>
      <c r="I29" s="35" t="s">
        <v>244</v>
      </c>
      <c r="J29" s="36" t="s">
        <v>245</v>
      </c>
      <c r="K29" s="41"/>
      <c r="L29" s="41"/>
      <c r="M29" s="41"/>
      <c r="N29" s="41"/>
      <c r="O29" s="14" t="str">
        <f t="shared" si="0"/>
        <v>28</v>
      </c>
      <c r="P29" s="15" t="str">
        <f ca="1">IFERROR(__xludf.DUMMYFUNCTION("GOOGLETRANSLATE(B29, ""ar"", ""en"")"),"Various dishes")</f>
        <v>Various dishes</v>
      </c>
      <c r="Q29" s="15" t="str">
        <f ca="1">IFERROR(__xludf.DUMMYFUNCTION("GOOGLETRANSLATE(C29, ""ar"", ""en"")"),"Freekeh and rice")</f>
        <v>Freekeh and rice</v>
      </c>
      <c r="R29" s="15" t="str">
        <f ca="1">IFERROR(__xludf.DUMMYFUNCTION("GOOGLETRANSLATE(D29, ""ar"", ""en"")"),"3 hours")</f>
        <v>3 hours</v>
      </c>
      <c r="S29" s="15" t="str">
        <f ca="1">IFERROR(__xludf.DUMMYFUNCTION("GOOGLETRANSLATE(E29, ""ar"", ""en"")"),"• 1 kg green freekeh (not yellow, as yellow freekeh will taste the same as wheat)
• 2 kg lamb on the bone
• 250 g Egyptian rice
• 3 medium onions (approximately 400 g)
• 1 tsp black pepper
• 1 tbsp salt
• 5 bay leaves
• 2 medium cinnamon sticks
• 10 card"&amp;"amom pods
• 10 cloves
• 4 tbsp ghee
• 1/2 cup oil for frying
Optional:
• Toasted blanched almonds
• Toasted pine nuts
• Toasted cashew nuts")</f>
        <v>• 1 kg green freekeh (not yellow, as yellow freekeh will taste the same as wheat)
• 2 kg lamb on the bone
• 250 g Egyptian rice
• 3 medium onions (approximately 400 g)
• 1 tsp black pepper
• 1 tbsp salt
• 5 bay leaves
• 2 medium cinnamon sticks
• 10 cardamom pods
• 10 cloves
• 4 tbsp ghee
• 1/2 cup oil for frying
Optional:
• Toasted blanched almonds
• Toasted pine nuts
• Toasted cashew nuts</v>
      </c>
      <c r="T29" s="15" t="str">
        <f ca="1">IFERROR(__xludf.DUMMYFUNCTION("GOOGLETRANSLATE(F29, ""ar"", ""en"")"),"Boiling the Meat:
As with all dishes, boil the meat as previously explained. Heat the frying oil in a suitable pot along with the whole spices: bay leaves, cloves, cardamom, and cinnamon. Stir them into the oil to infuse the kitchen with their aroma befo"&amp;"re adding anything else. Then, slice the onions and sauté them once the oil is hot until they turn slightly golden. Add the meat, stir, and cover for 15 minutes to allow it to brown and retain its juices and nutrients.
Cover the meat with boiling water a"&amp;"nd let it simmer until cooked through. Now, add a tablespoon of salt and let it cook for another 5 minutes to allow the meat to absorb the salt. Then, remove the meat from the broth and set it aside.
Cooking Freekeh and Rice:
Personally, I don't wash the"&amp;" freekeh and discard the black, charred grains, as they are essential to the freekeh's flavor. I simply add water to moisten it before cooking. I don't fully submerge it, but rather moisten it, and leave it to soak while the meat is cooking. Now take 5 cu"&amp;"ps of water from the meat broth and add another teaspoon of salt. Bring it back to the boil, then add the freekeh, stir, and bring it back to the boil. After it boils, reduce the heat to low and let it simmer until the water is absorbed.
")</f>
        <v xml:space="preserve">Boiling the Meat:
As with all dishes, boil the meat as previously explained. Heat the frying oil in a suitable pot along with the whole spices: bay leaves, cloves, cardamom, and cinnamon. Stir them into the oil to infuse the kitchen with their aroma before adding anything else. Then, slice the onions and sauté them once the oil is hot until they turn slightly golden. Add the meat, stir, and cover for 15 minutes to allow it to brown and retain its juices and nutrients.
Cover the meat with boiling water and let it simmer until cooked through. Now, add a tablespoon of salt and let it cook for another 5 minutes to allow the meat to absorb the salt. Then, remove the meat from the broth and set it aside.
Cooking Freekeh and Rice:
Personally, I don't wash the freekeh and discard the black, charred grains, as they are essential to the freekeh's flavor. I simply add water to moisten it before cooking. I don't fully submerge it, but rather moisten it, and leave it to soak while the meat is cooking. Now take 5 cups of water from the meat broth and add another teaspoon of salt. Bring it back to the boil, then add the freekeh, stir, and bring it back to the boil. After it boils, reduce the heat to low and let it simmer until the water is absorbed.
</v>
      </c>
      <c r="U29" s="15" t="str">
        <f ca="1">IFERROR(__xludf.DUMMYFUNCTION("GOOGLETRANSLATE(G29, ""ar"", ""en"")"),"The quantity is enough for 6 people.")</f>
        <v>The quantity is enough for 6 people.</v>
      </c>
      <c r="V29" s="15" t="str">
        <f ca="1">IFERROR(__xludf.DUMMYFUNCTION("GOOGLETRANSLATE(H29, ""ar"", ""en"")"),"Garnish the dish with chopped parsley and sprinkle with black pepper. Arrange the meat pieces, which should be reheated in the remaining broth. If desired, garnish the freekeh with slices of cucumber, red bell pepper, and tomato.
Serve this dish with a s"&amp;"ide of cucumber and yogurt, ayran, or plain yogurt.")</f>
        <v>Garnish the dish with chopped parsley and sprinkle with black pepper. Arrange the meat pieces, which should be reheated in the remaining broth. If desired, garnish the freekeh with slices of cucumber, red bell pepper, and tomato.
Serve this dish with a side of cucumber and yogurt, ayran, or plain yogurt.</v>
      </c>
      <c r="W29" s="15" t="str">
        <f ca="1">IFERROR(__xludf.DUMMYFUNCTION("GOOGLETRANSLATE(I29, ""ar"", ""en"")"),"Freekeh doesn't tolerate high heat; the water evaporates quickly and it doesn't cook properly. It needs to cook slowly, meaning you'll need about an hour to an hour and a half over low heat to cook one kilogram of freekeh.
Cook the white rice as usual ab"&amp;"out fifteen minutes before the freekeh is fully cooked so you can create a thin layer on top. This is the Aleppo way of eating freekeh; with a little rice, it gives it a wonderful flavor.")</f>
        <v>Freekeh doesn't tolerate high heat; the water evaporates quickly and it doesn't cook properly. It needs to cook slowly, meaning you'll need about an hour to an hour and a half over low heat to cook one kilogram of freekeh.
Cook the white rice as usual about fifteen minutes before the freekeh is fully cooked so you can create a thin layer on top. This is the Aleppo way of eating freekeh; with a little rice, it gives it a wonderful flavor.</v>
      </c>
      <c r="X29" s="15" t="str">
        <f ca="1">IFERROR(__xludf.DUMMYFUNCTION("GOOGLETRANSLATE(J29, ""ar"", ""en"")"),"Images/Freekeh.jpg")</f>
        <v>Images/Freekeh.jpg</v>
      </c>
      <c r="Y29" s="15" t="str">
        <f ca="1">IFERROR(__xludf.DUMMYFUNCTION("GOOGLETRANSLATE(K29, ""ar"", ""en"")"),"#VALUE!")</f>
        <v>#VALUE!</v>
      </c>
      <c r="Z29" s="15" t="str">
        <f ca="1">IFERROR(__xludf.DUMMYFUNCTION("GOOGLETRANSLATE(L29, ""ar"", ""en"")"),"#VALUE!")</f>
        <v>#VALUE!</v>
      </c>
      <c r="AA29" s="15" t="str">
        <f ca="1">IFERROR(__xludf.DUMMYFUNCTION("GOOGLETRANSLATE(M29, ""ar"", ""en"")"),"#VALUE!")</f>
        <v>#VALUE!</v>
      </c>
      <c r="AB29" s="15" t="str">
        <f ca="1">IFERROR(__xludf.DUMMYFUNCTION("GOOGLETRANSLATE(N29, ""ar"", ""en"")"),"#VALUE!")</f>
        <v>#VALUE!</v>
      </c>
      <c r="AC29" s="16" t="str">
        <f t="shared" si="1"/>
        <v>28</v>
      </c>
      <c r="AD29" s="17" t="str">
        <f ca="1">IFERROR(__xludf.DUMMYFUNCTION("GOOGLETRANSLATE(P29, ""en"", ""sv"")"),"Olika rätter")</f>
        <v>Olika rätter</v>
      </c>
      <c r="AE29" s="17" t="str">
        <f ca="1">IFERROR(__xludf.DUMMYFUNCTION("GOOGLETRANSLATE(Q29, ""en"", ""sv"")"),"Freekeh och ris")</f>
        <v>Freekeh och ris</v>
      </c>
      <c r="AF29" s="17" t="str">
        <f ca="1">IFERROR(__xludf.DUMMYFUNCTION("GOOGLETRANSLATE(R29, ""en"", ""sv"")"),"3 timmar")</f>
        <v>3 timmar</v>
      </c>
      <c r="AG29" s="17" t="str">
        <f ca="1">IFERROR(__xludf.DUMMYFUNCTION("GOOGLETRANSLATE(S29, ""en"", ""sv"")"),"• 1 kg grön freekeh (inte gul, eftersom gul freekeh smakar likadant som vete)
• 2 kg lammkött med ben
• 250 g egyptiskt ris
• 3 medelstora lökar (cirka 400 g)
• 1 tsk svartpeppar
• 1 msk salt
• 5 lagerblad
• 2 medelstora kanelstänger
• 10 kardemummakapsl"&amp;"ar
• 10 kryddnejlikor
• 4 msk ghee
• 1/2 dl olja till stekning
Valfritt:
• Rostade skållda mandlar
• Rostade pinjenötter
• Rostade cashewnötter")</f>
        <v>• 1 kg grön freekeh (inte gul, eftersom gul freekeh smakar likadant som vete)
• 2 kg lammkött med ben
• 250 g egyptiskt ris
• 3 medelstora lökar (cirka 400 g)
• 1 tsk svartpeppar
• 1 msk salt
• 5 lagerblad
• 2 medelstora kanelstänger
• 10 kardemummakapslar
• 10 kryddnejlikor
• 4 msk ghee
• 1/2 dl olja till stekning
Valfritt:
• Rostade skållda mandlar
• Rostade pinjenötter
• Rostade cashewnötter</v>
      </c>
      <c r="AH29" s="17" t="str">
        <f ca="1">IFERROR(__xludf.DUMMYFUNCTION("GOOGLETRANSLATE(T29, ""en"", ""sv"")"),"Kokning av köttet:
Som med alla rätter, koka köttet som tidigare förklarats. Värm stekoljan i en lämplig kastrull tillsammans med de hela kryddorna: lagerblad, kryddnejlikor, kardemumma och kanel. Rör ner dem i oljan för att ge köket sin arom innan du ti"&amp;"llsätter något annat. Skiva sedan löken och fräs den när oljan är varm tills den blir lätt gyllenbrun. Tillsätt köttet, rör om och täck över i 15 minuter så att det bryns och behåller sina safter och näringsämnen.
Täck köttet med kokande vatten och låt d"&amp;"et sjuda tills det är genomkokt. Tillsätt nu en matsked salt och låt det koka i ytterligare 5 minuter så att köttet absorberar saltet. Ta sedan upp köttet ur buljongen och ställ det åt sidan.
Tillagning av freekeh och ris:
Personligen tvättar jag inte fr"&amp;"eekehen och slänger de svarta, förkolnade kornen, eftersom de är viktiga för freekehens smak. Jag tillsätter helt enkelt vatten för att fukta den innan tillagning. Jag sänker den inte helt ner i vatten, utan fuktar den och låter den dra medan köttet tilla"&amp;"gas. Ta nu 5 koppar vatten från köttbuljongen och tillsätt ytterligare en tesked salt. Koka upp det igen, tillsätt sedan freekehen, rör om och koka upp igen. När det kokar, sänk värmen till låg och låt det sjuda tills vattnet har absorberats.
")</f>
        <v xml:space="preserve">Kokning av köttet:
Som med alla rätter, koka köttet som tidigare förklarats. Värm stekoljan i en lämplig kastrull tillsammans med de hela kryddorna: lagerblad, kryddnejlikor, kardemumma och kanel. Rör ner dem i oljan för att ge köket sin arom innan du tillsätter något annat. Skiva sedan löken och fräs den när oljan är varm tills den blir lätt gyllenbrun. Tillsätt köttet, rör om och täck över i 15 minuter så att det bryns och behåller sina safter och näringsämnen.
Täck köttet med kokande vatten och låt det sjuda tills det är genomkokt. Tillsätt nu en matsked salt och låt det koka i ytterligare 5 minuter så att köttet absorberar saltet. Ta sedan upp köttet ur buljongen och ställ det åt sidan.
Tillagning av freekeh och ris:
Personligen tvättar jag inte freekehen och slänger de svarta, förkolnade kornen, eftersom de är viktiga för freekehens smak. Jag tillsätter helt enkelt vatten för att fukta den innan tillagning. Jag sänker den inte helt ner i vatten, utan fuktar den och låter den dra medan köttet tillagas. Ta nu 5 koppar vatten från köttbuljongen och tillsätt ytterligare en tesked salt. Koka upp det igen, tillsätt sedan freekehen, rör om och koka upp igen. När det kokar, sänk värmen till låg och låt det sjuda tills vattnet har absorberats.
</v>
      </c>
      <c r="AI29" s="17" t="str">
        <f ca="1">IFERROR(__xludf.DUMMYFUNCTION("GOOGLETRANSLATE(U29, ""en"", ""sv"")"),"Mängden räcker till 6 personer.")</f>
        <v>Mängden räcker till 6 personer.</v>
      </c>
      <c r="AJ29" s="17" t="str">
        <f ca="1">IFERROR(__xludf.DUMMYFUNCTION("GOOGLETRANSLATE(V29, ""en"", ""sv"")"),"Garnera rätten med hackad persilja och strö över svartpeppar. Lägg köttbitarna, som ska värmas upp i den återstående buljongen. Garnera freekehen om så önskas med skivor av gurka, röd paprika och tomat.
Servera denna rätt med gurka och yoghurt, ayran ell"&amp;"er naturell yoghurt.")</f>
        <v>Garnera rätten med hackad persilja och strö över svartpeppar. Lägg köttbitarna, som ska värmas upp i den återstående buljongen. Garnera freekehen om så önskas med skivor av gurka, röd paprika och tomat.
Servera denna rätt med gurka och yoghurt, ayran eller naturell yoghurt.</v>
      </c>
      <c r="AK29" s="17" t="str">
        <f ca="1">IFERROR(__xludf.DUMMYFUNCTION("GOOGLETRANSLATE(W29, ""en"", ""sv"")"),"Freekeh tål inte hög värme; vattnet avdunstar snabbt och det kokar inte ordentligt. Det behöver kokas långsamt, vilket innebär att du behöver ungefär en timme till en och en halv timme på låg värme för att koka ett kilogram freekeh.
Koka det vita riset s"&amp;"om vanligt cirka femton minuter innan freekehen är helt kokt så att du kan skapa ett tunt lager ovanpå. Detta är Aleppos sätt att äta freekeh; med lite ris ger det en underbar smak.")</f>
        <v>Freekeh tål inte hög värme; vattnet avdunstar snabbt och det kokar inte ordentligt. Det behöver kokas långsamt, vilket innebär att du behöver ungefär en timme till en och en halv timme på låg värme för att koka ett kilogram freekeh.
Koka det vita riset som vanligt cirka femton minuter innan freekehen är helt kokt så att du kan skapa ett tunt lager ovanpå. Detta är Aleppos sätt att äta freekeh; med lite ris ger det en underbar smak.</v>
      </c>
      <c r="AL29" s="17" t="str">
        <f ca="1">IFERROR(__xludf.DUMMYFUNCTION("GOOGLETRANSLATE(X29, ""en"", ""sv"")"),"Bilder/Freekeh.jpg")</f>
        <v>Bilder/Freekeh.jpg</v>
      </c>
      <c r="AM29" s="17" t="str">
        <f ca="1">IFERROR(__xludf.DUMMYFUNCTION("GOOGLETRANSLATE(Y29, ""en"", ""sv"")"),"#VALUE!")</f>
        <v>#VALUE!</v>
      </c>
      <c r="AN29" s="17" t="str">
        <f ca="1">IFERROR(__xludf.DUMMYFUNCTION("GOOGLETRANSLATE(Z29, ""en"", ""sv"")"),"#VALUE!")</f>
        <v>#VALUE!</v>
      </c>
      <c r="AO29" s="17" t="str">
        <f ca="1">IFERROR(__xludf.DUMMYFUNCTION("GOOGLETRANSLATE(AA29, ""en"", ""sv"")"),"#VALUE!")</f>
        <v>#VALUE!</v>
      </c>
      <c r="AP29" s="17" t="str">
        <f ca="1">IFERROR(__xludf.DUMMYFUNCTION("GOOGLETRANSLATE(AB29, ""en"", ""sv"")"),"#VALUE!")</f>
        <v>#VALUE!</v>
      </c>
      <c r="AQ29" s="17"/>
    </row>
    <row r="30" spans="1:43" ht="14.25" customHeight="1" x14ac:dyDescent="0.3">
      <c r="A30" s="8" t="s">
        <v>246</v>
      </c>
      <c r="B30" s="38" t="s">
        <v>247</v>
      </c>
      <c r="C30" s="39" t="s">
        <v>248</v>
      </c>
      <c r="D30" s="39" t="s">
        <v>48</v>
      </c>
      <c r="E30" s="42" t="s">
        <v>249</v>
      </c>
      <c r="F30" s="35" t="s">
        <v>250</v>
      </c>
      <c r="G30" s="35" t="s">
        <v>227</v>
      </c>
      <c r="H30" s="35" t="s">
        <v>251</v>
      </c>
      <c r="I30" s="35" t="s">
        <v>252</v>
      </c>
      <c r="J30" s="36" t="s">
        <v>253</v>
      </c>
      <c r="K30" s="41"/>
      <c r="L30" s="41"/>
      <c r="M30" s="41"/>
      <c r="N30" s="41"/>
      <c r="O30" s="14" t="str">
        <f t="shared" si="0"/>
        <v>29</v>
      </c>
      <c r="P30" s="15" t="str">
        <f ca="1">IFERROR(__xludf.DUMMYFUNCTION("GOOGLETRANSLATE(B30, ""ar"", ""en"")"),"Stuffed vegetables")</f>
        <v>Stuffed vegetables</v>
      </c>
      <c r="Q30" s="15" t="str">
        <f ca="1">IFERROR(__xludf.DUMMYFUNCTION("GOOGLETRANSLATE(C30, ""ar"", ""en"")"),"Sandwiches/Squash/Sausages")</f>
        <v>Sandwiches/Squash/Sausages</v>
      </c>
      <c r="R30" s="15" t="str">
        <f ca="1">IFERROR(__xludf.DUMMYFUNCTION("GOOGLETRANSLATE(D30, ""ar"", ""en"")"),"two hours")</f>
        <v>two hours</v>
      </c>
      <c r="S30" s="15" t="str">
        <f ca="1">IFERROR(__xludf.DUMMYFUNCTION("GOOGLETRANSLATE(E30, ""ar"", ""en"")"),"• 1 kg Egyptian rice or any short-grain rice other than basmati
• 10 meters of medium-sized sheep or calf intestines (not too thin and not too thick)
• 1 kg of very fatty minced meat (at least 20%)
• 3 large tomatoes, blended
• A bunch of parsley
• 1 tsp "&amp;"ground cinnamon
• ½ tsp ground cumin
• 1 tsp black pepper
• 1 tsp seven-spice mix
• 1 tsp turmeric (optional, for its many benefits and to give the intestines a beautiful yellow color)
• ½ cup Mazola oil
• 1 cup chickpeas soaked in baking soda overnight
•"&amp;" 5 bay leaves
• 4 cinnamon sticks
• 10 cardamom pods
• 5 cloves
• 2 tbsp ghee for frying the intestines (optional)")</f>
        <v>• 1 kg Egyptian rice or any short-grain rice other than basmati
• 10 meters of medium-sized sheep or calf intestines (not too thin and not too thick)
• 1 kg of very fatty minced meat (at least 20%)
• 3 large tomatoes, blended
• A bunch of parsley
• 1 tsp ground cinnamon
• ½ tsp ground cumin
• 1 tsp black pepper
• 1 tsp seven-spice mix
• 1 tsp turmeric (optional, for its many benefits and to give the intestines a beautiful yellow color)
• ½ cup Mazola oil
• 1 cup chickpeas soaked in baking soda overnight
• 5 bay leaves
• 4 cinnamon sticks
• 10 cardamom pods
• 5 cloves
• 2 tbsp ghee for frying the intestines (optional)</v>
      </c>
      <c r="T30" s="15" t="str">
        <f ca="1">IFERROR(__xludf.DUMMYFUNCTION("GOOGLETRANSLATE(F30, ""ar"", ""en"")"),"Wash the intestines thoroughly and turn them inside out by running tap water inside them while folding the end inwards. They will turn easily. The rough, dry end should be on the outside because the smooth end is what you stuff with rice; otherwise, you w"&amp;"on't be able to stuff them easily.
Wash the rice and add the blended tomatoes. Mix well and let it sit for at least an hour.
Wash the parsley by soaking it in water before chopping it, then chop it finely. Now mix everything in the ingredients to create"&amp;" a wonderful stuffing for the intestines.
Stuffing Method: There are dozens of ways to stuff intestines, but you will find my method in Umm Samer's Secrets in the section dedicated to that.
If you notice that one of the intestines is too long and diffic"&amp;"ult to stuff continuously, cut it in half and stuff each half separately. Don't push yourself. At the end, tie them to a reasonable size so that you can easily carry them to eat. The stuffing should be about half the capacity of the intestine. To ensure y"&amp;"ou're stuffing it correctly, smooth the intestine on a tray so it's level and no more than 1 or 2 centimeters high.
Tie a strong piece of string every 15 centimeters with two knots to divide the intestine into pieces.
Arrange the stuffed intestines in a"&amp;" suitable pot, stacking them evenly on top of each other.
Boiling the intestines: Now the intestines are arranged in the pot and ready to be boiled. You can stuff them a day in advance and refrigerate them if you don't have enough time.
Boil 5 liters of"&amp;" water in a kettle. Pour the boiling water over the intestines in the pot, along with the whole spices: bay leaves, cinnamon, cardamom, cloves, and a tablespoon of salt. Cover the pot and bring to a boil over high heat. You'll notice that the intestines h"&amp;"ave swollen due to the heat inside. Take a large needle and pierce them in several places, turning them over from the bottom up to reveal any unpierced intestines. If you don't see any swollen ones, pierce them all to prevent them from bursting and spilli"&amp;"ng out the rice and water.
After piercing them, reduce the heat to a quarter and let them simmer for 3 hours. I'm sure they will be fully cooked by then.
In Aleppo, they like to fry the intestines after boiling them. Once they are cooked, strain the bro"&amp;"th into a separate bowl. Separate the pieces of intestine from each bundle you tied and place them on a tray. If you'd like to try frying them, put two tablespoons of ghee in a wide frying pan, arrange the intestines in it, cover them for 3 minutes, then "&amp;"uncover them and fry them for another 3 minutes. Please be careful and attentive, as the stuffed intestines will pop while frying due to the rice, and sparks may hit you. Try to move away from the pan while stirring, or hold the lid in your left hand faci"&amp;"ng the pan to protect your face.
Please be careful and attentive.")</f>
        <v>Wash the intestines thoroughly and turn them inside out by running tap water inside them while folding the end inwards. They will turn easily. The rough, dry end should be on the outside because the smooth end is what you stuff with rice; otherwise, you won't be able to stuff them easily.
Wash the rice and add the blended tomatoes. Mix well and let it sit for at least an hour.
Wash the parsley by soaking it in water before chopping it, then chop it finely. Now mix everything in the ingredients to create a wonderful stuffing for the intestines.
Stuffing Method: There are dozens of ways to stuff intestines, but you will find my method in Umm Samer's Secrets in the section dedicated to that.
If you notice that one of the intestines is too long and difficult to stuff continuously, cut it in half and stuff each half separately. Don't push yourself. At the end, tie them to a reasonable size so that you can easily carry them to eat. The stuffing should be about half the capacity of the intestine. To ensure you're stuffing it correctly, smooth the intestine on a tray so it's level and no more than 1 or 2 centimeters high.
Tie a strong piece of string every 15 centimeters with two knots to divide the intestine into pieces.
Arrange the stuffed intestines in a suitable pot, stacking them evenly on top of each other.
Boiling the intestines: Now the intestines are arranged in the pot and ready to be boiled. You can stuff them a day in advance and refrigerate them if you don't have enough time.
Boil 5 liters of water in a kettle. Pour the boiling water over the intestines in the pot, along with the whole spices: bay leaves, cinnamon, cardamom, cloves, and a tablespoon of salt. Cover the pot and bring to a boil over high heat. You'll notice that the intestines have swollen due to the heat inside. Take a large needle and pierce them in several places, turning them over from the bottom up to reveal any unpierced intestines. If you don't see any swollen ones, pierce them all to prevent them from bursting and spilling out the rice and water.
After piercing them, reduce the heat to a quarter and let them simmer for 3 hours. I'm sure they will be fully cooked by then.
In Aleppo, they like to fry the intestines after boiling them. Once they are cooked, strain the broth into a separate bowl. Separate the pieces of intestine from each bundle you tied and place them on a tray. If you'd like to try frying them, put two tablespoons of ghee in a wide frying pan, arrange the intestines in it, cover them for 3 minutes, then uncover them and fry them for another 3 minutes. Please be careful and attentive, as the stuffed intestines will pop while frying due to the rice, and sparks may hit you. Try to move away from the pan while stirring, or hold the lid in your left hand facing the pan to protect your face.
Please be careful and attentive.</v>
      </c>
      <c r="U30" s="15" t="str">
        <f ca="1">IFERROR(__xludf.DUMMYFUNCTION("GOOGLETRANSLATE(G30, ""ar"", ""en"")"),"The quantity is enough for 5 people.")</f>
        <v>The quantity is enough for 5 people.</v>
      </c>
      <c r="V30" s="15" t="str">
        <f ca="1">IFERROR(__xludf.DUMMYFUNCTION("GOOGLETRANSLATE(H30, ""ar"", ""en"")"),"Arrange the stuffed intestines on a plate in any shape you find attractive and decorate the edges with green peppers and tomatoes.")</f>
        <v>Arrange the stuffed intestines on a plate in any shape you find attractive and decorate the edges with green peppers and tomatoes.</v>
      </c>
      <c r="W30" s="15" t="str">
        <f ca="1">IFERROR(__xludf.DUMMYFUNCTION("GOOGLETRANSLATE(I30, ""ar"", ""en"")"),"You might be surprised by the addition of parsley and tomatoes, especially since you're from Aleppo, but I've found from experience that the taste is much better when you add the mild acidity of the tomatoes and the flavor of the parsley to the rice. Try "&amp;"it, you won't regret it.
As for me, I found a wonderful and quick solution for stuffing intestines. In a meat grinder or kibbeh machine, there's a funnel for stuffing sausages with meat. I shortened this funnel by cutting off the thin end so it was only "&amp;"5 cm long. I then placed the intestines on it and dropped the rice into the funnel. Because I used Mazola oil instead of ghee, you'll find that the rice passes through the funnel very easily, and you won't spend much time stuffing it.")</f>
        <v>You might be surprised by the addition of parsley and tomatoes, especially since you're from Aleppo, but I've found from experience that the taste is much better when you add the mild acidity of the tomatoes and the flavor of the parsley to the rice. Try it, you won't regret it.
As for me, I found a wonderful and quick solution for stuffing intestines. In a meat grinder or kibbeh machine, there's a funnel for stuffing sausages with meat. I shortened this funnel by cutting off the thin end so it was only 5 cm long. I then placed the intestines on it and dropped the rice into the funnel. Because I used Mazola oil instead of ghee, you'll find that the rice passes through the funnel very easily, and you won't spend much time stuffing it.</v>
      </c>
      <c r="X30" s="15" t="str">
        <f ca="1">IFERROR(__xludf.DUMMYFUNCTION("GOOGLETRANSLATE(J30, ""ar"", ""en"")"),"Images/Fawaregh.jpg")</f>
        <v>Images/Fawaregh.jpg</v>
      </c>
      <c r="Y30" s="15" t="str">
        <f ca="1">IFERROR(__xludf.DUMMYFUNCTION("GOOGLETRANSLATE(K30, ""ar"", ""en"")"),"#VALUE!")</f>
        <v>#VALUE!</v>
      </c>
      <c r="Z30" s="15" t="str">
        <f ca="1">IFERROR(__xludf.DUMMYFUNCTION("GOOGLETRANSLATE(L30, ""ar"", ""en"")"),"#VALUE!")</f>
        <v>#VALUE!</v>
      </c>
      <c r="AA30" s="15" t="str">
        <f ca="1">IFERROR(__xludf.DUMMYFUNCTION("GOOGLETRANSLATE(M30, ""ar"", ""en"")"),"#VALUE!")</f>
        <v>#VALUE!</v>
      </c>
      <c r="AB30" s="15" t="str">
        <f ca="1">IFERROR(__xludf.DUMMYFUNCTION("GOOGLETRANSLATE(N30, ""ar"", ""en"")"),"#VALUE!")</f>
        <v>#VALUE!</v>
      </c>
      <c r="AC30" s="16" t="str">
        <f t="shared" si="1"/>
        <v>29</v>
      </c>
      <c r="AD30" s="17" t="str">
        <f ca="1">IFERROR(__xludf.DUMMYFUNCTION("GOOGLETRANSLATE(P30, ""en"", ""sv"")"),"Fyllda grönsaker")</f>
        <v>Fyllda grönsaker</v>
      </c>
      <c r="AE30" s="17" t="str">
        <f ca="1">IFERROR(__xludf.DUMMYFUNCTION("GOOGLETRANSLATE(Q30, ""en"", ""sv"")"),"Smörgåsar/Squash/Korvar")</f>
        <v>Smörgåsar/Squash/Korvar</v>
      </c>
      <c r="AF30" s="17" t="str">
        <f ca="1">IFERROR(__xludf.DUMMYFUNCTION("GOOGLETRANSLATE(R30, ""en"", ""sv"")"),"två timmar")</f>
        <v>två timmar</v>
      </c>
      <c r="AG30" s="17" t="str">
        <f ca="1">IFERROR(__xludf.DUMMYFUNCTION("GOOGLETRANSLATE(S30, ""en"", ""sv"")"),"• 1 kg egyptiskt ris eller annat kortkornigt ris än basmatiris
• 10 meter medelstora får- eller kalvtarmar (inte för tunna och inte för tjocka)
• 1 kg mycket fet köttfärs (minst 20 %)
• 3 stora tomater, mixade
• En knippa persilja
• 1 tsk malen kanel
• ½ "&amp;"tsk malen spiskummin
• 1 tsk svartpeppar
• 1 tsk sjukryddsblandning
• 1 tsk gurkmeja (valfritt, för dess många fördelar och för att ge tarmarna en vacker gul färg)
• ½ dl mazolaolja
• 1 dl kikärter blötlagda i bikarbonat över natten
• 5 lagerblad
• 4 kane"&amp;"lstänger
• 10 kardemummakapslar
• 5 kryddnejlikor
• 2 msk ghee för stekning av tarmarna (valfritt)")</f>
        <v>• 1 kg egyptiskt ris eller annat kortkornigt ris än basmatiris
• 10 meter medelstora får- eller kalvtarmar (inte för tunna och inte för tjocka)
• 1 kg mycket fet köttfärs (minst 20 %)
• 3 stora tomater, mixade
• En knippa persilja
• 1 tsk malen kanel
• ½ tsk malen spiskummin
• 1 tsk svartpeppar
• 1 tsk sjukryddsblandning
• 1 tsk gurkmeja (valfritt, för dess många fördelar och för att ge tarmarna en vacker gul färg)
• ½ dl mazolaolja
• 1 dl kikärter blötlagda i bikarbonat över natten
• 5 lagerblad
• 4 kanelstänger
• 10 kardemummakapslar
• 5 kryddnejlikor
• 2 msk ghee för stekning av tarmarna (valfritt)</v>
      </c>
      <c r="AH30" s="17" t="str">
        <f ca="1">IFERROR(__xludf.DUMMYFUNCTION("GOOGLETRANSLATE(T30, ""en"", ""sv"")"),"Tvätta tarmarna noggrant och vänd dem ut och in genom att låta kranvatten rinna inuti dem medan du viker änden inåt. De kommer att vända sig lätt. Den grova, torra änden ska vara på utsidan eftersom den släta änden är det du fyller med ris; annars kommer "&amp;"du inte att kunna fylla dem lätt.
Tvätta riset och tillsätt de mixade tomaterna. Blanda väl och låt det stå i minst en timme.
Tvätta persiljan genom att blötlägga den i vatten innan du hackar den, hacka den sedan fint. Blanda nu allt i ingredienserna fö"&amp;"r att skapa en underbar fyllning för tarmarna.
Fyllningsmetod: Det finns dussintals sätt att fylla tarmar, men du hittar min metod i Umm Samers hemligheter i avsnittet som är dedikerat till det.
Om du märker att en av tarmarna är för lång och svår att f"&amp;"ylla kontinuerligt, skär den på mitten och fyll varje halva separat. Pressa dig inte. Till sist, knyt dem till en rimlig storlek så att du lätt kan bära dem för att äta. Fyllningen ska vara ungefär hälften av tarmens kapacitet. För att säkerställa att du "&amp;"fyller den korrekt, jämna ut tarmen på en bricka så att den är jämn och inte mer än 1 eller 2 centimeter hög.
Knyt ett starkt snöre var 15:e centimeter med två knutar för att dela tarmen i bitar.
Lägg de fyllda tarmarna i en lämplig kastrull och stapla "&amp;"dem jämnt ovanpå varandra.
Kokning av tarmarna: Nu är tarmarna ordnade i kastrullen och redo att kokas. Du kan fylla dem en dag i förväg och kyla dem om du inte har tillräckligt med tid.
Koka 5 liter vatten i en vattenkokare. Häll det kokande vattnet öv"&amp;"er tarmarna i kastrullen, tillsammans med de hela kryddorna: lagerblad, kanel, kardemumma, kryddnejlika och en matsked salt. Täck över kastrullen och koka upp på hög värme. Du kommer att märka att tarmarna har svullnat på grund av värmen inuti. Ta en stor"&amp;" nål och stick hål i dem på flera ställen, vänd dem nerifrån och upp för att avslöja eventuella opurborrade tarmar. Om du inte ser några svullna, stick hål på dem alla för att förhindra att de spricker och spiller ut ris och vatten.
Efter att du har stic"&amp;"kit hål på dem, sänk värmen till en kvarts och låt dem sjuda i 3 timmar. Jag är säker på att de kommer att vara helt genomkokta då.
I Aleppo steker de gärna tarmarna efter att de kokats. När de är kokta, sila buljongen i en separat skål. Separera tarmbit"&amp;"arna från varje bunt du knutit och lägg dem på en bricka. Om du vill prova att steka dem, lägg två matskedar ghee i en bred stekpanna, lägg tarmarna i den, täck över dem i 3 minuter, täck sedan över dem och stek dem i ytterligare 3 minuter. Var försiktig "&amp;"och uppmärksam, eftersom de fyllda tarmarna kommer att spricka under stekning på grund av riset, och gnistor kan träffa dig. Försök att röra dig bort från pannan medan du rör om, eller håll locket i din vänstra hand vänd mot pannan för att skydda ditt ans"&amp;"ikte.
Var försiktig och uppmärksam.")</f>
        <v>Tvätta tarmarna noggrant och vänd dem ut och in genom att låta kranvatten rinna inuti dem medan du viker änden inåt. De kommer att vända sig lätt. Den grova, torra änden ska vara på utsidan eftersom den släta änden är det du fyller med ris; annars kommer du inte att kunna fylla dem lätt.
Tvätta riset och tillsätt de mixade tomaterna. Blanda väl och låt det stå i minst en timme.
Tvätta persiljan genom att blötlägga den i vatten innan du hackar den, hacka den sedan fint. Blanda nu allt i ingredienserna för att skapa en underbar fyllning för tarmarna.
Fyllningsmetod: Det finns dussintals sätt att fylla tarmar, men du hittar min metod i Umm Samers hemligheter i avsnittet som är dedikerat till det.
Om du märker att en av tarmarna är för lång och svår att fylla kontinuerligt, skär den på mitten och fyll varje halva separat. Pressa dig inte. Till sist, knyt dem till en rimlig storlek så att du lätt kan bära dem för att äta. Fyllningen ska vara ungefär hälften av tarmens kapacitet. För att säkerställa att du fyller den korrekt, jämna ut tarmen på en bricka så att den är jämn och inte mer än 1 eller 2 centimeter hög.
Knyt ett starkt snöre var 15:e centimeter med två knutar för att dela tarmen i bitar.
Lägg de fyllda tarmarna i en lämplig kastrull och stapla dem jämnt ovanpå varandra.
Kokning av tarmarna: Nu är tarmarna ordnade i kastrullen och redo att kokas. Du kan fylla dem en dag i förväg och kyla dem om du inte har tillräckligt med tid.
Koka 5 liter vatten i en vattenkokare. Häll det kokande vattnet över tarmarna i kastrullen, tillsammans med de hela kryddorna: lagerblad, kanel, kardemumma, kryddnejlika och en matsked salt. Täck över kastrullen och koka upp på hög värme. Du kommer att märka att tarmarna har svullnat på grund av värmen inuti. Ta en stor nål och stick hål i dem på flera ställen, vänd dem nerifrån och upp för att avslöja eventuella opurborrade tarmar. Om du inte ser några svullna, stick hål på dem alla för att förhindra att de spricker och spiller ut ris och vatten.
Efter att du har stickit hål på dem, sänk värmen till en kvarts och låt dem sjuda i 3 timmar. Jag är säker på att de kommer att vara helt genomkokta då.
I Aleppo steker de gärna tarmarna efter att de kokats. När de är kokta, sila buljongen i en separat skål. Separera tarmbitarna från varje bunt du knutit och lägg dem på en bricka. Om du vill prova att steka dem, lägg två matskedar ghee i en bred stekpanna, lägg tarmarna i den, täck över dem i 3 minuter, täck sedan över dem och stek dem i ytterligare 3 minuter. Var försiktig och uppmärksam, eftersom de fyllda tarmarna kommer att spricka under stekning på grund av riset, och gnistor kan träffa dig. Försök att röra dig bort från pannan medan du rör om, eller håll locket i din vänstra hand vänd mot pannan för att skydda ditt ansikte.
Var försiktig och uppmärksam.</v>
      </c>
      <c r="AI30" s="17" t="str">
        <f ca="1">IFERROR(__xludf.DUMMYFUNCTION("GOOGLETRANSLATE(U30, ""en"", ""sv"")"),"Mängden räcker till 5 personer.")</f>
        <v>Mängden räcker till 5 personer.</v>
      </c>
      <c r="AJ30" s="17" t="str">
        <f ca="1">IFERROR(__xludf.DUMMYFUNCTION("GOOGLETRANSLATE(V30, ""en"", ""sv"")"),"Lägg de fyllda tarmarna på en tallrik i valfri form du tycker är snygg och dekorera kanterna med grön paprika och tomater.")</f>
        <v>Lägg de fyllda tarmarna på en tallrik i valfri form du tycker är snygg och dekorera kanterna med grön paprika och tomater.</v>
      </c>
      <c r="AK30" s="17" t="str">
        <f ca="1">IFERROR(__xludf.DUMMYFUNCTION("GOOGLETRANSLATE(W30, ""en"", ""sv"")"),"Du kanske blir förvånad över tillsatsen av persilja och tomater, särskilt eftersom du kommer från Aleppo, men jag har av egen erfarenhet upptäckt att smaken blir mycket bättre när man tillsätter tomaternas milda syra och persiljans smak till riset. Prova "&amp;"det, du kommer inte ångra dig.
För min del hittade jag en underbar och snabb lösning för att fylla tarmar. I en köttkvarn eller kibbeh-maskin finns en tratt för att fylla korvar med kött. Jag förkortade denna tratt genom att klippa av den tunna änden så "&amp;"att den bara var 5 cm lång. Sedan placerade jag tarmarna på den och släppte ner riset i tratten. Eftersom jag använde Mazola-olja istället för ghee kommer du att märka att riset passerar genom tratten mycket lätt, och du kommer inte att lägga mycket tid p"&amp;"å att fylla det.")</f>
        <v>Du kanske blir förvånad över tillsatsen av persilja och tomater, särskilt eftersom du kommer från Aleppo, men jag har av egen erfarenhet upptäckt att smaken blir mycket bättre när man tillsätter tomaternas milda syra och persiljans smak till riset. Prova det, du kommer inte ångra dig.
För min del hittade jag en underbar och snabb lösning för att fylla tarmar. I en köttkvarn eller kibbeh-maskin finns en tratt för att fylla korvar med kött. Jag förkortade denna tratt genom att klippa av den tunna änden så att den bara var 5 cm lång. Sedan placerade jag tarmarna på den och släppte ner riset i tratten. Eftersom jag använde Mazola-olja istället för ghee kommer du att märka att riset passerar genom tratten mycket lätt, och du kommer inte att lägga mycket tid på att fylla det.</v>
      </c>
      <c r="AL30" s="17" t="str">
        <f ca="1">IFERROR(__xludf.DUMMYFUNCTION("GOOGLETRANSLATE(X30, ""en"", ""sv"")"),"Bilder/Fawaregh.jpg")</f>
        <v>Bilder/Fawaregh.jpg</v>
      </c>
      <c r="AM30" s="17" t="str">
        <f ca="1">IFERROR(__xludf.DUMMYFUNCTION("GOOGLETRANSLATE(Y30, ""en"", ""sv"")"),"#VALUE!")</f>
        <v>#VALUE!</v>
      </c>
      <c r="AN30" s="17" t="str">
        <f ca="1">IFERROR(__xludf.DUMMYFUNCTION("GOOGLETRANSLATE(Z30, ""en"", ""sv"")"),"#VALUE!")</f>
        <v>#VALUE!</v>
      </c>
      <c r="AO30" s="17" t="str">
        <f ca="1">IFERROR(__xludf.DUMMYFUNCTION("GOOGLETRANSLATE(AA30, ""en"", ""sv"")"),"#VALUE!")</f>
        <v>#VALUE!</v>
      </c>
      <c r="AP30" s="17" t="str">
        <f ca="1">IFERROR(__xludf.DUMMYFUNCTION("GOOGLETRANSLATE(AB30, ""en"", ""sv"")"),"#VALUE!")</f>
        <v>#VALUE!</v>
      </c>
      <c r="AQ30" s="17"/>
    </row>
    <row r="31" spans="1:43" ht="14.25" customHeight="1" x14ac:dyDescent="0.3">
      <c r="A31" s="8" t="s">
        <v>254</v>
      </c>
      <c r="B31" s="38" t="s">
        <v>247</v>
      </c>
      <c r="C31" s="39" t="s">
        <v>255</v>
      </c>
      <c r="D31" s="39" t="s">
        <v>31</v>
      </c>
      <c r="E31" s="42" t="s">
        <v>256</v>
      </c>
      <c r="F31" s="35" t="s">
        <v>257</v>
      </c>
      <c r="G31" s="35" t="s">
        <v>194</v>
      </c>
      <c r="H31" s="35" t="s">
        <v>258</v>
      </c>
      <c r="I31" s="35" t="s">
        <v>259</v>
      </c>
      <c r="J31" s="36" t="s">
        <v>260</v>
      </c>
      <c r="K31" s="41"/>
      <c r="L31" s="41"/>
      <c r="M31" s="41"/>
      <c r="N31" s="41"/>
      <c r="O31" s="14" t="str">
        <f t="shared" si="0"/>
        <v>30</v>
      </c>
      <c r="P31" s="15" t="str">
        <f ca="1">IFERROR(__xludf.DUMMYFUNCTION("GOOGLETRANSLATE(B31, ""ar"", ""en"")"),"Stuffed vegetables")</f>
        <v>Stuffed vegetables</v>
      </c>
      <c r="Q31" s="15" t="str">
        <f ca="1">IFERROR(__xludf.DUMMYFUNCTION("GOOGLETRANSLATE(C31, ""ar"", ""en"")"),"Stuffed grape leaves with meat")</f>
        <v>Stuffed grape leaves with meat</v>
      </c>
      <c r="R31" s="15" t="str">
        <f ca="1">IFERROR(__xludf.DUMMYFUNCTION("GOOGLETRANSLATE(D31, ""ar"", ""en"")"),"3 hours")</f>
        <v>3 hours</v>
      </c>
      <c r="S31" s="15" t="str">
        <f ca="1">IFERROR(__xludf.DUMMYFUNCTION("GOOGLETRANSLATE(E31, ""ar"", ""en"")"),"• 1 kg Egyptian rice or any short-grain rice other than basmati
• 1 kg grape leaves, either pickled (2 medium jars of 500g each) or 1 kg fresh leaves
• 1 kg minced meat with at least 20% fat
• 3 medium onions (approximately 500g)
• 3 large tomatoes, or bl"&amp;"ended tomatoes
• A bunch of parsley
• 1 tsp ground cinnamon
• ½ tsp ground cumin
• 1 tsp black pepper
• 1 tsp seven-spice mix
• ½ cup Mazola oil or 3 tbsp ghee
• For the broth:
• 3 tbsp minced garlic
• 10 whole, peeled garlic cloves
• 1 tbsp salt
• ½ ts"&amp;"p black pepper
• 1 tbsp dried mint
• Juice of 7 lemons or 2 tbsp citric acid (Note: Citric acid is not harmful to health; what is commonly said about it is a misconception. It is the same as lemon juice and is healthy). • One kilogram of sheep ribs, or pi"&amp;"eces from the shoulder or neck of a sheep, and a piece of tail fat if available.
One kilogram of sheep ribs, or pieces from the shoulder or neck of a sheep, and a piece of tail fat if available.")</f>
        <v>• 1 kg Egyptian rice or any short-grain rice other than basmati
• 1 kg grape leaves, either pickled (2 medium jars of 500g each) or 1 kg fresh leaves
• 1 kg minced meat with at least 20% fat
• 3 medium onions (approximately 500g)
• 3 large tomatoes, or blended tomatoes
• A bunch of parsley
• 1 tsp ground cinnamon
• ½ tsp ground cumin
• 1 tsp black pepper
• 1 tsp seven-spice mix
• ½ cup Mazola oil or 3 tbsp ghee
• For the broth:
• 3 tbsp minced garlic
• 10 whole, peeled garlic cloves
• 1 tbsp salt
• ½ tsp black pepper
• 1 tbsp dried mint
• Juice of 7 lemons or 2 tbsp citric acid (Note: Citric acid is not harmful to health; what is commonly said about it is a misconception. It is the same as lemon juice and is healthy). • One kilogram of sheep ribs, or pieces from the shoulder or neck of a sheep, and a piece of tail fat if available.
One kilogram of sheep ribs, or pieces from the shoulder or neck of a sheep, and a piece of tail fat if available.</v>
      </c>
      <c r="T31" s="15" t="str">
        <f ca="1">IFERROR(__xludf.DUMMYFUNCTION("GOOGLETRANSLATE(F31, ""ar"", ""en"")"),"For fresh grape leaves, you'll need to boil them for about 15 minutes. Drain the leaves and place them in a pot. Add half a teaspoon of baking soda and boil for another 15 minutes. The baking soda helps preserve the green color of the leaves.
For pickled"&amp;" grape leaves, remove them and soak them in hot water. Change the water several times for 24 hours, then rinse them with cold tap water to remove the pickled taste and smell and restore their freshness.
Soak the rice as usual after washing it in the toma"&amp;"to juice you prepared in the blender for an hour or more; it doesn't matter.
Place all the filling ingredients—rice, meat, and spices—in a plastic container and mix them well with a cup of water to ensure the filling is even and doesn't dry out inside th"&amp;"e grape leaves.
Start rolling the leaves. The important thing is to completely cover the rice. Any method you prefer will do; cover the rice and roll the leaves about halfway around it to seal it in and prevent it from opening during cooking.
Prepare a "&amp;"suitable pot and place the ribs, meat, or even bones at the bottom. Sprinkle them with black pepper, salt, mint, crushed garlic, whole garlic cloves, and citric acid. In Aleppo, we tie the leaves into bundles with white thread, like regular sewing. We wra"&amp;"p the thread around each bundle from beginning to end, along the entire length of the rolled leaves. This method greatly helps in quickly pouring the water through the leaves and prevents them from unraveling during cooking.
Drain the bundles or leaves i"&amp;"n the pot. Once you've finished, completely cover the leaves with water, cover the pot, and bring it to a boil. Then reduce the heat to a quarter of the normal level and make sure the water in the leaves is boiling. If the water doesn't boil and bubbles a"&amp;"ppear, the leaves won't cook properly. Let it sit for four hours.
")</f>
        <v xml:space="preserve">For fresh grape leaves, you'll need to boil them for about 15 minutes. Drain the leaves and place them in a pot. Add half a teaspoon of baking soda and boil for another 15 minutes. The baking soda helps preserve the green color of the leaves.
For pickled grape leaves, remove them and soak them in hot water. Change the water several times for 24 hours, then rinse them with cold tap water to remove the pickled taste and smell and restore their freshness.
Soak the rice as usual after washing it in the tomato juice you prepared in the blender for an hour or more; it doesn't matter.
Place all the filling ingredients—rice, meat, and spices—in a plastic container and mix them well with a cup of water to ensure the filling is even and doesn't dry out inside the grape leaves.
Start rolling the leaves. The important thing is to completely cover the rice. Any method you prefer will do; cover the rice and roll the leaves about halfway around it to seal it in and prevent it from opening during cooking.
Prepare a suitable pot and place the ribs, meat, or even bones at the bottom. Sprinkle them with black pepper, salt, mint, crushed garlic, whole garlic cloves, and citric acid. In Aleppo, we tie the leaves into bundles with white thread, like regular sewing. We wrap the thread around each bundle from beginning to end, along the entire length of the rolled leaves. This method greatly helps in quickly pouring the water through the leaves and prevents them from unraveling during cooking.
Drain the bundles or leaves in the pot. Once you've finished, completely cover the leaves with water, cover the pot, and bring it to a boil. Then reduce the heat to a quarter of the normal level and make sure the water in the leaves is boiling. If the water doesn't boil and bubbles appear, the leaves won't cook properly. Let it sit for four hours.
</v>
      </c>
      <c r="U31" s="15" t="str">
        <f ca="1">IFERROR(__xludf.DUMMYFUNCTION("GOOGLETRANSLATE(G31, ""ar"", ""en"")"),"The quantity is enough for 6 people.")</f>
        <v>The quantity is enough for 6 people.</v>
      </c>
      <c r="V31" s="15" t="str">
        <f ca="1">IFERROR(__xludf.DUMMYFUNCTION("GOOGLETRANSLATE(H31, ""ar"", ""en"")"),"Garnish the grape leaves dish with lemon slices.")</f>
        <v>Garnish the grape leaves dish with lemon slices.</v>
      </c>
      <c r="W31" s="15" t="str">
        <f ca="1">IFERROR(__xludf.DUMMYFUNCTION("GOOGLETRANSLATE(I31, ""ar"", ""en"")"),"You might be surprised by the addition of parsley and tomatoes, especially since you're from Aleppo, but I've found from experience that the flavor is significantly better when you add the mild tang of the tomatoes and the aroma of the parsley to the rice"&amp;". Try it, you won't regret it.
In Aleppo, we tend to overcook stuffed grape leaves with meat, leaving them on the stove for 7 or sometimes 10 hours. However, I've found a middle ground: 5 to 10 hours of gentle simmering will ensure the leaves cook just a"&amp;"s well. Ultimately, it's up to you to cook them for as long as you like.")</f>
        <v>You might be surprised by the addition of parsley and tomatoes, especially since you're from Aleppo, but I've found from experience that the flavor is significantly better when you add the mild tang of the tomatoes and the aroma of the parsley to the rice. Try it, you won't regret it.
In Aleppo, we tend to overcook stuffed grape leaves with meat, leaving them on the stove for 7 or sometimes 10 hours. However, I've found a middle ground: 5 to 10 hours of gentle simmering will ensure the leaves cook just as well. Ultimately, it's up to you to cook them for as long as you like.</v>
      </c>
      <c r="X31" s="15" t="str">
        <f ca="1">IFERROR(__xludf.DUMMYFUNCTION("GOOGLETRANSLATE(J31, ""ar"", ""en"")"),"images/Yabraa.jpg")</f>
        <v>images/Yabraa.jpg</v>
      </c>
      <c r="Y31" s="15" t="str">
        <f ca="1">IFERROR(__xludf.DUMMYFUNCTION("GOOGLETRANSLATE(K31, ""ar"", ""en"")"),"#VALUE!")</f>
        <v>#VALUE!</v>
      </c>
      <c r="Z31" s="15" t="str">
        <f ca="1">IFERROR(__xludf.DUMMYFUNCTION("GOOGLETRANSLATE(L31, ""ar"", ""en"")"),"#VALUE!")</f>
        <v>#VALUE!</v>
      </c>
      <c r="AA31" s="15" t="str">
        <f ca="1">IFERROR(__xludf.DUMMYFUNCTION("GOOGLETRANSLATE(M31, ""ar"", ""en"")"),"#VALUE!")</f>
        <v>#VALUE!</v>
      </c>
      <c r="AB31" s="15" t="str">
        <f ca="1">IFERROR(__xludf.DUMMYFUNCTION("GOOGLETRANSLATE(N31, ""ar"", ""en"")"),"#VALUE!")</f>
        <v>#VALUE!</v>
      </c>
      <c r="AC31" s="16" t="str">
        <f t="shared" si="1"/>
        <v>30</v>
      </c>
      <c r="AD31" s="17" t="str">
        <f ca="1">IFERROR(__xludf.DUMMYFUNCTION("GOOGLETRANSLATE(P31, ""en"", ""sv"")"),"Fyllda grönsaker")</f>
        <v>Fyllda grönsaker</v>
      </c>
      <c r="AE31" s="17" t="str">
        <f ca="1">IFERROR(__xludf.DUMMYFUNCTION("GOOGLETRANSLATE(Q31, ""en"", ""sv"")"),"Fyllda druvblad med kött")</f>
        <v>Fyllda druvblad med kött</v>
      </c>
      <c r="AF31" s="17" t="str">
        <f ca="1">IFERROR(__xludf.DUMMYFUNCTION("GOOGLETRANSLATE(R31, ""en"", ""sv"")"),"3 timmar")</f>
        <v>3 timmar</v>
      </c>
      <c r="AG31" s="17" t="str">
        <f ca="1">IFERROR(__xludf.DUMMYFUNCTION("GOOGLETRANSLATE(S31, ""en"", ""sv"")"),"• 1 kg egyptiskt ris eller annat kortkornigt ris än basmatiris
• 1 kg druvblad, antingen inlagda (2 medelstora burkar à 500 g) eller 1 kg färska blad
• 1 kg köttfärs med minst 20 % fett
• 3 medelstora lökar (cirka 500 g)
• 3 stora tomater eller blandade t"&amp;"omater
• En knippa persilja
• 1 tsk malen kanel
• ½ tsk malen spiskummin
• 1 tsk svartpeppar
• 1 tsk sjukryddsblandning
• ½ dl mazolaolja eller 3 msk ghee
• Till buljongen:
• 3 msk hackad vitlök
• 10 hela, skalade vitlöksklyftor
• 1 msk salt
• ½ tsk sva"&amp;"rtpeppar
• 1 msk torkad mynta
• Saft från 7 citroner eller 2 msk citronsyra (Obs: Citronsyra är inte skadligt för hälsan; det som vanligtvis sägs om det är en missuppfattning. Det är samma sak som citronsaft och är hälsosamt). • Ett kilogram fårrevben, el"&amp;"ler bitar från ett fårs bog eller hals, och en bit svansfett om tillgängligt.
Ett kilogram fårrevben, eller bitar från ett fårs bog eller hals, och en bit svansfett om tillgängligt.")</f>
        <v>• 1 kg egyptiskt ris eller annat kortkornigt ris än basmatiris
• 1 kg druvblad, antingen inlagda (2 medelstora burkar à 500 g) eller 1 kg färska blad
• 1 kg köttfärs med minst 20 % fett
• 3 medelstora lökar (cirka 500 g)
• 3 stora tomater eller blandade tomater
• En knippa persilja
• 1 tsk malen kanel
• ½ tsk malen spiskummin
• 1 tsk svartpeppar
• 1 tsk sjukryddsblandning
• ½ dl mazolaolja eller 3 msk ghee
• Till buljongen:
• 3 msk hackad vitlök
• 10 hela, skalade vitlöksklyftor
• 1 msk salt
• ½ tsk svartpeppar
• 1 msk torkad mynta
• Saft från 7 citroner eller 2 msk citronsyra (Obs: Citronsyra är inte skadligt för hälsan; det som vanligtvis sägs om det är en missuppfattning. Det är samma sak som citronsaft och är hälsosamt). • Ett kilogram fårrevben, eller bitar från ett fårs bog eller hals, och en bit svansfett om tillgängligt.
Ett kilogram fårrevben, eller bitar från ett fårs bog eller hals, och en bit svansfett om tillgängligt.</v>
      </c>
      <c r="AH31" s="17" t="str">
        <f ca="1">IFERROR(__xludf.DUMMYFUNCTION("GOOGLETRANSLATE(T31, ""en"", ""sv"")"),"För färska druvblad behöver du koka dem i cirka 15 minuter. Häll av vattnet och lägg dem i en kastrull. Tillsätt en halv tesked bikarbonat och koka i ytterligare 15 minuter. Bikarbonat hjälper till att bevara bladens gröna färg.
För inlagda druvblad, ta "&amp;"ut dem och blötlägg dem i varmt vatten. Byt vatten flera gånger i 24 timmar, skölj dem sedan med kallt kranvatten för att ta bort den inlagda smaken och lukten och återställa deras fräschör.
Blötlägg riset som vanligt efter att ha tvättat det i tomatjuic"&amp;"en du förberedde i mixern i en timme eller mer; det spelar ingen roll.
Lägg alla ingredienser till fyllningen – ris, kött och kryddor – i en plastbehållare och blanda dem väl med en kopp vatten för att säkerställa att fyllningen är jämn och inte torkar u"&amp;"t inuti druvbladen.
Börja rulla bladen. Det viktiga är att täcka riset helt. Vilken metod du än föredrar fungerar; täck riset och rulla bladen ungefär halvvägs runt det för att försegla det och förhindra att det öppnar sig under tillagningen.
Förbered e"&amp;"n lämplig kastrull och lägg revbenen, köttet eller till och med benen i botten. Strö över svartpeppar, salt, mynta, krossad vitlök, hela vitlöksklyftor och citronsyra. I Aleppo knyter vi bladen i buntar med vit tråd, som vanlig sömnad. Vi virar tråden run"&amp;"t varje bunt från början till slut, längs hela de rullade bladens längd. Denna metod hjälper till att snabbt hälla vattnet genom bladen och förhindrar att de nystar upp sig under tillagningen.
Häll av vattnet från buntarna eller bladen i kastrullen. När "&amp;"du är klar, täck bladen helt med vatten, täck kastrullen och koka upp. Sänk sedan värmen till en fjärdedel av den normala nivån och se till att vattnet i bladen kokar. Om vattnet inte kokar och bubblor uppstår, kommer bladen inte att tillagas ordentligt. "&amp;"Låt det stå i fyra timmar.
")</f>
        <v xml:space="preserve">För färska druvblad behöver du koka dem i cirka 15 minuter. Häll av vattnet och lägg dem i en kastrull. Tillsätt en halv tesked bikarbonat och koka i ytterligare 15 minuter. Bikarbonat hjälper till att bevara bladens gröna färg.
För inlagda druvblad, ta ut dem och blötlägg dem i varmt vatten. Byt vatten flera gånger i 24 timmar, skölj dem sedan med kallt kranvatten för att ta bort den inlagda smaken och lukten och återställa deras fräschör.
Blötlägg riset som vanligt efter att ha tvättat det i tomatjuicen du förberedde i mixern i en timme eller mer; det spelar ingen roll.
Lägg alla ingredienser till fyllningen – ris, kött och kryddor – i en plastbehållare och blanda dem väl med en kopp vatten för att säkerställa att fyllningen är jämn och inte torkar ut inuti druvbladen.
Börja rulla bladen. Det viktiga är att täcka riset helt. Vilken metod du än föredrar fungerar; täck riset och rulla bladen ungefär halvvägs runt det för att försegla det och förhindra att det öppnar sig under tillagningen.
Förbered en lämplig kastrull och lägg revbenen, köttet eller till och med benen i botten. Strö över svartpeppar, salt, mynta, krossad vitlök, hela vitlöksklyftor och citronsyra. I Aleppo knyter vi bladen i buntar med vit tråd, som vanlig sömnad. Vi virar tråden runt varje bunt från början till slut, längs hela de rullade bladens längd. Denna metod hjälper till att snabbt hälla vattnet genom bladen och förhindrar att de nystar upp sig under tillagningen.
Häll av vattnet från buntarna eller bladen i kastrullen. När du är klar, täck bladen helt med vatten, täck kastrullen och koka upp. Sänk sedan värmen till en fjärdedel av den normala nivån och se till att vattnet i bladen kokar. Om vattnet inte kokar och bubblor uppstår, kommer bladen inte att tillagas ordentligt. Låt det stå i fyra timmar.
</v>
      </c>
      <c r="AI31" s="17" t="str">
        <f ca="1">IFERROR(__xludf.DUMMYFUNCTION("GOOGLETRANSLATE(U31, ""en"", ""sv"")"),"Mängden räcker till 6 personer.")</f>
        <v>Mängden räcker till 6 personer.</v>
      </c>
      <c r="AJ31" s="17" t="str">
        <f ca="1">IFERROR(__xludf.DUMMYFUNCTION("GOOGLETRANSLATE(V31, ""en"", ""sv"")"),"Garnera druvbladsrätten med citronskivor.")</f>
        <v>Garnera druvbladsrätten med citronskivor.</v>
      </c>
      <c r="AK31" s="17" t="str">
        <f ca="1">IFERROR(__xludf.DUMMYFUNCTION("GOOGLETRANSLATE(W31, ""en"", ""sv"")"),"Du kanske blir förvånad över tillsatsen av persilja och tomater, särskilt eftersom du kommer från Aleppo, men jag har av egen erfarenhet upptäckt att smaken blir betydligt bättre när du tillsätter den milda syrligheten från tomaterna och persiljans arom t"&amp;"ill riset. Prova det, du kommer inte ångra dig.
I Aleppo tenderar vi att överkoka fyllda druvblad med kött och låta dem stå på spisen i 7 eller ibland 10 timmar. Men jag har hittat en medelväg: 5 till 10 timmars försiktig sjudning säkerställer att bladen"&amp;" tillagas lika bra. I slutändan är det upp till dig att tillaga dem så länge du vill.")</f>
        <v>Du kanske blir förvånad över tillsatsen av persilja och tomater, särskilt eftersom du kommer från Aleppo, men jag har av egen erfarenhet upptäckt att smaken blir betydligt bättre när du tillsätter den milda syrligheten från tomaterna och persiljans arom till riset. Prova det, du kommer inte ångra dig.
I Aleppo tenderar vi att överkoka fyllda druvblad med kött och låta dem stå på spisen i 7 eller ibland 10 timmar. Men jag har hittat en medelväg: 5 till 10 timmars försiktig sjudning säkerställer att bladen tillagas lika bra. I slutändan är det upp till dig att tillaga dem så länge du vill.</v>
      </c>
      <c r="AL31" s="17" t="str">
        <f ca="1">IFERROR(__xludf.DUMMYFUNCTION("GOOGLETRANSLATE(X31, ""en"", ""sv"")"),"bilder/Yabraa.jpg")</f>
        <v>bilder/Yabraa.jpg</v>
      </c>
      <c r="AM31" s="17" t="str">
        <f ca="1">IFERROR(__xludf.DUMMYFUNCTION("GOOGLETRANSLATE(Y31, ""en"", ""sv"")"),"#VALUE!")</f>
        <v>#VALUE!</v>
      </c>
      <c r="AN31" s="17" t="str">
        <f ca="1">IFERROR(__xludf.DUMMYFUNCTION("GOOGLETRANSLATE(Z31, ""en"", ""sv"")"),"#VALUE!")</f>
        <v>#VALUE!</v>
      </c>
      <c r="AO31" s="17" t="str">
        <f ca="1">IFERROR(__xludf.DUMMYFUNCTION("GOOGLETRANSLATE(AA31, ""en"", ""sv"")"),"#VALUE!")</f>
        <v>#VALUE!</v>
      </c>
      <c r="AP31" s="17" t="str">
        <f ca="1">IFERROR(__xludf.DUMMYFUNCTION("GOOGLETRANSLATE(AB31, ""en"", ""sv"")"),"#VALUE!")</f>
        <v>#VALUE!</v>
      </c>
      <c r="AQ31" s="17"/>
    </row>
    <row r="32" spans="1:43" ht="14.25" customHeight="1" x14ac:dyDescent="0.3">
      <c r="A32" s="8" t="s">
        <v>261</v>
      </c>
      <c r="B32" s="38" t="s">
        <v>247</v>
      </c>
      <c r="C32" s="39" t="s">
        <v>262</v>
      </c>
      <c r="D32" s="39" t="s">
        <v>31</v>
      </c>
      <c r="E32" s="35" t="s">
        <v>263</v>
      </c>
      <c r="F32" s="35" t="s">
        <v>264</v>
      </c>
      <c r="G32" s="35" t="s">
        <v>265</v>
      </c>
      <c r="H32" s="35" t="s">
        <v>266</v>
      </c>
      <c r="I32" s="35" t="s">
        <v>267</v>
      </c>
      <c r="J32" s="36" t="s">
        <v>268</v>
      </c>
      <c r="K32" s="41"/>
      <c r="L32" s="41"/>
      <c r="M32" s="41"/>
      <c r="N32" s="41"/>
      <c r="O32" s="14" t="str">
        <f t="shared" si="0"/>
        <v>31</v>
      </c>
      <c r="P32" s="15" t="str">
        <f ca="1">IFERROR(__xludf.DUMMYFUNCTION("GOOGLETRANSLATE(B32, ""ar"", ""en"")"),"Stuffed vegetables")</f>
        <v>Stuffed vegetables</v>
      </c>
      <c r="Q32" s="15" t="str">
        <f ca="1">IFERROR(__xludf.DUMMYFUNCTION("GOOGLETRANSLATE(C32, ""ar"", ""en"")"),"Yalangi (Grape leaves with olive oil and vegetables)")</f>
        <v>Yalangi (Grape leaves with olive oil and vegetables)</v>
      </c>
      <c r="R32" s="15" t="str">
        <f ca="1">IFERROR(__xludf.DUMMYFUNCTION("GOOGLETRANSLATE(D32, ""ar"", ""en"")"),"3 hours")</f>
        <v>3 hours</v>
      </c>
      <c r="S32" s="15" t="str">
        <f ca="1">IFERROR(__xludf.DUMMYFUNCTION("GOOGLETRANSLATE(E32, ""ar"", ""en"")"),"• 1 kg Egyptian rice or any short-grain rice other than basmati
• 1 kg grape leaves, either pickled (2 medium jars weighing 500 g each) or 1 kg fresh leaves
• 250 g good quality olive oil or 1 cup
• 3 medium onions (400 g)
• 1 tablespoon minced garlic
• 1"&amp;" green bell pepper (sweet or hot, as desired)
• 1 red bell pepper (sweet or hot, as desired)
• 3 large tomatoes, blended
• 1 bunch parsley
• 1/2 bunch fresh mint
• 2 green onions
• 1/2 cup pomegranate molasses
• 2 tablespoons tomato paste
• 2 tablespoons "&amp;"red pepper paste
• 1 tablespoon Turkish coffee grounds
• 1 teaspoon ground cardamom
• 1/2 teaspoon ground cumin
• 1 teaspoon black pepper
• 1 teaspoon seven spices
• For the broth:
• 3 tablespoons minced garlic
• 1 tablespoon salt
• 1 tablespoon dried mi"&amp;"nt
• 7 juice Lemons or two tablespoons of citric acid (for your information, citric acid is not harmful to health, contrary to popular belief) are just as healthy as lemon juice.
")</f>
        <v xml:space="preserve">• 1 kg Egyptian rice or any short-grain rice other than basmati
• 1 kg grape leaves, either pickled (2 medium jars weighing 500 g each) or 1 kg fresh leaves
• 250 g good quality olive oil or 1 cup
• 3 medium onions (400 g)
• 1 tablespoon minced garlic
• 1 green bell pepper (sweet or hot, as desired)
• 1 red bell pepper (sweet or hot, as desired)
• 3 large tomatoes, blended
• 1 bunch parsley
• 1/2 bunch fresh mint
• 2 green onions
• 1/2 cup pomegranate molasses
• 2 tablespoons tomato paste
• 2 tablespoons red pepper paste
• 1 tablespoon Turkish coffee grounds
• 1 teaspoon ground cardamom
• 1/2 teaspoon ground cumin
• 1 teaspoon black pepper
• 1 teaspoon seven spices
• For the broth:
• 3 tablespoons minced garlic
• 1 tablespoon salt
• 1 tablespoon dried mint
• 7 juice Lemons or two tablespoons of citric acid (for your information, citric acid is not harmful to health, contrary to popular belief) are just as healthy as lemon juice.
</v>
      </c>
      <c r="T32" s="15" t="str">
        <f ca="1">IFERROR(__xludf.DUMMYFUNCTION("GOOGLETRANSLATE(F32, ""ar"", ""en"")"),"Aleppo Method:
Soak the rice, after washing it, in blended tomatoes for at least one hour.
Chop the onion and sauté it in a pot with olive oil until golden. Then add the red and green bell peppers and cook for 5 minutes. Now add the tomato paste, red pep"&amp;"per paste, and pomegranate molasses to the mixture and cook for another 2 minutes. Add the rice and mix well. Sprinkle with salt, coffee, and the remaining spices. Cover and cook for 5 minutes over low heat. Do not add any water to the rice; let it simply"&amp;" absorb the liquid from the vegetables.
At the end, while the rice is still hot, add the chopped parsley, chopped mint, and chopped green onions. Stir everything together, cover, and let it cool.
General Arabic Method: Mix all the ingredients together w"&amp;"hile cold, then wrap the mixture in grape leaves. However, this method will result in a soft filling as the vegetables inside wilt, and it won't have the same intense flavor as rice cooked over a flame.
Now that you've finished rolling the yalangi as I e"&amp;"xplained in the stuffed grape leaves recipe, the rolls should be slightly thicker, about twice the size of the stuffed grape leaves with meat, because this dish has different ingredients. Cover the leaves with water, add lemon, garlic, mint, and salt, bri"&amp;"ng to a boil, then reduce the heat to low and simmer for 3 hours. You can be sure they're cooked by then; there's no need to check.
")</f>
        <v xml:space="preserve">Aleppo Method:
Soak the rice, after washing it, in blended tomatoes for at least one hour.
Chop the onion and sauté it in a pot with olive oil until golden. Then add the red and green bell peppers and cook for 5 minutes. Now add the tomato paste, red pepper paste, and pomegranate molasses to the mixture and cook for another 2 minutes. Add the rice and mix well. Sprinkle with salt, coffee, and the remaining spices. Cover and cook for 5 minutes over low heat. Do not add any water to the rice; let it simply absorb the liquid from the vegetables.
At the end, while the rice is still hot, add the chopped parsley, chopped mint, and chopped green onions. Stir everything together, cover, and let it cool.
General Arabic Method: Mix all the ingredients together while cold, then wrap the mixture in grape leaves. However, this method will result in a soft filling as the vegetables inside wilt, and it won't have the same intense flavor as rice cooked over a flame.
Now that you've finished rolling the yalangi as I explained in the stuffed grape leaves recipe, the rolls should be slightly thicker, about twice the size of the stuffed grape leaves with meat, because this dish has different ingredients. Cover the leaves with water, add lemon, garlic, mint, and salt, bring to a boil, then reduce the heat to low and simmer for 3 hours. You can be sure they're cooked by then; there's no need to check.
</v>
      </c>
      <c r="U32" s="15" t="str">
        <f ca="1">IFERROR(__xludf.DUMMYFUNCTION("GOOGLETRANSLATE(G32, ""ar"", ""en"")"),"This quantity is enough for 10 people as an appetizer with the main course.")</f>
        <v>This quantity is enough for 10 people as an appetizer with the main course.</v>
      </c>
      <c r="V32" s="15" t="str">
        <f ca="1">IFERROR(__xludf.DUMMYFUNCTION("GOOGLETRANSLATE(H32, ""ar"", ""en"")"),"Garnish the yalangi dish with lemon slices.")</f>
        <v>Garnish the yalangi dish with lemon slices.</v>
      </c>
      <c r="W32" s="15" t="str">
        <f ca="1">IFERROR(__xludf.DUMMYFUNCTION("GOOGLETRANSLATE(I32, ""ar"", ""en"")"),"I, and all the women from Aleppo, tie the stuffed grape leaves (yalangi) in bundles about the size of a fist. This prevents them from opening up in the broth and keeps them intact. It also makes serving them easier; you simply hold the bundle with a fork,"&amp;" grasp the string, cut it, and pull it off easily. In less than 5 minutes, you'll have a pot of stuffed grape leaves ready.
Yalanji is eaten cold or slightly warm, not hot.")</f>
        <v>I, and all the women from Aleppo, tie the stuffed grape leaves (yalangi) in bundles about the size of a fist. This prevents them from opening up in the broth and keeps them intact. It also makes serving them easier; you simply hold the bundle with a fork, grasp the string, cut it, and pull it off easily. In less than 5 minutes, you'll have a pot of stuffed grape leaves ready.
Yalanji is eaten cold or slightly warm, not hot.</v>
      </c>
      <c r="X32" s="15" t="str">
        <f ca="1">IFERROR(__xludf.DUMMYFUNCTION("GOOGLETRANSLATE(J32, ""ar"", ""en"")"),"images/Yalanji.jpg")</f>
        <v>images/Yalanji.jpg</v>
      </c>
      <c r="Y32" s="15" t="str">
        <f ca="1">IFERROR(__xludf.DUMMYFUNCTION("GOOGLETRANSLATE(K32, ""ar"", ""en"")"),"#VALUE!")</f>
        <v>#VALUE!</v>
      </c>
      <c r="Z32" s="15" t="str">
        <f ca="1">IFERROR(__xludf.DUMMYFUNCTION("GOOGLETRANSLATE(L32, ""ar"", ""en"")"),"#VALUE!")</f>
        <v>#VALUE!</v>
      </c>
      <c r="AA32" s="15" t="str">
        <f ca="1">IFERROR(__xludf.DUMMYFUNCTION("GOOGLETRANSLATE(M32, ""ar"", ""en"")"),"#VALUE!")</f>
        <v>#VALUE!</v>
      </c>
      <c r="AB32" s="15" t="str">
        <f ca="1">IFERROR(__xludf.DUMMYFUNCTION("GOOGLETRANSLATE(N32, ""ar"", ""en"")"),"#VALUE!")</f>
        <v>#VALUE!</v>
      </c>
      <c r="AC32" s="16" t="str">
        <f t="shared" si="1"/>
        <v>31</v>
      </c>
      <c r="AD32" s="17" t="str">
        <f ca="1">IFERROR(__xludf.DUMMYFUNCTION("GOOGLETRANSLATE(P32, ""en"", ""sv"")"),"Fyllda grönsaker")</f>
        <v>Fyllda grönsaker</v>
      </c>
      <c r="AE32" s="17" t="str">
        <f ca="1">IFERROR(__xludf.DUMMYFUNCTION("GOOGLETRANSLATE(Q32, ""en"", ""sv"")"),"Yalangi (druvblad med olivolja och grönsaker)")</f>
        <v>Yalangi (druvblad med olivolja och grönsaker)</v>
      </c>
      <c r="AF32" s="17" t="str">
        <f ca="1">IFERROR(__xludf.DUMMYFUNCTION("GOOGLETRANSLATE(R32, ""en"", ""sv"")"),"3 timmar")</f>
        <v>3 timmar</v>
      </c>
      <c r="AG32" s="17" t="str">
        <f ca="1">IFERROR(__xludf.DUMMYFUNCTION("GOOGLETRANSLATE(S32, ""en"", ""sv"")"),"• 1 kg egyptiskt ris eller annat kortkornigt ris än basmatiris
• 1 kg druvblad, antingen inlagda (2 medelstora burkar som väger 500 g styck) eller 1 kg färska blad
• 250 g olivolja av god kvalitet eller 1 kopp
• 3 medelstora lökar (400 g)
• 1 msk hackad v"&amp;"itlök
• 1 grön paprika (söt eller stark, efter önskemål)
• 1 röd paprika (söt eller stark, efter önskemål)
• 3 stora tomater, blandade
• 1 knippe persilja
• 1/2 knippe färsk mynta
• 2 salladslökar
• 1/2 kopp granatäpplemelass
• 2 msk tomatpuré
• 2 msk röd"&amp;" paprikapasta
• 1 msk turkiskt kaffesump
• 1 tsk malen kardemumma
• 1/2 tsk malen spiskummin
• 1 tsk svartpeppar
• 1 tsk sju kryddor
• Till buljongen:
• 3 msk hackad vitlök
• 1 msk salt
• 1 msk torkad mynta
• 7 citronsaft eller två matskedar citronsyra ("&amp;"för din information är citronsyra inte skadligt för hälsan, tvärtemot vad många tror) är lika hälsosamma som citronsaft.
")</f>
        <v xml:space="preserve">• 1 kg egyptiskt ris eller annat kortkornigt ris än basmatiris
• 1 kg druvblad, antingen inlagda (2 medelstora burkar som väger 500 g styck) eller 1 kg färska blad
• 250 g olivolja av god kvalitet eller 1 kopp
• 3 medelstora lökar (400 g)
• 1 msk hackad vitlök
• 1 grön paprika (söt eller stark, efter önskemål)
• 1 röd paprika (söt eller stark, efter önskemål)
• 3 stora tomater, blandade
• 1 knippe persilja
• 1/2 knippe färsk mynta
• 2 salladslökar
• 1/2 kopp granatäpplemelass
• 2 msk tomatpuré
• 2 msk röd paprikapasta
• 1 msk turkiskt kaffesump
• 1 tsk malen kardemumma
• 1/2 tsk malen spiskummin
• 1 tsk svartpeppar
• 1 tsk sju kryddor
• Till buljongen:
• 3 msk hackad vitlök
• 1 msk salt
• 1 msk torkad mynta
• 7 citronsaft eller två matskedar citronsyra (för din information är citronsyra inte skadligt för hälsan, tvärtemot vad många tror) är lika hälsosamma som citronsaft.
</v>
      </c>
      <c r="AH32" s="17" t="str">
        <f ca="1">IFERROR(__xludf.DUMMYFUNCTION("GOOGLETRANSLATE(T32, ""en"", ""sv"")"),"Aleppo-metoden:
Blötlägg riset, efter att ha tvättat det, i blandade tomater i minst en timme.
Hack löken och fräs den i en kastrull med olivolja tills den är gyllenbrun. Tillsätt sedan de röda och gröna paprikorna och koka i 5 minuter. Tillsätt nu tomat"&amp;"puré, röd paprikapasta och granatäpplemelass till blandningen och koka i ytterligare 2 minuter. Tillsätt riset och blanda väl. Strö över salt, kaffe och resterande kryddor. Täck över och koka i 5 minuter på låg värme. Tillsätt inte vatten till riset; låt "&amp;"det bara absorbera vätskan från grönsakerna.
Till sist, medan riset fortfarande är varmt, tillsätt hackad persilja, hackad mynta och hackad salladslök. Rör ihop allt, täck över och låt det svalna.
Allmän arabisk metod: Blanda alla ingredienser medan de "&amp;"är kalla och linda sedan in blandningen i druvblad. Denna metod kommer dock att resultera i en mjuk fyllning eftersom grönsakerna inuti vissnar, och den kommer inte att ha samma intensiva smak som ris kokt över låga.
Nu när du har rullat klart yalangin s"&amp;"om jag förklarade i receptet för fyllda druvblad, bör rullarna vara något tjockare, ungefär dubbelt så stora som de fyllda druvbladen med kött, eftersom den här rätten har andra ingredienser. Täck bladen med vatten, tillsätt citron, vitlök, mynta och salt"&amp;", koka upp, sänk sedan värmen till låg och låt sjuda i 3 timmar. Du kan vara säker på att de är tillagade då; det finns ingen anledning att kontrollera.
")</f>
        <v xml:space="preserve">Aleppo-metoden:
Blötlägg riset, efter att ha tvättat det, i blandade tomater i minst en timme.
Hack löken och fräs den i en kastrull med olivolja tills den är gyllenbrun. Tillsätt sedan de röda och gröna paprikorna och koka i 5 minuter. Tillsätt nu tomatpuré, röd paprikapasta och granatäpplemelass till blandningen och koka i ytterligare 2 minuter. Tillsätt riset och blanda väl. Strö över salt, kaffe och resterande kryddor. Täck över och koka i 5 minuter på låg värme. Tillsätt inte vatten till riset; låt det bara absorbera vätskan från grönsakerna.
Till sist, medan riset fortfarande är varmt, tillsätt hackad persilja, hackad mynta och hackad salladslök. Rör ihop allt, täck över och låt det svalna.
Allmän arabisk metod: Blanda alla ingredienser medan de är kalla och linda sedan in blandningen i druvblad. Denna metod kommer dock att resultera i en mjuk fyllning eftersom grönsakerna inuti vissnar, och den kommer inte att ha samma intensiva smak som ris kokt över låga.
Nu när du har rullat klart yalangin som jag förklarade i receptet för fyllda druvblad, bör rullarna vara något tjockare, ungefär dubbelt så stora som de fyllda druvbladen med kött, eftersom den här rätten har andra ingredienser. Täck bladen med vatten, tillsätt citron, vitlök, mynta och salt, koka upp, sänk sedan värmen till låg och låt sjuda i 3 timmar. Du kan vara säker på att de är tillagade då; det finns ingen anledning att kontrollera.
</v>
      </c>
      <c r="AI32" s="17" t="str">
        <f ca="1">IFERROR(__xludf.DUMMYFUNCTION("GOOGLETRANSLATE(U32, ""en"", ""sv"")"),"Denna mängd räcker till 10 personer som förrätt till huvudrätten.")</f>
        <v>Denna mängd räcker till 10 personer som förrätt till huvudrätten.</v>
      </c>
      <c r="AJ32" s="17" t="str">
        <f ca="1">IFERROR(__xludf.DUMMYFUNCTION("GOOGLETRANSLATE(V32, ""en"", ""sv"")"),"Garnera yalangirätten med citronskivor.")</f>
        <v>Garnera yalangirätten med citronskivor.</v>
      </c>
      <c r="AK32" s="17" t="str">
        <f ca="1">IFERROR(__xludf.DUMMYFUNCTION("GOOGLETRANSLATE(W32, ""en"", ""sv"")"),"Jag, och alla kvinnor från Aleppo, knyter de fyllda druvbladen (yalangi) i buntar ungefär lika stora som en knytnäve. Detta förhindrar att de öppnar sig i buljongen och håller dem intakta. Det gör det också enklare att servera dem; du håller helt enkelt b"&amp;"unten med en gaffel, tar tag i snöret, klipper av den och drar lätt av den. På mindre än 5 minuter har du en gryta med fyllda druvblad klara.
Yalanji äts kall eller lätt varm, inte varm.")</f>
        <v>Jag, och alla kvinnor från Aleppo, knyter de fyllda druvbladen (yalangi) i buntar ungefär lika stora som en knytnäve. Detta förhindrar att de öppnar sig i buljongen och håller dem intakta. Det gör det också enklare att servera dem; du håller helt enkelt bunten med en gaffel, tar tag i snöret, klipper av den och drar lätt av den. På mindre än 5 minuter har du en gryta med fyllda druvblad klara.
Yalanji äts kall eller lätt varm, inte varm.</v>
      </c>
      <c r="AL32" s="17" t="str">
        <f ca="1">IFERROR(__xludf.DUMMYFUNCTION("GOOGLETRANSLATE(X32, ""en"", ""sv"")"),"bilder/Yalanji.jpg")</f>
        <v>bilder/Yalanji.jpg</v>
      </c>
      <c r="AM32" s="17" t="str">
        <f ca="1">IFERROR(__xludf.DUMMYFUNCTION("GOOGLETRANSLATE(Y32, ""en"", ""sv"")"),"#VALUE!")</f>
        <v>#VALUE!</v>
      </c>
      <c r="AN32" s="17" t="str">
        <f ca="1">IFERROR(__xludf.DUMMYFUNCTION("GOOGLETRANSLATE(Z32, ""en"", ""sv"")"),"#VALUE!")</f>
        <v>#VALUE!</v>
      </c>
      <c r="AO32" s="17" t="str">
        <f ca="1">IFERROR(__xludf.DUMMYFUNCTION("GOOGLETRANSLATE(AA32, ""en"", ""sv"")"),"#VALUE!")</f>
        <v>#VALUE!</v>
      </c>
      <c r="AP32" s="17" t="str">
        <f ca="1">IFERROR(__xludf.DUMMYFUNCTION("GOOGLETRANSLATE(AB32, ""en"", ""sv"")"),"#VALUE!")</f>
        <v>#VALUE!</v>
      </c>
      <c r="AQ32" s="17"/>
    </row>
    <row r="33" spans="1:43" ht="14.25" customHeight="1" x14ac:dyDescent="0.3">
      <c r="A33" s="8" t="s">
        <v>269</v>
      </c>
      <c r="B33" s="43" t="s">
        <v>247</v>
      </c>
      <c r="C33" s="35" t="s">
        <v>270</v>
      </c>
      <c r="D33" s="39" t="s">
        <v>31</v>
      </c>
      <c r="E33" s="42" t="s">
        <v>271</v>
      </c>
      <c r="F33" s="35" t="s">
        <v>272</v>
      </c>
      <c r="G33" s="35" t="s">
        <v>273</v>
      </c>
      <c r="H33" s="35" t="s">
        <v>274</v>
      </c>
      <c r="I33" s="35" t="s">
        <v>275</v>
      </c>
      <c r="J33" s="36" t="s">
        <v>276</v>
      </c>
      <c r="K33" s="41"/>
      <c r="L33" s="41"/>
      <c r="M33" s="41"/>
      <c r="N33" s="41"/>
      <c r="O33" s="14" t="str">
        <f t="shared" si="0"/>
        <v>32</v>
      </c>
      <c r="P33" s="15" t="str">
        <f ca="1">IFERROR(__xludf.DUMMYFUNCTION("GOOGLETRANSLATE(B33, ""ar"", ""en"")"),"Stuffed vegetables")</f>
        <v>Stuffed vegetables</v>
      </c>
      <c r="Q33" s="15" t="str">
        <f ca="1">IFERROR(__xludf.DUMMYFUNCTION("GOOGLETRANSLATE(C33, ""ar"", ""en"")"),"Stuffed vegetables such as zucchini, eggplant, bell peppers, potatoes, and any other additions.
")</f>
        <v xml:space="preserve">Stuffed vegetables such as zucchini, eggplant, bell peppers, potatoes, and any other additions.
</v>
      </c>
      <c r="R33" s="15" t="str">
        <f ca="1">IFERROR(__xludf.DUMMYFUNCTION("GOOGLETRANSLATE(D33, ""ar"", ""en"")"),"3 hours")</f>
        <v>3 hours</v>
      </c>
      <c r="S33" s="15" t="str">
        <f ca="1">IFERROR(__xludf.DUMMYFUNCTION("GOOGLETRANSLATE(E33, ""ar"", ""en"")"),"• 5 kg medium-sized zucchini
• 1 kg rice
• 1 kg minced meat (20% extra fat)
• 1 kg lamb ribs or lamb shoulder pieces or bones (to place under the stuffed vegetables)
• 5 tablespoons tomato paste
• 3 blended tomatoes
• A bunch of parsley
• 1 tablespoon sal"&amp;"t
• 1 teaspoon black pepper
• 1 teaspoon seven-spice mix
• ½ teaspoon cinnamon
• ¼ teaspoon cumin
• 3 tablespoons ghee
• For the stuffed vegetables' broth:
• 3 tablespoons minced garlic
• 3 tablespoons tomato paste
• 1 tablespoon dried mint
• ½ teaspoon"&amp;" black pepper
• Juice of 5 lemons or 2 tablespoons citric acid
")</f>
        <v xml:space="preserve">• 5 kg medium-sized zucchini
• 1 kg rice
• 1 kg minced meat (20% extra fat)
• 1 kg lamb ribs or lamb shoulder pieces or bones (to place under the stuffed vegetables)
• 5 tablespoons tomato paste
• 3 blended tomatoes
• A bunch of parsley
• 1 tablespoon salt
• 1 teaspoon black pepper
• 1 teaspoon seven-spice mix
• ½ teaspoon cinnamon
• ¼ teaspoon cumin
• 3 tablespoons ghee
• For the stuffed vegetables' broth:
• 3 tablespoons minced garlic
• 3 tablespoons tomato paste
• 1 tablespoon dried mint
• ½ teaspoon black pepper
• Juice of 5 lemons or 2 tablespoons citric acid
</v>
      </c>
      <c r="T33" s="15" t="str">
        <f ca="1">IFERROR(__xludf.DUMMYFUNCTION("GOOGLETRANSLATE(F33, ""ar"", ""en"")"),"Soak the zucchini in cold water for 15 minutes, then wash it thoroughly with a soft brush to remove any dirt or sand. Hollow out the zucchini completely, leaving a thickness of no more than 3 mm from the top down.
Wash the rice and soak it in blended tom"&amp;"ato juice for at least an hour. Then, mix the meat, spices, tomato paste, and ghee well. Add a cup of water to the mixture to ensure the filling is soft and pliable, and that the rice absorbs the water and doesn't dry out inside the stuffed zucchini.
Pla"&amp;"ce the ribs, meat, or bones (depending on what you have) in a pot suitable for the quantity. Add 3 tablespoons of minced garlic, 1 tablespoon of dried mint, and 2 tablespoons of citric acid or the juice of 5 lemons (or adjust the acidity to your liking). "&amp;"Dissolve 3 tablespoons of tomato paste in a small cup and pour it over the ribs or bones, along with a tablespoon of salt. Stuff the zucchini completely, leaving a 2 cm gap at the top (no more than that). This prevents the rice from becoming mushy and sti"&amp;"cky inside, ensuring it's fluffy and delicious. Don't press the rice down with your finger; instead, gently move the zucchini and tap it lightly against the edge of the stuffing container to release any rice that might be stuck to the top.
You can also s"&amp;"tuff eggplants, bell peppers, potatoes, or anything else you like with the same filling.
Arrange the stuffed zucchini in a tightly packed circle on top of the meat at the bottom of the pot. Don't leave any gaps, as this will cause the stuffed zucchini to"&amp;" open up during cooking. Repeat until all the zucchini are stuffed. Place a plate or a stainless steel tray on top of the stuffed vegetables, weighing them down with a small bowl of water (about half a liter) to prevent them from moving during cooking and"&amp;" spilling out of the rice. Add boiling water until the vegetables are completely covered. Bring to a boil, then reduce the heat to a quarter of the normal level. Ensure the broth continues to simmer gently without boiling or producing small bubbles, as th"&amp;"is will prevent the vegetables from cooking properly. Let it simmer for 2.5 to 3 hours on low heat until cooked through.
Strain the broth into a separate container. Uncover the stuffed vegetables for 5 minutes, then remove them one by one. Wear kitchen g"&amp;"loves to protect your hands from the heat.")</f>
        <v>Soak the zucchini in cold water for 15 minutes, then wash it thoroughly with a soft brush to remove any dirt or sand. Hollow out the zucchini completely, leaving a thickness of no more than 3 mm from the top down.
Wash the rice and soak it in blended tomato juice for at least an hour. Then, mix the meat, spices, tomato paste, and ghee well. Add a cup of water to the mixture to ensure the filling is soft and pliable, and that the rice absorbs the water and doesn't dry out inside the stuffed zucchini.
Place the ribs, meat, or bones (depending on what you have) in a pot suitable for the quantity. Add 3 tablespoons of minced garlic, 1 tablespoon of dried mint, and 2 tablespoons of citric acid or the juice of 5 lemons (or adjust the acidity to your liking). Dissolve 3 tablespoons of tomato paste in a small cup and pour it over the ribs or bones, along with a tablespoon of salt. Stuff the zucchini completely, leaving a 2 cm gap at the top (no more than that). This prevents the rice from becoming mushy and sticky inside, ensuring it's fluffy and delicious. Don't press the rice down with your finger; instead, gently move the zucchini and tap it lightly against the edge of the stuffing container to release any rice that might be stuck to the top.
You can also stuff eggplants, bell peppers, potatoes, or anything else you like with the same filling.
Arrange the stuffed zucchini in a tightly packed circle on top of the meat at the bottom of the pot. Don't leave any gaps, as this will cause the stuffed zucchini to open up during cooking. Repeat until all the zucchini are stuffed. Place a plate or a stainless steel tray on top of the stuffed vegetables, weighing them down with a small bowl of water (about half a liter) to prevent them from moving during cooking and spilling out of the rice. Add boiling water until the vegetables are completely covered. Bring to a boil, then reduce the heat to a quarter of the normal level. Ensure the broth continues to simmer gently without boiling or producing small bubbles, as this will prevent the vegetables from cooking properly. Let it simmer for 2.5 to 3 hours on low heat until cooked through.
Strain the broth into a separate container. Uncover the stuffed vegetables for 5 minutes, then remove them one by one. Wear kitchen gloves to protect your hands from the heat.</v>
      </c>
      <c r="U33" s="15" t="str">
        <f ca="1">IFERROR(__xludf.DUMMYFUNCTION("GOOGLETRANSLATE(G33, ""ar"", ""en"")"),"This quantity is enough for 8 people.")</f>
        <v>This quantity is enough for 8 people.</v>
      </c>
      <c r="V33" s="15" t="str">
        <f ca="1">IFERROR(__xludf.DUMMYFUNCTION("GOOGLETRANSLATE(H33, ""ar"", ""en"")"),"Stuffed vegetables are a beautiful addition to the table, and if you like, you can garnish them with lemon slices.")</f>
        <v>Stuffed vegetables are a beautiful addition to the table, and if you like, you can garnish them with lemon slices.</v>
      </c>
      <c r="W33" s="15" t="str">
        <f ca="1">IFERROR(__xludf.DUMMYFUNCTION("GOOGLETRANSLATE(I33, ""ar"", ""en"")"),"
You can peel a tomato and slice it into a round shape, then arrange it in the center of a serving dish. Alternatively, you can garnish the tabbouleh with lettuce leaves, or even place them underneath with the edges showing. Lettuce pairs beautifully wit"&amp;"h tabbouleh.
Mix the tabbouleh well in the bowl before transferring it to the serving dish to ensure the salt and lemon juice are evenly distributed, preventing uneven distribution.")</f>
        <v xml:space="preserve">
You can peel a tomato and slice it into a round shape, then arrange it in the center of a serving dish. Alternatively, you can garnish the tabbouleh with lettuce leaves, or even place them underneath with the edges showing. Lettuce pairs beautifully with tabbouleh.
Mix the tabbouleh well in the bowl before transferring it to the serving dish to ensure the salt and lemon juice are evenly distributed, preventing uneven distribution.</v>
      </c>
      <c r="X33" s="15" t="str">
        <f ca="1">IFERROR(__xludf.DUMMYFUNCTION("GOOGLETRANSLATE(J33, ""ar"", ""en"")"),"images/Mehshi.jpg")</f>
        <v>images/Mehshi.jpg</v>
      </c>
      <c r="Y33" s="15" t="str">
        <f ca="1">IFERROR(__xludf.DUMMYFUNCTION("GOOGLETRANSLATE(K33, ""ar"", ""en"")"),"#VALUE!")</f>
        <v>#VALUE!</v>
      </c>
      <c r="Z33" s="15" t="str">
        <f ca="1">IFERROR(__xludf.DUMMYFUNCTION("GOOGLETRANSLATE(L33, ""ar"", ""en"")"),"#VALUE!")</f>
        <v>#VALUE!</v>
      </c>
      <c r="AA33" s="15" t="str">
        <f ca="1">IFERROR(__xludf.DUMMYFUNCTION("GOOGLETRANSLATE(M33, ""ar"", ""en"")"),"#VALUE!")</f>
        <v>#VALUE!</v>
      </c>
      <c r="AB33" s="15" t="str">
        <f ca="1">IFERROR(__xludf.DUMMYFUNCTION("GOOGLETRANSLATE(N33, ""ar"", ""en"")"),"#VALUE!")</f>
        <v>#VALUE!</v>
      </c>
      <c r="AC33" s="16" t="str">
        <f t="shared" si="1"/>
        <v>32</v>
      </c>
      <c r="AD33" s="17" t="str">
        <f ca="1">IFERROR(__xludf.DUMMYFUNCTION("GOOGLETRANSLATE(P33, ""en"", ""sv"")"),"Fyllda grönsaker")</f>
        <v>Fyllda grönsaker</v>
      </c>
      <c r="AE33" s="17" t="str">
        <f ca="1">IFERROR(__xludf.DUMMYFUNCTION("GOOGLETRANSLATE(Q33, ""en"", ""sv"")"),"Fyllda grönsaker som zucchini, aubergine, paprika, potatis och andra tillbehör.
")</f>
        <v xml:space="preserve">Fyllda grönsaker som zucchini, aubergine, paprika, potatis och andra tillbehör.
</v>
      </c>
      <c r="AF33" s="17" t="str">
        <f ca="1">IFERROR(__xludf.DUMMYFUNCTION("GOOGLETRANSLATE(R33, ""en"", ""sv"")"),"3 timmar")</f>
        <v>3 timmar</v>
      </c>
      <c r="AG33" s="17" t="str">
        <f ca="1">IFERROR(__xludf.DUMMYFUNCTION("GOOGLETRANSLATE(S33, ""en"", ""sv"")"),"• 5 kg medelstor zucchini
• 1 kg ris
• 1 kg köttfärs (20 % extra fett)
• 1 kg lammrevben eller lammbogbitar eller ben (att lägga under de fyllda grönsakerna)
• 5 msk tomatpuré
• 3 mixade tomater
• En knippa persilja
• 1 msk salt
• 1 tsk svartpeppar
• 1 ts"&amp;"k sjukryddsblandning
• ½ tsk kanel
• ¼ tsk spiskummin
• 3 msk ghee
• Till buljongen av de fyllda grönsakerna:
• 3 msk hackad vitlök
• 3 msk tomatpuré
• 1 msk torkad mynta
• ½ tsk svartpeppar
• Saft från 5 citroner eller 2 msk citronsyra
")</f>
        <v xml:space="preserve">• 5 kg medelstor zucchini
• 1 kg ris
• 1 kg köttfärs (20 % extra fett)
• 1 kg lammrevben eller lammbogbitar eller ben (att lägga under de fyllda grönsakerna)
• 5 msk tomatpuré
• 3 mixade tomater
• En knippa persilja
• 1 msk salt
• 1 tsk svartpeppar
• 1 tsk sjukryddsblandning
• ½ tsk kanel
• ¼ tsk spiskummin
• 3 msk ghee
• Till buljongen av de fyllda grönsakerna:
• 3 msk hackad vitlök
• 3 msk tomatpuré
• 1 msk torkad mynta
• ½ tsk svartpeppar
• Saft från 5 citroner eller 2 msk citronsyra
</v>
      </c>
      <c r="AH33" s="17" t="str">
        <f ca="1">IFERROR(__xludf.DUMMYFUNCTION("GOOGLETRANSLATE(T33, ""en"", ""sv"")"),"Blötlägg zucchinin i kallt vatten i 15 minuter och skölj den sedan noggrant med en mjuk borste för att ta bort smuts och sand. Gröp ur zucchinin helt och hållet, så att den inte blir mer än 3 mm tjock uppifrån och ner.
Tvätta riset och blötlägg det i bla"&amp;"ndad tomatjuice i minst en timme. Blanda sedan kött, kryddor, tomatpuré och ghee väl. Tillsätt en kopp vatten till blandningen för att säkerställa att fyllningen är mjuk och smidig, och att riset absorberar vattnet och inte torkar ut inuti den fyllda zucc"&amp;"hinin.
Lägg revbenen, köttet eller benen (beroende på vad du har) i en kastrull som passar mängden. Tillsätt 3 matskedar hackad vitlök, 1 matsked torkad mynta och 2 matskedar citronsyra eller saften från 5 citroner (eller justera syrahalten efter eget ty"&amp;"cke). Lös upp 3 matskedar tomatpuré i en liten kopp och häll den över revbenen eller benen, tillsammans med en matsked salt. Fyll zucchinin helt och hållet, så att det blir ett mellanrum på 2 cm upptill (inte mer än så). Detta förhindrar att riset blir mo"&amp;"sigt och klibbigt inuti, vilket säkerställer att det är fluffigt och gott. Tryck inte ner riset med fingret; rör istället försiktigt zucchinin och knacka den lätt mot kanten av fyllningsbehållaren för att lossa eventuellt ris som fastnat på toppen.
Du ka"&amp;"n också fylla aubergine, paprika, potatis eller något annat du gillar med samma fyllning.
Lägg den fyllda zucchinin i en tätt packad cirkel ovanpå köttet i botten av grytan. Lämna inga mellanrum, eftersom det kommer att få den fyllda zucchinin att öppna "&amp;"sig under tillagningen. Upprepa tills all zucchini är fylld. Placera en tallrik eller ett rostfritt stålform ovanpå de fyllda grönsakerna och tyng ner dem med en liten skål med vatten (ungefär en halv liter) för att förhindra att de rör sig under tillagni"&amp;"ngen och rinner ut ur riset. Tillsätt kokande vatten tills grönsakerna är helt täckta. Koka upp och sänk sedan värmen till en fjärdedel av den normala nivån. Se till att buljongen fortsätter att sjuda försiktigt utan att koka eller producera små bubblor, "&amp;"eftersom detta kommer att förhindra att grönsakerna tillagas ordentligt. Låt det sjuda i 2,5 till 3 timmar på låg värme tills det är genomkokt.
Häll buljongen i en separat behållare. Ta bort locket på de fyllda grönsakerna i 5 minuter och ta sedan upp de"&amp;"m en i taget. Använd kökshandskar för att skydda händerna från värmen.")</f>
        <v>Blötlägg zucchinin i kallt vatten i 15 minuter och skölj den sedan noggrant med en mjuk borste för att ta bort smuts och sand. Gröp ur zucchinin helt och hållet, så att den inte blir mer än 3 mm tjock uppifrån och ner.
Tvätta riset och blötlägg det i blandad tomatjuice i minst en timme. Blanda sedan kött, kryddor, tomatpuré och ghee väl. Tillsätt en kopp vatten till blandningen för att säkerställa att fyllningen är mjuk och smidig, och att riset absorberar vattnet och inte torkar ut inuti den fyllda zucchinin.
Lägg revbenen, köttet eller benen (beroende på vad du har) i en kastrull som passar mängden. Tillsätt 3 matskedar hackad vitlök, 1 matsked torkad mynta och 2 matskedar citronsyra eller saften från 5 citroner (eller justera syrahalten efter eget tycke). Lös upp 3 matskedar tomatpuré i en liten kopp och häll den över revbenen eller benen, tillsammans med en matsked salt. Fyll zucchinin helt och hållet, så att det blir ett mellanrum på 2 cm upptill (inte mer än så). Detta förhindrar att riset blir mosigt och klibbigt inuti, vilket säkerställer att det är fluffigt och gott. Tryck inte ner riset med fingret; rör istället försiktigt zucchinin och knacka den lätt mot kanten av fyllningsbehållaren för att lossa eventuellt ris som fastnat på toppen.
Du kan också fylla aubergine, paprika, potatis eller något annat du gillar med samma fyllning.
Lägg den fyllda zucchinin i en tätt packad cirkel ovanpå köttet i botten av grytan. Lämna inga mellanrum, eftersom det kommer att få den fyllda zucchinin att öppna sig under tillagningen. Upprepa tills all zucchini är fylld. Placera en tallrik eller ett rostfritt stålform ovanpå de fyllda grönsakerna och tyng ner dem med en liten skål med vatten (ungefär en halv liter) för att förhindra att de rör sig under tillagningen och rinner ut ur riset. Tillsätt kokande vatten tills grönsakerna är helt täckta. Koka upp och sänk sedan värmen till en fjärdedel av den normala nivån. Se till att buljongen fortsätter att sjuda försiktigt utan att koka eller producera små bubblor, eftersom detta kommer att förhindra att grönsakerna tillagas ordentligt. Låt det sjuda i 2,5 till 3 timmar på låg värme tills det är genomkokt.
Häll buljongen i en separat behållare. Ta bort locket på de fyllda grönsakerna i 5 minuter och ta sedan upp dem en i taget. Använd kökshandskar för att skydda händerna från värmen.</v>
      </c>
      <c r="AI33" s="17" t="str">
        <f ca="1">IFERROR(__xludf.DUMMYFUNCTION("GOOGLETRANSLATE(U33, ""en"", ""sv"")"),"Denna mängd räcker till 8 personer.")</f>
        <v>Denna mängd räcker till 8 personer.</v>
      </c>
      <c r="AJ33" s="17" t="str">
        <f ca="1">IFERROR(__xludf.DUMMYFUNCTION("GOOGLETRANSLATE(V33, ""en"", ""sv"")"),"Fyllda grönsaker är ett vackert tillägg till bordet, och om du vill kan du garnera dem med citronskivor.")</f>
        <v>Fyllda grönsaker är ett vackert tillägg till bordet, och om du vill kan du garnera dem med citronskivor.</v>
      </c>
      <c r="AK33" s="17" t="str">
        <f ca="1">IFERROR(__xludf.DUMMYFUNCTION("GOOGLETRANSLATE(W33, ""en"", ""sv"")"),"
Du kan skala en tomat och skära den i en rund form och sedan arrangera den i mitten av en serveringsskål. Alternativt kan du garnera tabboulehen med salladsblad, eller till och med lägga dem under med kanterna synliga. Sallad passar utmärkt ihop med tab"&amp;"bouleh.
Blanda tabboulehen väl i skålen innan du häller över den i serveringsskålen för att säkerställa att saltet och citronsaften fördelas jämnt och förhindrar ojämn fördelning.")</f>
        <v xml:space="preserve">
Du kan skala en tomat och skära den i en rund form och sedan arrangera den i mitten av en serveringsskål. Alternativt kan du garnera tabboulehen med salladsblad, eller till och med lägga dem under med kanterna synliga. Sallad passar utmärkt ihop med tabbouleh.
Blanda tabboulehen väl i skålen innan du häller över den i serveringsskålen för att säkerställa att saltet och citronsaften fördelas jämnt och förhindrar ojämn fördelning.</v>
      </c>
      <c r="AL33" s="17" t="str">
        <f ca="1">IFERROR(__xludf.DUMMYFUNCTION("GOOGLETRANSLATE(X33, ""en"", ""sv"")"),"bilder/Mehshi.jpg")</f>
        <v>bilder/Mehshi.jpg</v>
      </c>
      <c r="AM33" s="17" t="str">
        <f ca="1">IFERROR(__xludf.DUMMYFUNCTION("GOOGLETRANSLATE(Y33, ""en"", ""sv"")"),"#VALUE!")</f>
        <v>#VALUE!</v>
      </c>
      <c r="AN33" s="17" t="str">
        <f ca="1">IFERROR(__xludf.DUMMYFUNCTION("GOOGLETRANSLATE(Z33, ""en"", ""sv"")"),"#VALUE!")</f>
        <v>#VALUE!</v>
      </c>
      <c r="AO33" s="17" t="str">
        <f ca="1">IFERROR(__xludf.DUMMYFUNCTION("GOOGLETRANSLATE(AA33, ""en"", ""sv"")"),"#VALUE!")</f>
        <v>#VALUE!</v>
      </c>
      <c r="AP33" s="17" t="str">
        <f ca="1">IFERROR(__xludf.DUMMYFUNCTION("GOOGLETRANSLATE(AB33, ""en"", ""sv"")"),"#VALUE!")</f>
        <v>#VALUE!</v>
      </c>
      <c r="AQ33" s="17"/>
    </row>
    <row r="34" spans="1:43" ht="14.25" customHeight="1" x14ac:dyDescent="0.3">
      <c r="A34" s="8" t="s">
        <v>277</v>
      </c>
      <c r="B34" s="38" t="s">
        <v>111</v>
      </c>
      <c r="C34" s="39" t="s">
        <v>278</v>
      </c>
      <c r="D34" s="39" t="s">
        <v>48</v>
      </c>
      <c r="E34" s="42" t="s">
        <v>279</v>
      </c>
      <c r="F34" s="35" t="s">
        <v>280</v>
      </c>
      <c r="G34" s="35" t="s">
        <v>281</v>
      </c>
      <c r="H34" s="35" t="s">
        <v>282</v>
      </c>
      <c r="I34" s="35" t="s">
        <v>283</v>
      </c>
      <c r="J34" s="36" t="s">
        <v>284</v>
      </c>
      <c r="K34" s="41"/>
      <c r="L34" s="41"/>
      <c r="M34" s="41"/>
      <c r="N34" s="41"/>
      <c r="O34" s="14" t="str">
        <f t="shared" si="0"/>
        <v>33</v>
      </c>
      <c r="P34" s="15" t="str">
        <f ca="1">IFERROR(__xludf.DUMMYFUNCTION("GOOGLETRANSLATE(B34, ""ar"", ""en"")"),"vegetables")</f>
        <v>vegetables</v>
      </c>
      <c r="Q34" s="15" t="str">
        <f ca="1">IFERROR(__xludf.DUMMYFUNCTION("GOOGLETRANSLATE(C34, ""ar"", ""en"")"),"Eggplant casserole/flower")</f>
        <v>Eggplant casserole/flower</v>
      </c>
      <c r="R34" s="15" t="str">
        <f ca="1">IFERROR(__xludf.DUMMYFUNCTION("GOOGLETRANSLATE(D34, ""ar"", ""en"")"),"two hours")</f>
        <v>two hours</v>
      </c>
      <c r="S34" s="15" t="str">
        <f ca="1">IFERROR(__xludf.DUMMYFUNCTION("GOOGLETRANSLATE(E34, ""ar"", ""en"")"),"• 1 kg Basmati rice or Egyptian rice, as desired
• 2 kg large sweet eggplants or small black local eggplants
• 2 kg lamb shoulder, or minced lamb, or 2 kg chicken breasts and thighs, as available
• 2 medium tomatoes
• 2 medium potatoes (optional)
• 1 "&amp;"small head of cauliflower, about 0.5 kg (optional)
• Oil for frying
• Toasted almonds for garnish
For boiling the meat or chicken:
• 5 bay leaves
• 10 cardamom pods
• 10 cloves
• 4 medium cinnamon sticks
• 1 tablespoon salt")</f>
        <v>• 1 kg Basmati rice or Egyptian rice, as desired
• 2 kg large sweet eggplants or small black local eggplants
• 2 kg lamb shoulder, or minced lamb, or 2 kg chicken breasts and thighs, as available
• 2 medium tomatoes
• 2 medium potatoes (optional)
• 1 small head of cauliflower, about 0.5 kg (optional)
• Oil for frying
• Toasted almonds for garnish
For boiling the meat or chicken:
• 5 bay leaves
• 10 cardamom pods
• 10 cloves
• 4 medium cinnamon sticks
• 1 tablespoon salt</v>
      </c>
      <c r="T34" s="15" t="str">
        <f ca="1">IFERROR(__xludf.DUMMYFUNCTION("GOOGLETRANSLATE(F34, ""ar"", ""en"")"),"Soak the rice and set it aside.
Peel the eggplant and fry it along with the cauliflower and potatoes. Set them aside.
Peel and slice the onion. Heat a little oil and add the spices for boiling water in a pot. Sauté the onion until fragrant, then add the"&amp;" meat or chicken and cook for 5 minutes. Cover the pot and let the meat simmer for about 15 minutes. Then, cover the meat or chicken with boiling water and bring it back to the boil. Reduce the heat to a quarter of the normal level and continue simmering "&amp;"until the meat or chicken is cooked through.
If using ground meat, finely chop two medium onions and follow the same method described earlier. Sauté the onions in a little oil until golden, then add the meat and stir. Cook for half an hour, or until the "&amp;"meat is tender and the water has evaporated. Set aside.
Remove the meat or chicken from the broth and keep it covered to prevent it from cooling down.
Strain the broth to remove the coarse spices, adjust the salt, and ensure the broth volume is double t"&amp;"hat of the rice. Boil the rice until it's almost cooked, then drain any excess water. In a new pot, arrange the tomato slices on the bottom, followed by a few slices of eggplant and potato. Sprinkle with a little rice and half a cup of meat broth to preve"&amp;"nt the bottom from burning. Then, add the meat or chicken, another layer of eggplant, and half of the drained rice. Top with the remaining eggplant or any leftover fried ingredients, then add the rest of the rice. Cover the pot and cook over high heat for"&amp;" 3 minutes, then reduce the heat to low and cook for 10 minutes. Turn off the heat.
To turn the Maqluba out onto a firm baking dish, let it rest on the oven rack for 10 minutes. Then, invert it onto a tray. Don't remove the pot immediately; leave it upsi"&amp;"de down for another 5 minutes to allow any remaining eggplant juices to drip onto the rice, allowing the entire dish to absorb the steam and flavors. Then, remove the pot.")</f>
        <v>Soak the rice and set it aside.
Peel the eggplant and fry it along with the cauliflower and potatoes. Set them aside.
Peel and slice the onion. Heat a little oil and add the spices for boiling water in a pot. Sauté the onion until fragrant, then add the meat or chicken and cook for 5 minutes. Cover the pot and let the meat simmer for about 15 minutes. Then, cover the meat or chicken with boiling water and bring it back to the boil. Reduce the heat to a quarter of the normal level and continue simmering until the meat or chicken is cooked through.
If using ground meat, finely chop two medium onions and follow the same method described earlier. Sauté the onions in a little oil until golden, then add the meat and stir. Cook for half an hour, or until the meat is tender and the water has evaporated. Set aside.
Remove the meat or chicken from the broth and keep it covered to prevent it from cooling down.
Strain the broth to remove the coarse spices, adjust the salt, and ensure the broth volume is double that of the rice. Boil the rice until it's almost cooked, then drain any excess water. In a new pot, arrange the tomato slices on the bottom, followed by a few slices of eggplant and potato. Sprinkle with a little rice and half a cup of meat broth to prevent the bottom from burning. Then, add the meat or chicken, another layer of eggplant, and half of the drained rice. Top with the remaining eggplant or any leftover fried ingredients, then add the rest of the rice. Cover the pot and cook over high heat for 3 minutes, then reduce the heat to low and cook for 10 minutes. Turn off the heat.
To turn the Maqluba out onto a firm baking dish, let it rest on the oven rack for 10 minutes. Then, invert it onto a tray. Don't remove the pot immediately; leave it upside down for another 5 minutes to allow any remaining eggplant juices to drip onto the rice, allowing the entire dish to absorb the steam and flavors. Then, remove the pot.</v>
      </c>
      <c r="U34" s="15" t="str">
        <f ca="1">IFERROR(__xludf.DUMMYFUNCTION("GOOGLETRANSLATE(G34, ""ar"", ""en"")"),"The quantity is enough for 8 people.")</f>
        <v>The quantity is enough for 8 people.</v>
      </c>
      <c r="V34" s="15" t="str">
        <f ca="1">IFERROR(__xludf.DUMMYFUNCTION("GOOGLETRANSLATE(H34, ""ar"", ""en"")"),"Garnish the Maqluba with chopped parsley on top and green and red pepper slices around the edges.")</f>
        <v>Garnish the Maqluba with chopped parsley on top and green and red pepper slices around the edges.</v>
      </c>
      <c r="W34" s="15" t="str">
        <f ca="1">IFERROR(__xludf.DUMMYFUNCTION("GOOGLETRANSLATE(I34, ""ar"", ""en"")"),"With my long experience, I discovered that boiling and draining the rice protects the Maqluba from the rice sticking together and makes it fluffy and wonderful.")</f>
        <v>With my long experience, I discovered that boiling and draining the rice protects the Maqluba from the rice sticking together and makes it fluffy and wonderful.</v>
      </c>
      <c r="X34" s="15" t="str">
        <f ca="1">IFERROR(__xludf.DUMMYFUNCTION("GOOGLETRANSLATE(J34, ""ar"", ""en"")"),"Images/Maaloobeh.jpg")</f>
        <v>Images/Maaloobeh.jpg</v>
      </c>
      <c r="Y34" s="15" t="str">
        <f ca="1">IFERROR(__xludf.DUMMYFUNCTION("GOOGLETRANSLATE(K34, ""ar"", ""en"")"),"#VALUE!")</f>
        <v>#VALUE!</v>
      </c>
      <c r="Z34" s="15" t="str">
        <f ca="1">IFERROR(__xludf.DUMMYFUNCTION("GOOGLETRANSLATE(L34, ""ar"", ""en"")"),"#VALUE!")</f>
        <v>#VALUE!</v>
      </c>
      <c r="AA34" s="15" t="str">
        <f ca="1">IFERROR(__xludf.DUMMYFUNCTION("GOOGLETRANSLATE(M34, ""ar"", ""en"")"),"#VALUE!")</f>
        <v>#VALUE!</v>
      </c>
      <c r="AB34" s="15" t="str">
        <f ca="1">IFERROR(__xludf.DUMMYFUNCTION("GOOGLETRANSLATE(N34, ""ar"", ""en"")"),"#VALUE!")</f>
        <v>#VALUE!</v>
      </c>
      <c r="AC34" s="16" t="str">
        <f t="shared" si="1"/>
        <v>33</v>
      </c>
      <c r="AD34" s="17" t="str">
        <f ca="1">IFERROR(__xludf.DUMMYFUNCTION("GOOGLETRANSLATE(P34, ""en"", ""sv"")"),"grönsaker")</f>
        <v>grönsaker</v>
      </c>
      <c r="AE34" s="17" t="str">
        <f ca="1">IFERROR(__xludf.DUMMYFUNCTION("GOOGLETRANSLATE(Q34, ""en"", ""sv"")"),"Auberginegryta/blomma")</f>
        <v>Auberginegryta/blomma</v>
      </c>
      <c r="AF34" s="17" t="str">
        <f ca="1">IFERROR(__xludf.DUMMYFUNCTION("GOOGLETRANSLATE(R34, ""en"", ""sv"")"),"två timmar")</f>
        <v>två timmar</v>
      </c>
      <c r="AG34" s="17" t="str">
        <f ca="1">IFERROR(__xludf.DUMMYFUNCTION("GOOGLETRANSLATE(S34, ""en"", ""sv"")"),"• 1 kg basmatiris eller egyptiskt ris, efter önskemål
• 2 kg stora söta auberginer eller små svarta lokala auberginer
• 2 kg lammbog, eller lammfärs, eller 2 kg kycklingbröst och -lår, efter önskemål
• 2 medelstora tomater
• 2 medelstora potatisar (va"&amp;"lfritt)
• 1 litet blomkålshuvud, ca 0,5 kg (valfritt)
• Olja till stekning
• Rostade mandlar till garnering
För att koka köttet eller kycklingen:
• 5 lagerblad
• 10 kardemummakapslar
• 10 kryddnejlikor
• 4 medelstora kanelstänger
• 1 matsked salt")</f>
        <v>• 1 kg basmatiris eller egyptiskt ris, efter önskemål
• 2 kg stora söta auberginer eller små svarta lokala auberginer
• 2 kg lammbog, eller lammfärs, eller 2 kg kycklingbröst och -lår, efter önskemål
• 2 medelstora tomater
• 2 medelstora potatisar (valfritt)
• 1 litet blomkålshuvud, ca 0,5 kg (valfritt)
• Olja till stekning
• Rostade mandlar till garnering
För att koka köttet eller kycklingen:
• 5 lagerblad
• 10 kardemummakapslar
• 10 kryddnejlikor
• 4 medelstora kanelstänger
• 1 matsked salt</v>
      </c>
      <c r="AH34" s="17" t="str">
        <f ca="1">IFERROR(__xludf.DUMMYFUNCTION("GOOGLETRANSLATE(T34, ""en"", ""sv"")"),"Blötlägg riset och ställ det åt sidan.
Skala auberginen och stek den tillsammans med blomkålen och potatisen. Ställ dem åt sidan.
Skala och skiva löken. Värm lite olja och tillsätt kryddorna för kokande vatten i en kastrull. Fräs löken tills den doftar,"&amp;" tillsätt sedan köttet eller kycklingen och koka i 5 minuter. Täck över kastrullen och låt köttet sjuda i cirka 15 minuter. Täck sedan köttet eller kycklingen med kokande vatten och låt det koka upp igen. Sänk värmen till en fjärdedel av den normala nivån"&amp;" och fortsätt sjuda tills köttet eller kycklingen är genomkokt.
Om du använder köttfärs, finhacka två medelstora lökar och följ samma metod som beskrivits tidigare. Fräs löken i lite olja tills den är gyllenbrun, tillsätt sedan köttet och rör om. Koka i "&amp;"en halvtimme, eller tills köttet är mört och vattnet har avdunstat. Ställ åt sidan.
Ta upp köttet eller kycklingen ur buljongen och håll den täckt för att förhindra att den svalnar.
Sila buljongen för att ta bort de grova kryddorna, justera saltmängden "&amp;"och se till att buljongvolymen är dubbelt så stor som riset. Koka riset tills det nästan är kokt, häll sedan av överflödigt vatten. Lägg tomatskivorna i botten i en ny kastrull, följt av några skivor aubergine och potatis. Strö över lite ris och en halv k"&amp;"opp köttbuljong för att förhindra att botten bränns vid. Lägg sedan köttet eller kycklingen, ytterligare ett lager aubergine och hälften av det avrunna riset. Toppa med resterande aubergine eller eventuella överblivna stekta ingredienser, tillsätt sedan r"&amp;"esten av riset. Täck över kastrullen och koka på hög värme i 3 minuter, sänk sedan värmen till låg och koka i 10 minuter. Stäng av värmen.
För att stjälpa Maqluba på en fast ugnsform, låt den vila på ugnsgallret i 10 minuter. Stjälp sedan upp och ner den"&amp;" på en plåt. Ta inte bort kastrullen omedelbart; låt den stå upp och ner i ytterligare 5 minuter så att eventuell kvarvarande auberginesaft droppar ner på riset, så att hela rätten absorberar ånga och smaker. Ta sedan bort kastrullen.")</f>
        <v>Blötlägg riset och ställ det åt sidan.
Skala auberginen och stek den tillsammans med blomkålen och potatisen. Ställ dem åt sidan.
Skala och skiva löken. Värm lite olja och tillsätt kryddorna för kokande vatten i en kastrull. Fräs löken tills den doftar, tillsätt sedan köttet eller kycklingen och koka i 5 minuter. Täck över kastrullen och låt köttet sjuda i cirka 15 minuter. Täck sedan köttet eller kycklingen med kokande vatten och låt det koka upp igen. Sänk värmen till en fjärdedel av den normala nivån och fortsätt sjuda tills köttet eller kycklingen är genomkokt.
Om du använder köttfärs, finhacka två medelstora lökar och följ samma metod som beskrivits tidigare. Fräs löken i lite olja tills den är gyllenbrun, tillsätt sedan köttet och rör om. Koka i en halvtimme, eller tills köttet är mört och vattnet har avdunstat. Ställ åt sidan.
Ta upp köttet eller kycklingen ur buljongen och håll den täckt för att förhindra att den svalnar.
Sila buljongen för att ta bort de grova kryddorna, justera saltmängden och se till att buljongvolymen är dubbelt så stor som riset. Koka riset tills det nästan är kokt, häll sedan av överflödigt vatten. Lägg tomatskivorna i botten i en ny kastrull, följt av några skivor aubergine och potatis. Strö över lite ris och en halv kopp köttbuljong för att förhindra att botten bränns vid. Lägg sedan köttet eller kycklingen, ytterligare ett lager aubergine och hälften av det avrunna riset. Toppa med resterande aubergine eller eventuella överblivna stekta ingredienser, tillsätt sedan resten av riset. Täck över kastrullen och koka på hög värme i 3 minuter, sänk sedan värmen till låg och koka i 10 minuter. Stäng av värmen.
För att stjälpa Maqluba på en fast ugnsform, låt den vila på ugnsgallret i 10 minuter. Stjälp sedan upp och ner den på en plåt. Ta inte bort kastrullen omedelbart; låt den stå upp och ner i ytterligare 5 minuter så att eventuell kvarvarande auberginesaft droppar ner på riset, så att hela rätten absorberar ånga och smaker. Ta sedan bort kastrullen.</v>
      </c>
      <c r="AI34" s="17" t="str">
        <f ca="1">IFERROR(__xludf.DUMMYFUNCTION("GOOGLETRANSLATE(U34, ""en"", ""sv"")"),"Mängden räcker till 8 personer.")</f>
        <v>Mängden räcker till 8 personer.</v>
      </c>
      <c r="AJ34" s="17" t="str">
        <f ca="1">IFERROR(__xludf.DUMMYFUNCTION("GOOGLETRANSLATE(V34, ""en"", ""sv"")"),"Garnera Maqluba med hackad persilja på toppen och skivor av grön och röd paprika runt kanterna.")</f>
        <v>Garnera Maqluba med hackad persilja på toppen och skivor av grön och röd paprika runt kanterna.</v>
      </c>
      <c r="AK34" s="17" t="str">
        <f ca="1">IFERROR(__xludf.DUMMYFUNCTION("GOOGLETRANSLATE(W34, ""en"", ""sv"")"),"Med min långa erfarenhet upptäckte jag att kokning och avrinning av riset skyddar Maqluba från att riset klibbar ihop och gör det fluffigt och underbart.")</f>
        <v>Med min långa erfarenhet upptäckte jag att kokning och avrinning av riset skyddar Maqluba från att riset klibbar ihop och gör det fluffigt och underbart.</v>
      </c>
      <c r="AL34" s="17" t="str">
        <f ca="1">IFERROR(__xludf.DUMMYFUNCTION("GOOGLETRANSLATE(X34, ""en"", ""sv"")"),"Bilder/Maaloobeh.jpg")</f>
        <v>Bilder/Maaloobeh.jpg</v>
      </c>
      <c r="AM34" s="17" t="str">
        <f ca="1">IFERROR(__xludf.DUMMYFUNCTION("GOOGLETRANSLATE(Y34, ""en"", ""sv"")"),"#VALUE!")</f>
        <v>#VALUE!</v>
      </c>
      <c r="AN34" s="17" t="str">
        <f ca="1">IFERROR(__xludf.DUMMYFUNCTION("GOOGLETRANSLATE(Z34, ""en"", ""sv"")"),"#VALUE!")</f>
        <v>#VALUE!</v>
      </c>
      <c r="AO34" s="17" t="str">
        <f ca="1">IFERROR(__xludf.DUMMYFUNCTION("GOOGLETRANSLATE(AA34, ""en"", ""sv"")"),"#VALUE!")</f>
        <v>#VALUE!</v>
      </c>
      <c r="AP34" s="17" t="str">
        <f ca="1">IFERROR(__xludf.DUMMYFUNCTION("GOOGLETRANSLATE(AB34, ""en"", ""sv"")"),"#VALUE!")</f>
        <v>#VALUE!</v>
      </c>
      <c r="AQ34" s="17"/>
    </row>
    <row r="35" spans="1:43" ht="14.25" customHeight="1" x14ac:dyDescent="0.3">
      <c r="A35" s="8" t="s">
        <v>285</v>
      </c>
      <c r="B35" s="38" t="s">
        <v>286</v>
      </c>
      <c r="C35" s="39" t="s">
        <v>287</v>
      </c>
      <c r="D35" s="39" t="s">
        <v>161</v>
      </c>
      <c r="E35" s="42" t="s">
        <v>288</v>
      </c>
      <c r="F35" s="35" t="s">
        <v>289</v>
      </c>
      <c r="G35" s="35" t="s">
        <v>290</v>
      </c>
      <c r="H35" s="35" t="s">
        <v>291</v>
      </c>
      <c r="I35" s="35" t="s">
        <v>292</v>
      </c>
      <c r="J35" s="45" t="s">
        <v>293</v>
      </c>
      <c r="K35" s="41"/>
      <c r="L35" s="41"/>
      <c r="M35" s="41"/>
      <c r="N35" s="41"/>
      <c r="O35" s="14" t="str">
        <f t="shared" si="0"/>
        <v>34</v>
      </c>
      <c r="P35" s="15" t="str">
        <f ca="1">IFERROR(__xludf.DUMMYFUNCTION("GOOGLETRANSLATE(B35, ""ar"", ""en"")"),"Grain foods")</f>
        <v>Grain foods</v>
      </c>
      <c r="Q35" s="15" t="str">
        <f ca="1">IFERROR(__xludf.DUMMYFUNCTION("GOOGLETRANSLATE(C35, ""ar"", ""en"")"),"Bulgur Mujaddara")</f>
        <v>Bulgur Mujaddara</v>
      </c>
      <c r="R35" s="15" t="str">
        <f ca="1">IFERROR(__xludf.DUMMYFUNCTION("GOOGLETRANSLATE(D35, ""ar"", ""en"")"),"hour")</f>
        <v>hour</v>
      </c>
      <c r="S35" s="15" t="str">
        <f ca="1">IFERROR(__xludf.DUMMYFUNCTION("GOOGLETRANSLATE(E35, ""ar"", ""en"")"),"• 1 kg coarse white bulgur
• 250 g coarse brown lentils
• 4 cups boiling water
• 4 large onions
• 1 tablespoon salt
• 1/2 cup good quality olive oil
• Oil for frying the onions
")</f>
        <v xml:space="preserve">• 1 kg coarse white bulgur
• 250 g coarse brown lentils
• 4 cups boiling water
• 4 large onions
• 1 tablespoon salt
• 1/2 cup good quality olive oil
• Oil for frying the onions
</v>
      </c>
      <c r="T35" s="15" t="str">
        <f ca="1">IFERROR(__xludf.DUMMYFUNCTION("GOOGLETRANSLATE(F35, ""ar"", ""en"")"),"Peel the onions and finely chop half of them, then slice the other half.
Place the lentils in a pot with two cups of water and boil them. Be careful not to overcook them. Boil for about half an hour, checking them regularly; they should be cooked without"&amp;" breaking apart or bursting open.
Heat olive oil in a suitable pot and add the chopped onions. Sauté until golden brown. Add the bulgur and cook for 5 minutes. Pour the lentils into the cooking water (don't discard the water, as it retains its nutritiona"&amp;"l benefits). Add 4 cups of boiling water to the bulgur and lentils, then add salt. Cover and bring to a boil. Reduce the heat to a quarter of the way and let it simmer for about 10 minutes, or until the water is absorbed.
Heat oil in a frying pan. Separa"&amp;"te the sliced ​​onions so they don't stick together. Sauté them briefly over high heat for about 3 minutes, then reduce the heat and fry until golden brown and crispy.")</f>
        <v>Peel the onions and finely chop half of them, then slice the other half.
Place the lentils in a pot with two cups of water and boil them. Be careful not to overcook them. Boil for about half an hour, checking them regularly; they should be cooked without breaking apart or bursting open.
Heat olive oil in a suitable pot and add the chopped onions. Sauté until golden brown. Add the bulgur and cook for 5 minutes. Pour the lentils into the cooking water (don't discard the water, as it retains its nutritional benefits). Add 4 cups of boiling water to the bulgur and lentils, then add salt. Cover and bring to a boil. Reduce the heat to a quarter of the way and let it simmer for about 10 minutes, or until the water is absorbed.
Heat oil in a frying pan. Separate the sliced ​​onions so they don't stick together. Sauté them briefly over high heat for about 3 minutes, then reduce the heat and fry until golden brown and crispy.</v>
      </c>
      <c r="U35" s="15" t="str">
        <f ca="1">IFERROR(__xludf.DUMMYFUNCTION("GOOGLETRANSLATE(G35, ""ar"", ""en"")"),"The quantity is enough for 4 people.")</f>
        <v>The quantity is enough for 4 people.</v>
      </c>
      <c r="V35" s="15" t="str">
        <f ca="1">IFERROR(__xludf.DUMMYFUNCTION("GOOGLETRANSLATE(H35, ""ar"", ""en"")"),"Garnish the Majda dish with onions and any type of pickles around the edges of the dish.")</f>
        <v>Garnish the Majda dish with onions and any type of pickles around the edges of the dish.</v>
      </c>
      <c r="W35" s="15" t="str">
        <f ca="1">IFERROR(__xludf.DUMMYFUNCTION("GOOGLETRANSLATE(I35, ""ar"", ""en"")"),"You might be surprised to find onions cooking in mujaddara, but after 50 years of experience, I found that finely roasted onions with bulgur give mujaddara a wonderful taste, and you may not find many people offering this recipe.")</f>
        <v>You might be surprised to find onions cooking in mujaddara, but after 50 years of experience, I found that finely roasted onions with bulgur give mujaddara a wonderful taste, and you may not find many people offering this recipe.</v>
      </c>
      <c r="X35" s="15" t="str">
        <f ca="1">IFERROR(__xludf.DUMMYFUNCTION("GOOGLETRANSLATE(J35, ""ar"", ""en"")"),"Images/Mjaddara_Burghul.jpg")</f>
        <v>Images/Mjaddara_Burghul.jpg</v>
      </c>
      <c r="Y35" s="15" t="str">
        <f ca="1">IFERROR(__xludf.DUMMYFUNCTION("GOOGLETRANSLATE(K35, ""ar"", ""en"")"),"#VALUE!")</f>
        <v>#VALUE!</v>
      </c>
      <c r="Z35" s="15" t="str">
        <f ca="1">IFERROR(__xludf.DUMMYFUNCTION("GOOGLETRANSLATE(L35, ""ar"", ""en"")"),"#VALUE!")</f>
        <v>#VALUE!</v>
      </c>
      <c r="AA35" s="15" t="str">
        <f ca="1">IFERROR(__xludf.DUMMYFUNCTION("GOOGLETRANSLATE(M35, ""ar"", ""en"")"),"#VALUE!")</f>
        <v>#VALUE!</v>
      </c>
      <c r="AB35" s="15" t="str">
        <f ca="1">IFERROR(__xludf.DUMMYFUNCTION("GOOGLETRANSLATE(N35, ""ar"", ""en"")"),"#VALUE!")</f>
        <v>#VALUE!</v>
      </c>
      <c r="AC35" s="16" t="str">
        <f t="shared" si="1"/>
        <v>34</v>
      </c>
      <c r="AD35" s="17" t="str">
        <f ca="1">IFERROR(__xludf.DUMMYFUNCTION("GOOGLETRANSLATE(P35, ""en"", ""sv"")"),"Spannmålsprodukter")</f>
        <v>Spannmålsprodukter</v>
      </c>
      <c r="AE35" s="17" t="str">
        <f ca="1">IFERROR(__xludf.DUMMYFUNCTION("GOOGLETRANSLATE(Q35, ""en"", ""sv"")"),"Bulgur Mujaddara")</f>
        <v>Bulgur Mujaddara</v>
      </c>
      <c r="AF35" s="17" t="str">
        <f ca="1">IFERROR(__xludf.DUMMYFUNCTION("GOOGLETRANSLATE(R35, ""en"", ""sv"")"),"timme")</f>
        <v>timme</v>
      </c>
      <c r="AG35" s="17" t="str">
        <f ca="1">IFERROR(__xludf.DUMMYFUNCTION("GOOGLETRANSLATE(S35, ""en"", ""sv"")"),"• 1 kg grov vit bulgur
• 250 g grova bruna linser
• 1,2 dl kokande vatten
• 4 stora lökar
• 1 msk salt
• 1,5 dl olivolja av god kvalitet
• Olja för att steka löken
")</f>
        <v xml:space="preserve">• 1 kg grov vit bulgur
• 250 g grova bruna linser
• 1,2 dl kokande vatten
• 4 stora lökar
• 1 msk salt
• 1,5 dl olivolja av god kvalitet
• Olja för att steka löken
</v>
      </c>
      <c r="AH35" s="17" t="str">
        <f ca="1">IFERROR(__xludf.DUMMYFUNCTION("GOOGLETRANSLATE(T35, ""en"", ""sv"")"),"Skala löken och hacka hälften fint, skiva sedan den andra hälften.
Lägg linserna i en kastrull med två koppar vatten och koka upp dem. Var försiktig så att de inte överkokas. Koka i ungefär en halvtimme och kontrollera dem regelbundet; de ska vara kokta "&amp;"utan att gå sönder eller spricka upp.
Värm olivolja i en lämplig kastrull och tillsätt den hackade löken. Fräs tills den är gyllenbrun. Tillsätt bulgur och koka i 5 minuter. Häll linserna i kokvattnet (släng inte vattnet, eftersom det behåller sina närin"&amp;"gsmässiga fördelar). Tillsätt 4 koppar kokande vatten till bulgur och linser, tillsätt sedan salt. Täck över och koka upp. Sänk värmen till en fjärdedel och låt det sjuda i cirka 10 minuter, eller tills vattnet har absorberats.
Värm olja i en stekpanna. "&amp;"Separera de skivade löken så att de inte fastnar i varandra. Fräs dem kort på hög värme i cirka 3 minuter, sänk sedan värmen och stek tills de är gyllenbruna och krispiga.")</f>
        <v>Skala löken och hacka hälften fint, skiva sedan den andra hälften.
Lägg linserna i en kastrull med två koppar vatten och koka upp dem. Var försiktig så att de inte överkokas. Koka i ungefär en halvtimme och kontrollera dem regelbundet; de ska vara kokta utan att gå sönder eller spricka upp.
Värm olivolja i en lämplig kastrull och tillsätt den hackade löken. Fräs tills den är gyllenbrun. Tillsätt bulgur och koka i 5 minuter. Häll linserna i kokvattnet (släng inte vattnet, eftersom det behåller sina näringsmässiga fördelar). Tillsätt 4 koppar kokande vatten till bulgur och linser, tillsätt sedan salt. Täck över och koka upp. Sänk värmen till en fjärdedel och låt det sjuda i cirka 10 minuter, eller tills vattnet har absorberats.
Värm olja i en stekpanna. Separera de skivade löken så att de inte fastnar i varandra. Fräs dem kort på hög värme i cirka 3 minuter, sänk sedan värmen och stek tills de är gyllenbruna och krispiga.</v>
      </c>
      <c r="AI35" s="17" t="str">
        <f ca="1">IFERROR(__xludf.DUMMYFUNCTION("GOOGLETRANSLATE(U35, ""en"", ""sv"")"),"Mängden räcker till 4 personer.")</f>
        <v>Mängden räcker till 4 personer.</v>
      </c>
      <c r="AJ35" s="17" t="str">
        <f ca="1">IFERROR(__xludf.DUMMYFUNCTION("GOOGLETRANSLATE(V35, ""en"", ""sv"")"),"Garnera Majda-rätten med lök och valfri sorts inlagd gurka runt kanterna.")</f>
        <v>Garnera Majda-rätten med lök och valfri sorts inlagd gurka runt kanterna.</v>
      </c>
      <c r="AK35" s="17" t="str">
        <f ca="1">IFERROR(__xludf.DUMMYFUNCTION("GOOGLETRANSLATE(W35, ""en"", ""sv"")"),"Du kanske blir förvånad över att hitta lök som tillagas i mujaddara, men efter 50 års erfarenhet har jag upptäckt att fint rostad lök med bulgur ger mujaddara en underbar smak, och du kanske inte hittar många som erbjuder detta recept.")</f>
        <v>Du kanske blir förvånad över att hitta lök som tillagas i mujaddara, men efter 50 års erfarenhet har jag upptäckt att fint rostad lök med bulgur ger mujaddara en underbar smak, och du kanske inte hittar många som erbjuder detta recept.</v>
      </c>
      <c r="AL35" s="17" t="str">
        <f ca="1">IFERROR(__xludf.DUMMYFUNCTION("GOOGLETRANSLATE(X35, ""en"", ""sv"")"),"Bilder/Mjaddara_Burghul.jpg")</f>
        <v>Bilder/Mjaddara_Burghul.jpg</v>
      </c>
      <c r="AM35" s="17" t="str">
        <f ca="1">IFERROR(__xludf.DUMMYFUNCTION("GOOGLETRANSLATE(Y35, ""en"", ""sv"")"),"#VALUE!")</f>
        <v>#VALUE!</v>
      </c>
      <c r="AN35" s="17" t="str">
        <f ca="1">IFERROR(__xludf.DUMMYFUNCTION("GOOGLETRANSLATE(Z35, ""en"", ""sv"")"),"#VALUE!")</f>
        <v>#VALUE!</v>
      </c>
      <c r="AO35" s="17" t="str">
        <f ca="1">IFERROR(__xludf.DUMMYFUNCTION("GOOGLETRANSLATE(AA35, ""en"", ""sv"")"),"#VALUE!")</f>
        <v>#VALUE!</v>
      </c>
      <c r="AP35" s="17" t="str">
        <f ca="1">IFERROR(__xludf.DUMMYFUNCTION("GOOGLETRANSLATE(AB35, ""en"", ""sv"")"),"#VALUE!")</f>
        <v>#VALUE!</v>
      </c>
      <c r="AQ35" s="17"/>
    </row>
    <row r="36" spans="1:43" ht="14.25" customHeight="1" x14ac:dyDescent="0.3">
      <c r="A36" s="8" t="s">
        <v>294</v>
      </c>
      <c r="B36" s="38" t="s">
        <v>286</v>
      </c>
      <c r="C36" s="39" t="s">
        <v>295</v>
      </c>
      <c r="D36" s="39" t="s">
        <v>161</v>
      </c>
      <c r="E36" s="42" t="s">
        <v>296</v>
      </c>
      <c r="F36" s="35" t="s">
        <v>297</v>
      </c>
      <c r="G36" s="35" t="s">
        <v>290</v>
      </c>
      <c r="H36" s="35" t="s">
        <v>291</v>
      </c>
      <c r="I36" s="35" t="s">
        <v>298</v>
      </c>
      <c r="J36" s="45" t="s">
        <v>299</v>
      </c>
      <c r="K36" s="41"/>
      <c r="L36" s="41"/>
      <c r="M36" s="41"/>
      <c r="N36" s="41"/>
      <c r="O36" s="14" t="str">
        <f t="shared" si="0"/>
        <v>35</v>
      </c>
      <c r="P36" s="15" t="str">
        <f ca="1">IFERROR(__xludf.DUMMYFUNCTION("GOOGLETRANSLATE(B36, ""ar"", ""en"")"),"Grain foods")</f>
        <v>Grain foods</v>
      </c>
      <c r="Q36" s="15" t="str">
        <f ca="1">IFERROR(__xludf.DUMMYFUNCTION("GOOGLETRANSLATE(C36, ""ar"", ""en"")"),"Mujaddara (rice pudding)")</f>
        <v>Mujaddara (rice pudding)</v>
      </c>
      <c r="R36" s="15" t="str">
        <f ca="1">IFERROR(__xludf.DUMMYFUNCTION("GOOGLETRANSLATE(D36, ""ar"", ""en"")"),"hour")</f>
        <v>hour</v>
      </c>
      <c r="S36" s="15" t="str">
        <f ca="1">IFERROR(__xludf.DUMMYFUNCTION("GOOGLETRANSLATE(E36, ""ar"", ""en"")"),"• 1 kg rice
• 250 g coarse brown lentils
• 3 cups boiling water
• 4 large onions
• 1 tablespoon salt
• 1/2 cup good quality olive oil
• Oil for frying the onions
")</f>
        <v xml:space="preserve">• 1 kg rice
• 250 g coarse brown lentils
• 3 cups boiling water
• 4 large onions
• 1 tablespoon salt
• 1/2 cup good quality olive oil
• Oil for frying the onions
</v>
      </c>
      <c r="T36" s="15" t="str">
        <f ca="1">IFERROR(__xludf.DUMMYFUNCTION("GOOGLETRANSLATE(F36, ""ar"", ""en"")"),"Soak the rice and set it aside.
Peel the onion and finely chop half of it, then slice the other half.
Place the lentils in a pot with two cups of water and boil them. Be careful not to overcook them. Boil for about half an hour, checking them regularly;"&amp;" they should be cooked without breaking apart or bursting open.
Heat olive oil in a suitable pot and add the finely chopped onion. Sauté until golden brown, then add the rice and stir for 5 minutes. Pour the cooking water over the lentils (don't discard "&amp;"the water, as it retains its nutritional benefits). Pour 3 cups of boiling water over the bulgur and lentils, add salt, cover, and bring to a boil. Reduce the heat to low (about a quarter of the way down) and let it simmer for about 10 minutes, or until t"&amp;"he water is absorbed.
Heat oil in a frying pan. Separate the sliced ​​onion into smaller pieces and sauté briefly. Cook over high heat for about 3 minutes, then reduce the heat to low and cook until golden brown and crispy.
")</f>
        <v xml:space="preserve">Soak the rice and set it aside.
Peel the onion and finely chop half of it, then slice the other half.
Place the lentils in a pot with two cups of water and boil them. Be careful not to overcook them. Boil for about half an hour, checking them regularly; they should be cooked without breaking apart or bursting open.
Heat olive oil in a suitable pot and add the finely chopped onion. Sauté until golden brown, then add the rice and stir for 5 minutes. Pour the cooking water over the lentils (don't discard the water, as it retains its nutritional benefits). Pour 3 cups of boiling water over the bulgur and lentils, add salt, cover, and bring to a boil. Reduce the heat to low (about a quarter of the way down) and let it simmer for about 10 minutes, or until the water is absorbed.
Heat oil in a frying pan. Separate the sliced ​​onion into smaller pieces and sauté briefly. Cook over high heat for about 3 minutes, then reduce the heat to low and cook until golden brown and crispy.
</v>
      </c>
      <c r="U36" s="15" t="str">
        <f ca="1">IFERROR(__xludf.DUMMYFUNCTION("GOOGLETRANSLATE(G36, ""ar"", ""en"")"),"The quantity is enough for 4 people.")</f>
        <v>The quantity is enough for 4 people.</v>
      </c>
      <c r="V36" s="15" t="str">
        <f ca="1">IFERROR(__xludf.DUMMYFUNCTION("GOOGLETRANSLATE(H36, ""ar"", ""en"")"),"Garnish the Majda dish with onions and any type of pickles around the edges of the dish.")</f>
        <v>Garnish the Majda dish with onions and any type of pickles around the edges of the dish.</v>
      </c>
      <c r="W36" s="15" t="str">
        <f ca="1">IFERROR(__xludf.DUMMYFUNCTION("GOOGLETRANSLATE(I36, ""ar"", ""en"")"),"The presence of onions during cooking in mujaddara, but after 50 years of experience I found that finely roasted onions with bulgur give a wonderful taste to mujaddara, and you may not find many people offering this recipe.")</f>
        <v>The presence of onions during cooking in mujaddara, but after 50 years of experience I found that finely roasted onions with bulgur give a wonderful taste to mujaddara, and you may not find many people offering this recipe.</v>
      </c>
      <c r="X36" s="15" t="str">
        <f ca="1">IFERROR(__xludf.DUMMYFUNCTION("GOOGLETRANSLATE(J36, ""ar"", ""en"")"),"Images/Mjaddara_Rez.jpg")</f>
        <v>Images/Mjaddara_Rez.jpg</v>
      </c>
      <c r="Y36" s="15" t="str">
        <f ca="1">IFERROR(__xludf.DUMMYFUNCTION("GOOGLETRANSLATE(K36, ""ar"", ""en"")"),"#VALUE!")</f>
        <v>#VALUE!</v>
      </c>
      <c r="Z36" s="15" t="str">
        <f ca="1">IFERROR(__xludf.DUMMYFUNCTION("GOOGLETRANSLATE(L36, ""ar"", ""en"")"),"#VALUE!")</f>
        <v>#VALUE!</v>
      </c>
      <c r="AA36" s="15" t="str">
        <f ca="1">IFERROR(__xludf.DUMMYFUNCTION("GOOGLETRANSLATE(M36, ""ar"", ""en"")"),"#VALUE!")</f>
        <v>#VALUE!</v>
      </c>
      <c r="AB36" s="15" t="str">
        <f ca="1">IFERROR(__xludf.DUMMYFUNCTION("GOOGLETRANSLATE(N36, ""ar"", ""en"")"),"#VALUE!")</f>
        <v>#VALUE!</v>
      </c>
      <c r="AC36" s="16" t="str">
        <f t="shared" si="1"/>
        <v>35</v>
      </c>
      <c r="AD36" s="17" t="str">
        <f ca="1">IFERROR(__xludf.DUMMYFUNCTION("GOOGLETRANSLATE(P36, ""en"", ""sv"")"),"Spannmålsprodukter")</f>
        <v>Spannmålsprodukter</v>
      </c>
      <c r="AE36" s="17" t="str">
        <f ca="1">IFERROR(__xludf.DUMMYFUNCTION("GOOGLETRANSLATE(Q36, ""en"", ""sv"")"),"Mujaddara (rispudding)")</f>
        <v>Mujaddara (rispudding)</v>
      </c>
      <c r="AF36" s="17" t="str">
        <f ca="1">IFERROR(__xludf.DUMMYFUNCTION("GOOGLETRANSLATE(R36, ""en"", ""sv"")"),"timme")</f>
        <v>timme</v>
      </c>
      <c r="AG36" s="17" t="str">
        <f ca="1">IFERROR(__xludf.DUMMYFUNCTION("GOOGLETRANSLATE(S36, ""en"", ""sv"")"),"• 1 kg ris
• 250 g grova bruna linser
• 7,5 dl kokande vatten
• 4 stora lökar
• 1 msk salt
• 1,5 dl olivolja av god kvalitet
• Olja för att steka löken
")</f>
        <v xml:space="preserve">• 1 kg ris
• 250 g grova bruna linser
• 7,5 dl kokande vatten
• 4 stora lökar
• 1 msk salt
• 1,5 dl olivolja av god kvalitet
• Olja för att steka löken
</v>
      </c>
      <c r="AH36" s="17" t="str">
        <f ca="1">IFERROR(__xludf.DUMMYFUNCTION("GOOGLETRANSLATE(T36, ""en"", ""sv"")"),"Blötlägg riset och ställ det åt sidan.
Skala löken och finhacka hälften, skiva sedan den andra hälften.
Lägg linserna i en kastrull med två koppar vatten och koka upp dem. Var försiktig så att de inte överkokas. Koka i ungefär en halvtimme och kontrolle"&amp;"ra dem regelbundet; de ska vara kokta utan att gå sönder eller spricka upp.
Värm olivolja i en lämplig kastrull och tillsätt den finhackade löken. Fräs tills den är gyllenbrun, tillsätt sedan riset och rör om i 5 minuter. Häll kokvattnet över linserna (s"&amp;"läng inte vattnet, det behåller sina näringsmässiga fördelar). Häll 3 koppar kokande vatten över bulgur och linser, tillsätt salt, täck över och koka upp. Sänk värmen till låg (ungefär en fjärdedel) och låt det sjuda i cirka 10 minuter, eller tills vattne"&amp;"t har absorberats.
Värm olja i en stekpanna. Dela den skivade löken i mindre bitar och fräs kort. Stek på hög värme i cirka 3 minuter, sänk sedan värmen till låg och stek tills den är gyllenbrun och krispig.")</f>
        <v>Blötlägg riset och ställ det åt sidan.
Skala löken och finhacka hälften, skiva sedan den andra hälften.
Lägg linserna i en kastrull med två koppar vatten och koka upp dem. Var försiktig så att de inte överkokas. Koka i ungefär en halvtimme och kontrollera dem regelbundet; de ska vara kokta utan att gå sönder eller spricka upp.
Värm olivolja i en lämplig kastrull och tillsätt den finhackade löken. Fräs tills den är gyllenbrun, tillsätt sedan riset och rör om i 5 minuter. Häll kokvattnet över linserna (släng inte vattnet, det behåller sina näringsmässiga fördelar). Häll 3 koppar kokande vatten över bulgur och linser, tillsätt salt, täck över och koka upp. Sänk värmen till låg (ungefär en fjärdedel) och låt det sjuda i cirka 10 minuter, eller tills vattnet har absorberats.
Värm olja i en stekpanna. Dela den skivade löken i mindre bitar och fräs kort. Stek på hög värme i cirka 3 minuter, sänk sedan värmen till låg och stek tills den är gyllenbrun och krispig.</v>
      </c>
      <c r="AI36" s="17" t="str">
        <f ca="1">IFERROR(__xludf.DUMMYFUNCTION("GOOGLETRANSLATE(U36, ""en"", ""sv"")"),"Mängden räcker till 4 personer.")</f>
        <v>Mängden räcker till 4 personer.</v>
      </c>
      <c r="AJ36" s="17" t="str">
        <f ca="1">IFERROR(__xludf.DUMMYFUNCTION("GOOGLETRANSLATE(V36, ""en"", ""sv"")"),"Garnera Majda-rätten med lök och valfri sorts inlagd gurka runt kanterna.")</f>
        <v>Garnera Majda-rätten med lök och valfri sorts inlagd gurka runt kanterna.</v>
      </c>
      <c r="AK36" s="17" t="str">
        <f ca="1">IFERROR(__xludf.DUMMYFUNCTION("GOOGLETRANSLATE(W36, ""en"", ""sv"")"),"Närvaron av lök under tillagningen i mujaddara, men efter 50 års erfarenhet upptäckte jag att fint rostad lök med bulgur ger en underbar smak till mujaddara, och du kanske inte hittar många som erbjuder detta recept.")</f>
        <v>Närvaron av lök under tillagningen i mujaddara, men efter 50 års erfarenhet upptäckte jag att fint rostad lök med bulgur ger en underbar smak till mujaddara, och du kanske inte hittar många som erbjuder detta recept.</v>
      </c>
      <c r="AL36" s="17" t="str">
        <f ca="1">IFERROR(__xludf.DUMMYFUNCTION("GOOGLETRANSLATE(X36, ""en"", ""sv"")"),"Bilder/Mjaddara_Rez.jpg")</f>
        <v>Bilder/Mjaddara_Rez.jpg</v>
      </c>
      <c r="AM36" s="17" t="str">
        <f ca="1">IFERROR(__xludf.DUMMYFUNCTION("GOOGLETRANSLATE(Y36, ""en"", ""sv"")"),"#VALUE!")</f>
        <v>#VALUE!</v>
      </c>
      <c r="AN36" s="17" t="str">
        <f ca="1">IFERROR(__xludf.DUMMYFUNCTION("GOOGLETRANSLATE(Z36, ""en"", ""sv"")"),"#VALUE!")</f>
        <v>#VALUE!</v>
      </c>
      <c r="AO36" s="17" t="str">
        <f ca="1">IFERROR(__xludf.DUMMYFUNCTION("GOOGLETRANSLATE(AA36, ""en"", ""sv"")"),"#VALUE!")</f>
        <v>#VALUE!</v>
      </c>
      <c r="AP36" s="17" t="str">
        <f ca="1">IFERROR(__xludf.DUMMYFUNCTION("GOOGLETRANSLATE(AB36, ""en"", ""sv"")"),"#VALUE!")</f>
        <v>#VALUE!</v>
      </c>
      <c r="AQ36" s="17"/>
    </row>
    <row r="37" spans="1:43" ht="14.25" customHeight="1" x14ac:dyDescent="0.3">
      <c r="A37" s="8" t="s">
        <v>300</v>
      </c>
      <c r="B37" s="38" t="s">
        <v>286</v>
      </c>
      <c r="C37" s="39" t="s">
        <v>301</v>
      </c>
      <c r="D37" s="39" t="s">
        <v>216</v>
      </c>
      <c r="E37" s="42" t="s">
        <v>302</v>
      </c>
      <c r="F37" s="35" t="s">
        <v>303</v>
      </c>
      <c r="G37" s="35" t="s">
        <v>227</v>
      </c>
      <c r="H37" s="35" t="s">
        <v>304</v>
      </c>
      <c r="I37" s="35" t="s">
        <v>305</v>
      </c>
      <c r="J37" s="45" t="s">
        <v>306</v>
      </c>
      <c r="K37" s="41"/>
      <c r="L37" s="41"/>
      <c r="M37" s="41"/>
      <c r="N37" s="41"/>
      <c r="O37" s="14" t="str">
        <f t="shared" si="0"/>
        <v>36</v>
      </c>
      <c r="P37" s="15" t="str">
        <f ca="1">IFERROR(__xludf.DUMMYFUNCTION("GOOGLETRANSLATE(B37, ""ar"", ""en"")"),"Grain foods")</f>
        <v>Grain foods</v>
      </c>
      <c r="Q37" s="15" t="str">
        <f ca="1">IFERROR(__xludf.DUMMYFUNCTION("GOOGLETRANSLATE(C37, ""ar"", ""en"")"),"Bulgur with vermicelli")</f>
        <v>Bulgur with vermicelli</v>
      </c>
      <c r="R37" s="15" t="str">
        <f ca="1">IFERROR(__xludf.DUMMYFUNCTION("GOOGLETRANSLATE(D37, ""ar"", ""en"")"),"45 minutes")</f>
        <v>45 minutes</v>
      </c>
      <c r="S37" s="15" t="str">
        <f ca="1">IFERROR(__xludf.DUMMYFUNCTION("GOOGLETRANSLATE(E37, ""ar"", ""en"")"),"• 1 kg coarse white bulgur
• 1 cup vermicelli
• 3 tablespoons ghee
• 1 tablespoon salt
• 4 cups boiling water
")</f>
        <v xml:space="preserve">• 1 kg coarse white bulgur
• 1 cup vermicelli
• 3 tablespoons ghee
• 1 tablespoon salt
• 4 cups boiling water
</v>
      </c>
      <c r="T37" s="15" t="str">
        <f ca="1">IFERROR(__xludf.DUMMYFUNCTION("GOOGLETRANSLATE(F37, ""ar"", ""en"")"),"Put the ghee in a suitable pot and heat it, then add the vermicelli and toast it until it turns golden. Add the bulgur and toast it for 5 minutes, then add the boiling water and let it boil again. Cover it and wait until the water level drops below the bu"&amp;"lgur, then reduce the heat to a quarter and leave it for about 10 minutes or until the water dries up.")</f>
        <v>Put the ghee in a suitable pot and heat it, then add the vermicelli and toast it until it turns golden. Add the bulgur and toast it for 5 minutes, then add the boiling water and let it boil again. Cover it and wait until the water level drops below the bulgur, then reduce the heat to a quarter and leave it for about 10 minutes or until the water dries up.</v>
      </c>
      <c r="U37" s="15" t="str">
        <f ca="1">IFERROR(__xludf.DUMMYFUNCTION("GOOGLETRANSLATE(G37, ""ar"", ""en"")"),"The quantity is enough for 5 people.")</f>
        <v>The quantity is enough for 5 people.</v>
      </c>
      <c r="V37" s="15" t="str">
        <f ca="1">IFERROR(__xludf.DUMMYFUNCTION("GOOGLETRANSLATE(H37, ""ar"", ""en"")"),"Garnish the bulgur and vermicelli dish with pickle slices and green cucumber.")</f>
        <v>Garnish the bulgur and vermicelli dish with pickle slices and green cucumber.</v>
      </c>
      <c r="W37" s="15" t="str">
        <f ca="1">IFERROR(__xludf.DUMMYFUNCTION("GOOGLETRANSLATE(I37, ""ar"", ""en"")"),"This dish goes great with all yogurt dishes and okra with meat.")</f>
        <v>This dish goes great with all yogurt dishes and okra with meat.</v>
      </c>
      <c r="X37" s="15" t="str">
        <f ca="1">IFERROR(__xludf.DUMMYFUNCTION("GOOGLETRANSLATE(J37, ""ar"", ""en"")"),"Images/Burghul_Besheirieh.jpg")</f>
        <v>Images/Burghul_Besheirieh.jpg</v>
      </c>
      <c r="Y37" s="15" t="str">
        <f ca="1">IFERROR(__xludf.DUMMYFUNCTION("GOOGLETRANSLATE(K37, ""ar"", ""en"")"),"#VALUE!")</f>
        <v>#VALUE!</v>
      </c>
      <c r="Z37" s="15" t="str">
        <f ca="1">IFERROR(__xludf.DUMMYFUNCTION("GOOGLETRANSLATE(L37, ""ar"", ""en"")"),"#VALUE!")</f>
        <v>#VALUE!</v>
      </c>
      <c r="AA37" s="15" t="str">
        <f ca="1">IFERROR(__xludf.DUMMYFUNCTION("GOOGLETRANSLATE(M37, ""ar"", ""en"")"),"#VALUE!")</f>
        <v>#VALUE!</v>
      </c>
      <c r="AB37" s="15" t="str">
        <f ca="1">IFERROR(__xludf.DUMMYFUNCTION("GOOGLETRANSLATE(N37, ""ar"", ""en"")"),"#VALUE!")</f>
        <v>#VALUE!</v>
      </c>
      <c r="AC37" s="16" t="str">
        <f t="shared" si="1"/>
        <v>36</v>
      </c>
      <c r="AD37" s="17" t="str">
        <f ca="1">IFERROR(__xludf.DUMMYFUNCTION("GOOGLETRANSLATE(P37, ""en"", ""sv"")"),"Spannmålsprodukter")</f>
        <v>Spannmålsprodukter</v>
      </c>
      <c r="AE37" s="17" t="str">
        <f ca="1">IFERROR(__xludf.DUMMYFUNCTION("GOOGLETRANSLATE(Q37, ""en"", ""sv"")"),"Bulgur med vermicelli")</f>
        <v>Bulgur med vermicelli</v>
      </c>
      <c r="AF37" s="17" t="str">
        <f ca="1">IFERROR(__xludf.DUMMYFUNCTION("GOOGLETRANSLATE(R37, ""en"", ""sv"")"),"45 minuter")</f>
        <v>45 minuter</v>
      </c>
      <c r="AG37" s="17" t="str">
        <f ca="1">IFERROR(__xludf.DUMMYFUNCTION("GOOGLETRANSLATE(S37, ""en"", ""sv"")"),"• 1 kg grov vit bulgur
• 2,5 dl vermicelli
• 3 msk ghee
• 1 msk salt
• 1,2 dl kokande vatten
")</f>
        <v xml:space="preserve">• 1 kg grov vit bulgur
• 2,5 dl vermicelli
• 3 msk ghee
• 1 msk salt
• 1,2 dl kokande vatten
</v>
      </c>
      <c r="AH37" s="17" t="str">
        <f ca="1">IFERROR(__xludf.DUMMYFUNCTION("GOOGLETRANSLATE(T37, ""en"", ""sv"")"),"Lägg gheen i en lämplig kastrull och värm den, tillsätt sedan vermicellin och rosta den tills den blir gyllenbrun. Tillsätt bulgurn och rosta den i 5 minuter, tillsätt sedan det kokande vattnet och låt det koka upp igen. Täck över och vänta tills vattenni"&amp;"vån sjunker under bulgurn, sänk sedan värmen till en fjärdedel och låt det stå i cirka 10 minuter eller tills vattnet har sinat.")</f>
        <v>Lägg gheen i en lämplig kastrull och värm den, tillsätt sedan vermicellin och rosta den tills den blir gyllenbrun. Tillsätt bulgurn och rosta den i 5 minuter, tillsätt sedan det kokande vattnet och låt det koka upp igen. Täck över och vänta tills vattennivån sjunker under bulgurn, sänk sedan värmen till en fjärdedel och låt det stå i cirka 10 minuter eller tills vattnet har sinat.</v>
      </c>
      <c r="AI37" s="17" t="str">
        <f ca="1">IFERROR(__xludf.DUMMYFUNCTION("GOOGLETRANSLATE(U37, ""en"", ""sv"")"),"Mängden räcker till 5 personer.")</f>
        <v>Mängden räcker till 5 personer.</v>
      </c>
      <c r="AJ37" s="17" t="str">
        <f ca="1">IFERROR(__xludf.DUMMYFUNCTION("GOOGLETRANSLATE(V37, ""en"", ""sv"")"),"Garnera bulgur- och vermicellirätten med skivor av pickles och grön gurka.")</f>
        <v>Garnera bulgur- och vermicellirätten med skivor av pickles och grön gurka.</v>
      </c>
      <c r="AK37" s="17" t="str">
        <f ca="1">IFERROR(__xludf.DUMMYFUNCTION("GOOGLETRANSLATE(W37, ""en"", ""sv"")"),"Denna rätt passar utmärkt till alla yoghurträtter och okra med kött.")</f>
        <v>Denna rätt passar utmärkt till alla yoghurträtter och okra med kött.</v>
      </c>
      <c r="AL37" s="17" t="str">
        <f ca="1">IFERROR(__xludf.DUMMYFUNCTION("GOOGLETRANSLATE(X37, ""en"", ""sv"")"),"Bilder/Burghul_Besheirieh.jpg")</f>
        <v>Bilder/Burghul_Besheirieh.jpg</v>
      </c>
      <c r="AM37" s="17" t="str">
        <f ca="1">IFERROR(__xludf.DUMMYFUNCTION("GOOGLETRANSLATE(Y37, ""en"", ""sv"")"),"#VALUE!")</f>
        <v>#VALUE!</v>
      </c>
      <c r="AN37" s="17" t="str">
        <f ca="1">IFERROR(__xludf.DUMMYFUNCTION("GOOGLETRANSLATE(Z37, ""en"", ""sv"")"),"#VALUE!")</f>
        <v>#VALUE!</v>
      </c>
      <c r="AO37" s="17" t="str">
        <f ca="1">IFERROR(__xludf.DUMMYFUNCTION("GOOGLETRANSLATE(AA37, ""en"", ""sv"")"),"#VALUE!")</f>
        <v>#VALUE!</v>
      </c>
      <c r="AP37" s="17" t="str">
        <f ca="1">IFERROR(__xludf.DUMMYFUNCTION("GOOGLETRANSLATE(AB37, ""en"", ""sv"")"),"#VALUE!")</f>
        <v>#VALUE!</v>
      </c>
      <c r="AQ37" s="17"/>
    </row>
    <row r="38" spans="1:43" ht="14.25" customHeight="1" x14ac:dyDescent="0.3">
      <c r="A38" s="8" t="s">
        <v>307</v>
      </c>
      <c r="B38" s="38" t="s">
        <v>308</v>
      </c>
      <c r="C38" s="39" t="s">
        <v>309</v>
      </c>
      <c r="D38" s="39" t="s">
        <v>216</v>
      </c>
      <c r="E38" s="42" t="s">
        <v>310</v>
      </c>
      <c r="F38" s="35" t="s">
        <v>311</v>
      </c>
      <c r="G38" s="35" t="s">
        <v>290</v>
      </c>
      <c r="H38" s="35" t="s">
        <v>312</v>
      </c>
      <c r="I38" s="35" t="s">
        <v>313</v>
      </c>
      <c r="J38" s="45" t="s">
        <v>314</v>
      </c>
      <c r="K38" s="41"/>
      <c r="L38" s="41"/>
      <c r="M38" s="41"/>
      <c r="N38" s="41"/>
      <c r="O38" s="14" t="str">
        <f t="shared" si="0"/>
        <v>37</v>
      </c>
      <c r="P38" s="15" t="str">
        <f ca="1">IFERROR(__xludf.DUMMYFUNCTION("GOOGLETRANSLATE(B38, ""ar"", ""en"")"),"Vegetarian foods")</f>
        <v>Vegetarian foods</v>
      </c>
      <c r="Q38" s="15" t="str">
        <f ca="1">IFERROR(__xludf.DUMMYFUNCTION("GOOGLETRANSLATE(C38, ""ar"", ""en"")"),"Fried beans")</f>
        <v>Fried beans</v>
      </c>
      <c r="R38" s="15" t="str">
        <f ca="1">IFERROR(__xludf.DUMMYFUNCTION("GOOGLETRANSLATE(D38, ""ar"", ""en"")"),"45 minutes")</f>
        <v>45 minutes</v>
      </c>
      <c r="S38" s="15" t="str">
        <f ca="1">IFERROR(__xludf.DUMMYFUNCTION("GOOGLETRANSLATE(E38, ""ar"", ""en"")"),"• 900 grams or two bags of green broad beans in their pods
• 3 tablespoons of minced garlic
• 2 bunches of fresh coriander
• 1 cup of good quality olive oil
• 1 tablespoon of vegetable seasoning powder
•")</f>
        <v>• 900 grams or two bags of green broad beans in their pods
• 3 tablespoons of minced garlic
• 2 bunches of fresh coriander
• 1 cup of good quality olive oil
• 1 tablespoon of vegetable seasoning powder
•</v>
      </c>
      <c r="T38" s="15" t="str">
        <f ca="1">IFERROR(__xludf.DUMMYFUNCTION("GOOGLETRANSLATE(F38, ""ar"", ""en"")"),"If using frozen fava beans, empty the contents of two bags into boiling water and set aside until ready to use. Do not thaw the beans prematurely without boiling water; this will negatively affect their flavor and nutritional value.
Wash the cilantro bef"&amp;"ore chopping it, dry it, and finely chop it. Set aside until ready to use.
Heat oil in a suitable pot over medium heat until it is half-hot. Add the garlic and sauté until golden, but not brown. Drain the fava beans and add them to the pot with the garli"&amp;"c. Stir, sprinkle with the seasoning powder, and cook for two minutes. Cover the mixture and cook for about five minutes. Pour a cup of boiling water over the beans and let them cook for 15 minutes.
Add the fresh cilantro and stir it into the beans. Ensu"&amp;"re the beans are cooked through and then remove from the heat.
Be careful with the salt. I didn't mention salt because the seasoning powder is usually salty, and fava beans don't tolerate much salt.")</f>
        <v>If using frozen fava beans, empty the contents of two bags into boiling water and set aside until ready to use. Do not thaw the beans prematurely without boiling water; this will negatively affect their flavor and nutritional value.
Wash the cilantro before chopping it, dry it, and finely chop it. Set aside until ready to use.
Heat oil in a suitable pot over medium heat until it is half-hot. Add the garlic and sauté until golden, but not brown. Drain the fava beans and add them to the pot with the garlic. Stir, sprinkle with the seasoning powder, and cook for two minutes. Cover the mixture and cook for about five minutes. Pour a cup of boiling water over the beans and let them cook for 15 minutes.
Add the fresh cilantro and stir it into the beans. Ensure the beans are cooked through and then remove from the heat.
Be careful with the salt. I didn't mention salt because the seasoning powder is usually salty, and fava beans don't tolerate much salt.</v>
      </c>
      <c r="U38" s="15" t="str">
        <f ca="1">IFERROR(__xludf.DUMMYFUNCTION("GOOGLETRANSLATE(G38, ""ar"", ""en"")"),"The quantity is enough for 4 people.")</f>
        <v>The quantity is enough for 4 people.</v>
      </c>
      <c r="V38" s="15" t="str">
        <f ca="1">IFERROR(__xludf.DUMMYFUNCTION("GOOGLETRANSLATE(H38, ""ar"", ""en"")"),"Garnish the green bean dish with red bell pepper slices and pickles.")</f>
        <v>Garnish the green bean dish with red bell pepper slices and pickles.</v>
      </c>
      <c r="W38" s="15" t="str">
        <f ca="1">IFERROR(__xludf.DUMMYFUNCTION("GOOGLETRANSLATE(I38, ""ar"", ""en"")"),"I recommend frozen fava beans over fresh ones for this dish because fresh fava beans tend to be a bit tough.")</f>
        <v>I recommend frozen fava beans over fresh ones for this dish because fresh fava beans tend to be a bit tough.</v>
      </c>
      <c r="X38" s="15" t="str">
        <f ca="1">IFERROR(__xludf.DUMMYFUNCTION("GOOGLETRANSLATE(J38, ""ar"", ""en"")"),"Images/Foul_Bezeit.jpg")</f>
        <v>Images/Foul_Bezeit.jpg</v>
      </c>
      <c r="Y38" s="15" t="str">
        <f ca="1">IFERROR(__xludf.DUMMYFUNCTION("GOOGLETRANSLATE(K38, ""ar"", ""en"")"),"#VALUE!")</f>
        <v>#VALUE!</v>
      </c>
      <c r="Z38" s="15" t="str">
        <f ca="1">IFERROR(__xludf.DUMMYFUNCTION("GOOGLETRANSLATE(L38, ""ar"", ""en"")"),"#VALUE!")</f>
        <v>#VALUE!</v>
      </c>
      <c r="AA38" s="15" t="str">
        <f ca="1">IFERROR(__xludf.DUMMYFUNCTION("GOOGLETRANSLATE(M38, ""ar"", ""en"")"),"#VALUE!")</f>
        <v>#VALUE!</v>
      </c>
      <c r="AB38" s="15" t="str">
        <f ca="1">IFERROR(__xludf.DUMMYFUNCTION("GOOGLETRANSLATE(N38, ""ar"", ""en"")"),"#VALUE!")</f>
        <v>#VALUE!</v>
      </c>
      <c r="AC38" s="16" t="str">
        <f t="shared" si="1"/>
        <v>37</v>
      </c>
      <c r="AD38" s="17" t="str">
        <f ca="1">IFERROR(__xludf.DUMMYFUNCTION("GOOGLETRANSLATE(P38, ""en"", ""sv"")"),"Vegetarisk mat")</f>
        <v>Vegetarisk mat</v>
      </c>
      <c r="AE38" s="17" t="str">
        <f ca="1">IFERROR(__xludf.DUMMYFUNCTION("GOOGLETRANSLATE(Q38, ""en"", ""sv"")"),"Stekta bönor")</f>
        <v>Stekta bönor</v>
      </c>
      <c r="AF38" s="17" t="str">
        <f ca="1">IFERROR(__xludf.DUMMYFUNCTION("GOOGLETRANSLATE(R38, ""en"", ""sv"")"),"45 minuter")</f>
        <v>45 minuter</v>
      </c>
      <c r="AG38" s="17" t="str">
        <f ca="1">IFERROR(__xludf.DUMMYFUNCTION("GOOGLETRANSLATE(S38, ""en"", ""sv"")"),"• 900 gram eller två påsar gröna bondbönor i sina baljor
• 3 matskedar hackad vitlök
• 2 knippen färsk koriander
• 1 kopp olivolja av god kvalitet
• 1 matsked vegetabiliskt kryddpulver
•")</f>
        <v>• 900 gram eller två påsar gröna bondbönor i sina baljor
• 3 matskedar hackad vitlök
• 2 knippen färsk koriander
• 1 kopp olivolja av god kvalitet
• 1 matsked vegetabiliskt kryddpulver
•</v>
      </c>
      <c r="AH38" s="17" t="str">
        <f ca="1">IFERROR(__xludf.DUMMYFUNCTION("GOOGLETRANSLATE(T38, ""en"", ""sv"")"),"Om du använder frysta bondbönor, töm innehållet i två påsar i kokande vatten och ställ åt sidan tills de ska användas. Tina inte bönorna för tidigt utan att koka vattnet; detta kommer att påverka deras smak och näringsvärde negativt.
Tvätta koriandern in"&amp;"nan du hackar den, torka den och finhacka den. Ställ åt sidan tills den ska användas.
Värm olja i en lämplig kastrull på medelvärme tills den är halvvarm. Tillsätt vitlöken och fräs tills den är gyllenbrun, men inte brun. Häll av vattnet från bondbönorna"&amp;" och lägg dem i kastrullen med vitlöken. Rör om, strö över kryddpulvret och koka i två minuter. Täck över blandningen och koka i cirka fem minuter. Häll en kopp kokande vatten över bönorna och låt dem koka i 15 minuter.
Tillsätt den färska koriandern och"&amp;" rör ner den i bönorna. Se till att bönorna är genomkokta och ta sedan bort från värmen.
Var försiktig med saltet. Jag nämnde inte salt eftersom kryddpulvret vanligtvis är salt, och bondbönor tål inte mycket salt.")</f>
        <v>Om du använder frysta bondbönor, töm innehållet i två påsar i kokande vatten och ställ åt sidan tills de ska användas. Tina inte bönorna för tidigt utan att koka vattnet; detta kommer att påverka deras smak och näringsvärde negativt.
Tvätta koriandern innan du hackar den, torka den och finhacka den. Ställ åt sidan tills den ska användas.
Värm olja i en lämplig kastrull på medelvärme tills den är halvvarm. Tillsätt vitlöken och fräs tills den är gyllenbrun, men inte brun. Häll av vattnet från bondbönorna och lägg dem i kastrullen med vitlöken. Rör om, strö över kryddpulvret och koka i två minuter. Täck över blandningen och koka i cirka fem minuter. Häll en kopp kokande vatten över bönorna och låt dem koka i 15 minuter.
Tillsätt den färska koriandern och rör ner den i bönorna. Se till att bönorna är genomkokta och ta sedan bort från värmen.
Var försiktig med saltet. Jag nämnde inte salt eftersom kryddpulvret vanligtvis är salt, och bondbönor tål inte mycket salt.</v>
      </c>
      <c r="AI38" s="17" t="str">
        <f ca="1">IFERROR(__xludf.DUMMYFUNCTION("GOOGLETRANSLATE(U38, ""en"", ""sv"")"),"Mängden räcker till 4 personer.")</f>
        <v>Mängden räcker till 4 personer.</v>
      </c>
      <c r="AJ38" s="17" t="str">
        <f ca="1">IFERROR(__xludf.DUMMYFUNCTION("GOOGLETRANSLATE(V38, ""en"", ""sv"")"),"Garnera rätten med gröna bönor med skivor av röd paprika och pickles.")</f>
        <v>Garnera rätten med gröna bönor med skivor av röd paprika och pickles.</v>
      </c>
      <c r="AK38" s="17" t="str">
        <f ca="1">IFERROR(__xludf.DUMMYFUNCTION("GOOGLETRANSLATE(W38, ""en"", ""sv"")"),"Jag rekommenderar frysta bondbönor framför färska till den här rätten eftersom färska bondbönor tenderar att vara lite sega.")</f>
        <v>Jag rekommenderar frysta bondbönor framför färska till den här rätten eftersom färska bondbönor tenderar att vara lite sega.</v>
      </c>
      <c r="AL38" s="17" t="str">
        <f ca="1">IFERROR(__xludf.DUMMYFUNCTION("GOOGLETRANSLATE(X38, ""en"", ""sv"")"),"Bilder/Foul_Bezeit.jpg")</f>
        <v>Bilder/Foul_Bezeit.jpg</v>
      </c>
      <c r="AM38" s="17" t="str">
        <f ca="1">IFERROR(__xludf.DUMMYFUNCTION("GOOGLETRANSLATE(Y38, ""en"", ""sv"")"),"#VALUE!")</f>
        <v>#VALUE!</v>
      </c>
      <c r="AN38" s="17" t="str">
        <f ca="1">IFERROR(__xludf.DUMMYFUNCTION("GOOGLETRANSLATE(Z38, ""en"", ""sv"")"),"#VALUE!")</f>
        <v>#VALUE!</v>
      </c>
      <c r="AO38" s="17" t="str">
        <f ca="1">IFERROR(__xludf.DUMMYFUNCTION("GOOGLETRANSLATE(AA38, ""en"", ""sv"")"),"#VALUE!")</f>
        <v>#VALUE!</v>
      </c>
      <c r="AP38" s="17" t="str">
        <f ca="1">IFERROR(__xludf.DUMMYFUNCTION("GOOGLETRANSLATE(AB38, ""en"", ""sv"")"),"#VALUE!")</f>
        <v>#VALUE!</v>
      </c>
      <c r="AQ38" s="17"/>
    </row>
    <row r="39" spans="1:43" ht="14.25" customHeight="1" x14ac:dyDescent="0.3">
      <c r="A39" s="8" t="s">
        <v>315</v>
      </c>
      <c r="B39" s="38" t="s">
        <v>308</v>
      </c>
      <c r="C39" s="39" t="s">
        <v>316</v>
      </c>
      <c r="D39" s="39" t="s">
        <v>161</v>
      </c>
      <c r="E39" s="42" t="s">
        <v>317</v>
      </c>
      <c r="F39" s="35" t="s">
        <v>318</v>
      </c>
      <c r="G39" s="35" t="s">
        <v>319</v>
      </c>
      <c r="H39" s="35" t="s">
        <v>320</v>
      </c>
      <c r="I39" s="35" t="s">
        <v>321</v>
      </c>
      <c r="J39" s="45" t="s">
        <v>322</v>
      </c>
      <c r="K39" s="41"/>
      <c r="L39" s="41"/>
      <c r="M39" s="41"/>
      <c r="N39" s="41"/>
      <c r="O39" s="14" t="str">
        <f t="shared" si="0"/>
        <v>38</v>
      </c>
      <c r="P39" s="15" t="str">
        <f ca="1">IFERROR(__xludf.DUMMYFUNCTION("GOOGLETRANSLATE(B39, ""ar"", ""en"")"),"Vegetarian foods")</f>
        <v>Vegetarian foods</v>
      </c>
      <c r="Q39" s="15" t="str">
        <f ca="1">IFERROR(__xludf.DUMMYFUNCTION("GOOGLETRANSLATE(C39, ""ar"", ""en"")"),"Beans in oil")</f>
        <v>Beans in oil</v>
      </c>
      <c r="R39" s="15" t="str">
        <f ca="1">IFERROR(__xludf.DUMMYFUNCTION("GOOGLETRANSLATE(D39, ""ar"", ""en"")"),"hour")</f>
        <v>hour</v>
      </c>
      <c r="S39" s="15" t="str">
        <f ca="1">IFERROR(__xludf.DUMMYFUNCTION("GOOGLETRANSLATE(E39, ""ar"", ""en"")"),"• 1 kg green beans (fresh or frozen)
• 2 tablespoons minced garlic
• 1 tablespoon ground coriander
• ½ tablespoon salt
• 1 tablespoon tomato paste
• 4 medium tomatoes
• 1 cup good quality olive oil")</f>
        <v>• 1 kg green beans (fresh or frozen)
• 2 tablespoons minced garlic
• 1 tablespoon ground coriander
• ½ tablespoon salt
• 1 tablespoon tomato paste
• 4 medium tomatoes
• 1 cup good quality olive oil</v>
      </c>
      <c r="T39" s="15" t="str">
        <f ca="1">IFERROR(__xludf.DUMMYFUNCTION("GOOGLETRANSLATE(F39, ""ar"", ""en"")"),"Clean the green beans if they are fresh and cut them to your desired size. If they are frozen, soak them in boiling water immediately. Don't remove them from the freezer beforehand; transfer them directly from the freezer to the boiling water.
Heat olive"&amp;" oil in a suitable pot. Add the garlic and sauté until golden brown. Then add the dried coriander and sauté with the garlic for 2-3 minutes. Add the green beans and sauté for 5 minutes. At this point, add the tomato paste, chopped tomatoes (not too large "&amp;"or too small), salt, and a cup of boiling water. Stir well, cover the pot, and simmer over low heat for 30 minutes, or until the green beans are tender.")</f>
        <v>Clean the green beans if they are fresh and cut them to your desired size. If they are frozen, soak them in boiling water immediately. Don't remove them from the freezer beforehand; transfer them directly from the freezer to the boiling water.
Heat olive oil in a suitable pot. Add the garlic and sauté until golden brown. Then add the dried coriander and sauté with the garlic for 2-3 minutes. Add the green beans and sauté for 5 minutes. At this point, add the tomato paste, chopped tomatoes (not too large or too small), salt, and a cup of boiling water. Stir well, cover the pot, and simmer over low heat for 30 minutes, or until the green beans are tender.</v>
      </c>
      <c r="U39" s="15" t="str">
        <f ca="1">IFERROR(__xludf.DUMMYFUNCTION("GOOGLETRANSLATE(G39, ""ar"", ""en"")"),"The quantity is enough for 5 people.")</f>
        <v>The quantity is enough for 5 people.</v>
      </c>
      <c r="V39" s="15" t="str">
        <f ca="1">IFERROR(__xludf.DUMMYFUNCTION("GOOGLETRANSLATE(H39, ""ar"", ""en"")"),"Garnish the bean dish with green peppers.")</f>
        <v>Garnish the bean dish with green peppers.</v>
      </c>
      <c r="W39" s="15" t="str">
        <f ca="1">IFERROR(__xludf.DUMMYFUNCTION("GOOGLETRANSLATE(I39, ""ar"", ""en"")"),"This dish is very nutritious for vegetarians.")</f>
        <v>This dish is very nutritious for vegetarians.</v>
      </c>
      <c r="X39" s="15" t="str">
        <f ca="1">IFERROR(__xludf.DUMMYFUNCTION("GOOGLETRANSLATE(J39, ""ar"", ""en"")"),"Images/Loubia_Bezeit.jpg")</f>
        <v>Images/Loubia_Bezeit.jpg</v>
      </c>
      <c r="Y39" s="15" t="str">
        <f ca="1">IFERROR(__xludf.DUMMYFUNCTION("GOOGLETRANSLATE(K39, ""ar"", ""en"")"),"#VALUE!")</f>
        <v>#VALUE!</v>
      </c>
      <c r="Z39" s="15" t="str">
        <f ca="1">IFERROR(__xludf.DUMMYFUNCTION("GOOGLETRANSLATE(L39, ""ar"", ""en"")"),"#VALUE!")</f>
        <v>#VALUE!</v>
      </c>
      <c r="AA39" s="15" t="str">
        <f ca="1">IFERROR(__xludf.DUMMYFUNCTION("GOOGLETRANSLATE(M39, ""ar"", ""en"")"),"#VALUE!")</f>
        <v>#VALUE!</v>
      </c>
      <c r="AB39" s="15" t="str">
        <f ca="1">IFERROR(__xludf.DUMMYFUNCTION("GOOGLETRANSLATE(N39, ""ar"", ""en"")"),"#VALUE!")</f>
        <v>#VALUE!</v>
      </c>
      <c r="AC39" s="16" t="str">
        <f t="shared" si="1"/>
        <v>38</v>
      </c>
      <c r="AD39" s="17" t="str">
        <f ca="1">IFERROR(__xludf.DUMMYFUNCTION("GOOGLETRANSLATE(P39, ""en"", ""sv"")"),"Vegetarisk mat")</f>
        <v>Vegetarisk mat</v>
      </c>
      <c r="AE39" s="17" t="str">
        <f ca="1">IFERROR(__xludf.DUMMYFUNCTION("GOOGLETRANSLATE(Q39, ""en"", ""sv"")"),"Bönor i olja")</f>
        <v>Bönor i olja</v>
      </c>
      <c r="AF39" s="17" t="str">
        <f ca="1">IFERROR(__xludf.DUMMYFUNCTION("GOOGLETRANSLATE(R39, ""en"", ""sv"")"),"timme")</f>
        <v>timme</v>
      </c>
      <c r="AG39" s="17" t="str">
        <f ca="1">IFERROR(__xludf.DUMMYFUNCTION("GOOGLETRANSLATE(S39, ""en"", ""sv"")"),"• 1 kg gröna bönor (färska eller frysta)
• 2 msk hackad vitlök
• 1 msk malen koriander
• ½ msk salt
• 1 msk tomatpuré
• 4 medelstora tomater
• 1 kopp olivolja av god kvalitet")</f>
        <v>• 1 kg gröna bönor (färska eller frysta)
• 2 msk hackad vitlök
• 1 msk malen koriander
• ½ msk salt
• 1 msk tomatpuré
• 4 medelstora tomater
• 1 kopp olivolja av god kvalitet</v>
      </c>
      <c r="AH39" s="17" t="str">
        <f ca="1">IFERROR(__xludf.DUMMYFUNCTION("GOOGLETRANSLATE(T39, ""en"", ""sv"")"),"Rengör de gröna bönorna om de är färska och skär dem till önskad storlek. Om de är frysta, blötlägg dem omedelbart i kokande vatten. Ta inte ut dem ur frysen i förväg utan lägg över dem direkt från frysen till det kokande vattnet.
Värm olivolja i en lämp"&amp;"lig kastrull. Tillsätt vitlöken och fräs tills den är gyllenbrun. Tillsätt sedan den torkade koriandern och fräs tillsammans med vitlöken i 2-3 minuter. Tillsätt de gröna bönorna och fräs i 5 minuter. Tillsätt nu tomatpuré, hackade tomater (inte för stora"&amp;" eller för små), salt och en kopp kokande vatten. Rör om väl, täck över kastrullen och låt sjuda på låg värme i 30 minuter, eller tills de gröna bönorna är mjuka.")</f>
        <v>Rengör de gröna bönorna om de är färska och skär dem till önskad storlek. Om de är frysta, blötlägg dem omedelbart i kokande vatten. Ta inte ut dem ur frysen i förväg utan lägg över dem direkt från frysen till det kokande vattnet.
Värm olivolja i en lämplig kastrull. Tillsätt vitlöken och fräs tills den är gyllenbrun. Tillsätt sedan den torkade koriandern och fräs tillsammans med vitlöken i 2-3 minuter. Tillsätt de gröna bönorna och fräs i 5 minuter. Tillsätt nu tomatpuré, hackade tomater (inte för stora eller för små), salt och en kopp kokande vatten. Rör om väl, täck över kastrullen och låt sjuda på låg värme i 30 minuter, eller tills de gröna bönorna är mjuka.</v>
      </c>
      <c r="AI39" s="17" t="str">
        <f ca="1">IFERROR(__xludf.DUMMYFUNCTION("GOOGLETRANSLATE(U39, ""en"", ""sv"")"),"Mängden räcker till 5 personer.")</f>
        <v>Mängden räcker till 5 personer.</v>
      </c>
      <c r="AJ39" s="17" t="str">
        <f ca="1">IFERROR(__xludf.DUMMYFUNCTION("GOOGLETRANSLATE(V39, ""en"", ""sv"")"),"Garnera bönrätten med gröna paprikor.")</f>
        <v>Garnera bönrätten med gröna paprikor.</v>
      </c>
      <c r="AK39" s="17" t="str">
        <f ca="1">IFERROR(__xludf.DUMMYFUNCTION("GOOGLETRANSLATE(W39, ""en"", ""sv"")"),"Denna rätt är mycket näringsrik för vegetarianer.")</f>
        <v>Denna rätt är mycket näringsrik för vegetarianer.</v>
      </c>
      <c r="AL39" s="17" t="str">
        <f ca="1">IFERROR(__xludf.DUMMYFUNCTION("GOOGLETRANSLATE(X39, ""en"", ""sv"")"),"Bilder/Loubia_Bezeit.jpg")</f>
        <v>Bilder/Loubia_Bezeit.jpg</v>
      </c>
      <c r="AM39" s="17" t="str">
        <f ca="1">IFERROR(__xludf.DUMMYFUNCTION("GOOGLETRANSLATE(Y39, ""en"", ""sv"")"),"#VALUE!")</f>
        <v>#VALUE!</v>
      </c>
      <c r="AN39" s="17" t="str">
        <f ca="1">IFERROR(__xludf.DUMMYFUNCTION("GOOGLETRANSLATE(Z39, ""en"", ""sv"")"),"#VALUE!")</f>
        <v>#VALUE!</v>
      </c>
      <c r="AO39" s="17" t="str">
        <f ca="1">IFERROR(__xludf.DUMMYFUNCTION("GOOGLETRANSLATE(AA39, ""en"", ""sv"")"),"#VALUE!")</f>
        <v>#VALUE!</v>
      </c>
      <c r="AP39" s="17" t="str">
        <f ca="1">IFERROR(__xludf.DUMMYFUNCTION("GOOGLETRANSLATE(AB39, ""en"", ""sv"")"),"#VALUE!")</f>
        <v>#VALUE!</v>
      </c>
      <c r="AQ39" s="17"/>
    </row>
    <row r="40" spans="1:43" ht="14.25" customHeight="1" x14ac:dyDescent="0.3">
      <c r="A40" s="8" t="s">
        <v>323</v>
      </c>
      <c r="B40" s="38" t="s">
        <v>308</v>
      </c>
      <c r="C40" s="39" t="s">
        <v>324</v>
      </c>
      <c r="D40" s="39" t="s">
        <v>161</v>
      </c>
      <c r="E40" s="42" t="s">
        <v>325</v>
      </c>
      <c r="F40" s="35" t="s">
        <v>326</v>
      </c>
      <c r="G40" s="35" t="s">
        <v>319</v>
      </c>
      <c r="H40" s="35" t="s">
        <v>327</v>
      </c>
      <c r="I40" s="35" t="s">
        <v>321</v>
      </c>
      <c r="J40" s="45" t="s">
        <v>328</v>
      </c>
      <c r="K40" s="41"/>
      <c r="L40" s="41"/>
      <c r="M40" s="41"/>
      <c r="N40" s="41"/>
      <c r="O40" s="14" t="str">
        <f t="shared" si="0"/>
        <v>39</v>
      </c>
      <c r="P40" s="15" t="str">
        <f ca="1">IFERROR(__xludf.DUMMYFUNCTION("GOOGLETRANSLATE(B40, ""ar"", ""en"")"),"Vegetarian foods")</f>
        <v>Vegetarian foods</v>
      </c>
      <c r="Q40" s="15" t="str">
        <f ca="1">IFERROR(__xludf.DUMMYFUNCTION("GOOGLETRANSLATE(C40, ""ar"", ""en"")"),"Beans in oil")</f>
        <v>Beans in oil</v>
      </c>
      <c r="R40" s="15" t="str">
        <f ca="1">IFERROR(__xludf.DUMMYFUNCTION("GOOGLETRANSLATE(D40, ""ar"", ""en"")"),"hour")</f>
        <v>hour</v>
      </c>
      <c r="S40" s="15" t="str">
        <f ca="1">IFERROR(__xludf.DUMMYFUNCTION("GOOGLETRANSLATE(E40, ""ar"", ""en"")"),"• 1 kg green beans (fresh or frozen)
• 2 tablespoons minced garlic
• 1 tablespoon ground coriander
• ½ tablespoon salt
• 1 tablespoon tomato paste
• 4 medium tomatoes
• 1 cup good quality olive oil")</f>
        <v>• 1 kg green beans (fresh or frozen)
• 2 tablespoons minced garlic
• 1 tablespoon ground coriander
• ½ tablespoon salt
• 1 tablespoon tomato paste
• 4 medium tomatoes
• 1 cup good quality olive oil</v>
      </c>
      <c r="T40" s="15" t="str">
        <f ca="1">IFERROR(__xludf.DUMMYFUNCTION("GOOGLETRANSLATE(F40, ""ar"", ""en"")"),"Clean the beans if they are fresh and cut them to your desired size. If they are frozen, soak them in boiling water immediately. Don't remove them from the freezer beforehand; put them directly into the boiling water.
Heat olive oil in a suitable pot. Ad"&amp;"d the garlic and sauté until golden brown. Then add the dried coriander and sauté with the garlic for 2-3 minutes. Add the beans and sauté for 5 minutes. At this point, add the tomato paste, chopped tomatoes (not too large or too small), salt, and a cup o"&amp;"f boiling water. Stir well, cover the pot, and simmer over low heat for 30 minutes, or until the beans are tender.
")</f>
        <v xml:space="preserve">Clean the beans if they are fresh and cut them to your desired size. If they are frozen, soak them in boiling water immediately. Don't remove them from the freezer beforehand; put them directly into the boiling water.
Heat olive oil in a suitable pot. Add the garlic and sauté until golden brown. Then add the dried coriander and sauté with the garlic for 2-3 minutes. Add the beans and sauté for 5 minutes. At this point, add the tomato paste, chopped tomatoes (not too large or too small), salt, and a cup of boiling water. Stir well, cover the pot, and simmer over low heat for 30 minutes, or until the beans are tender.
</v>
      </c>
      <c r="U40" s="15" t="str">
        <f ca="1">IFERROR(__xludf.DUMMYFUNCTION("GOOGLETRANSLATE(G40, ""ar"", ""en"")"),"The quantity is enough for 5 people.")</f>
        <v>The quantity is enough for 5 people.</v>
      </c>
      <c r="V40" s="15" t="str">
        <f ca="1">IFERROR(__xludf.DUMMYFUNCTION("GOOGLETRANSLATE(H40, ""ar"", ""en"")"),"Garnish the bean dish with green peppers.")</f>
        <v>Garnish the bean dish with green peppers.</v>
      </c>
      <c r="W40" s="15" t="str">
        <f ca="1">IFERROR(__xludf.DUMMYFUNCTION("GOOGLETRANSLATE(I40, ""ar"", ""en"")"),"This dish is very nutritious for vegetarians.")</f>
        <v>This dish is very nutritious for vegetarians.</v>
      </c>
      <c r="X40" s="15" t="str">
        <f ca="1">IFERROR(__xludf.DUMMYFUNCTION("GOOGLETRANSLATE(J40, ""ar"", ""en"")"),"Images/Fasoulia_Bezit.jpg")</f>
        <v>Images/Fasoulia_Bezit.jpg</v>
      </c>
      <c r="Y40" s="15" t="str">
        <f ca="1">IFERROR(__xludf.DUMMYFUNCTION("GOOGLETRANSLATE(K40, ""ar"", ""en"")"),"#VALUE!")</f>
        <v>#VALUE!</v>
      </c>
      <c r="Z40" s="15" t="str">
        <f ca="1">IFERROR(__xludf.DUMMYFUNCTION("GOOGLETRANSLATE(L40, ""ar"", ""en"")"),"#VALUE!")</f>
        <v>#VALUE!</v>
      </c>
      <c r="AA40" s="15" t="str">
        <f ca="1">IFERROR(__xludf.DUMMYFUNCTION("GOOGLETRANSLATE(M40, ""ar"", ""en"")"),"#VALUE!")</f>
        <v>#VALUE!</v>
      </c>
      <c r="AB40" s="15" t="str">
        <f ca="1">IFERROR(__xludf.DUMMYFUNCTION("GOOGLETRANSLATE(N40, ""ar"", ""en"")"),"#VALUE!")</f>
        <v>#VALUE!</v>
      </c>
      <c r="AC40" s="16" t="str">
        <f t="shared" si="1"/>
        <v>39</v>
      </c>
      <c r="AD40" s="17" t="str">
        <f ca="1">IFERROR(__xludf.DUMMYFUNCTION("GOOGLETRANSLATE(P40, ""en"", ""sv"")"),"Vegetarisk mat")</f>
        <v>Vegetarisk mat</v>
      </c>
      <c r="AE40" s="17" t="str">
        <f ca="1">IFERROR(__xludf.DUMMYFUNCTION("GOOGLETRANSLATE(Q40, ""en"", ""sv"")"),"Bönor i olja")</f>
        <v>Bönor i olja</v>
      </c>
      <c r="AF40" s="17" t="str">
        <f ca="1">IFERROR(__xludf.DUMMYFUNCTION("GOOGLETRANSLATE(R40, ""en"", ""sv"")"),"timme")</f>
        <v>timme</v>
      </c>
      <c r="AG40" s="17" t="str">
        <f ca="1">IFERROR(__xludf.DUMMYFUNCTION("GOOGLETRANSLATE(S40, ""en"", ""sv"")"),"• 1 kg gröna bönor (färska eller frysta)
• 2 msk hackad vitlök
• 1 msk malen koriander
• ½ msk salt
• 1 msk tomatpuré
• 4 medelstora tomater
• 1 kopp olivolja av god kvalitet")</f>
        <v>• 1 kg gröna bönor (färska eller frysta)
• 2 msk hackad vitlök
• 1 msk malen koriander
• ½ msk salt
• 1 msk tomatpuré
• 4 medelstora tomater
• 1 kopp olivolja av god kvalitet</v>
      </c>
      <c r="AH40" s="17" t="str">
        <f ca="1">IFERROR(__xludf.DUMMYFUNCTION("GOOGLETRANSLATE(T40, ""en"", ""sv"")"),"Rengör bönorna om de är färska och skär dem till önskad storlek. Om de är frysta, blötlägg dem omedelbart i kokande vatten. Ta inte ut dem ur frysen i förväg utan lägg dem direkt i det kokande vattnet.
Värm olivolja i en lämplig kastrull. Tillsätt vitlök"&amp;"en och fräs tills den är gyllenbrun. Tillsätt sedan den torkade koriandern och fräs tillsammans med vitlöken i 2-3 minuter. Tillsätt bönorna och fräs i 5 minuter. Tillsätt nu tomatpuré, hackade tomater (inte för stora eller för små), salt och en kopp koka"&amp;"nde vatten. Rör om väl, täck över kastrullen och låt sjuda på låg värme i 30 minuter, eller tills bönorna är mjuka.
")</f>
        <v xml:space="preserve">Rengör bönorna om de är färska och skär dem till önskad storlek. Om de är frysta, blötlägg dem omedelbart i kokande vatten. Ta inte ut dem ur frysen i förväg utan lägg dem direkt i det kokande vattnet.
Värm olivolja i en lämplig kastrull. Tillsätt vitlöken och fräs tills den är gyllenbrun. Tillsätt sedan den torkade koriandern och fräs tillsammans med vitlöken i 2-3 minuter. Tillsätt bönorna och fräs i 5 minuter. Tillsätt nu tomatpuré, hackade tomater (inte för stora eller för små), salt och en kopp kokande vatten. Rör om väl, täck över kastrullen och låt sjuda på låg värme i 30 minuter, eller tills bönorna är mjuka.
</v>
      </c>
      <c r="AI40" s="17" t="str">
        <f ca="1">IFERROR(__xludf.DUMMYFUNCTION("GOOGLETRANSLATE(U40, ""en"", ""sv"")"),"Mängden räcker till 5 personer.")</f>
        <v>Mängden räcker till 5 personer.</v>
      </c>
      <c r="AJ40" s="17" t="str">
        <f ca="1">IFERROR(__xludf.DUMMYFUNCTION("GOOGLETRANSLATE(V40, ""en"", ""sv"")"),"Garnera bönrätten med gröna paprikor.")</f>
        <v>Garnera bönrätten med gröna paprikor.</v>
      </c>
      <c r="AK40" s="17" t="str">
        <f ca="1">IFERROR(__xludf.DUMMYFUNCTION("GOOGLETRANSLATE(W40, ""en"", ""sv"")"),"Denna rätt är mycket näringsrik för vegetarianer.")</f>
        <v>Denna rätt är mycket näringsrik för vegetarianer.</v>
      </c>
      <c r="AL40" s="17" t="str">
        <f ca="1">IFERROR(__xludf.DUMMYFUNCTION("GOOGLETRANSLATE(X40, ""en"", ""sv"")"),"Bilder/Fasoulia_Bezit.jpg")</f>
        <v>Bilder/Fasoulia_Bezit.jpg</v>
      </c>
      <c r="AM40" s="17" t="str">
        <f ca="1">IFERROR(__xludf.DUMMYFUNCTION("GOOGLETRANSLATE(Y40, ""en"", ""sv"")"),"#VALUE!")</f>
        <v>#VALUE!</v>
      </c>
      <c r="AN40" s="17" t="str">
        <f ca="1">IFERROR(__xludf.DUMMYFUNCTION("GOOGLETRANSLATE(Z40, ""en"", ""sv"")"),"#VALUE!")</f>
        <v>#VALUE!</v>
      </c>
      <c r="AO40" s="17" t="str">
        <f ca="1">IFERROR(__xludf.DUMMYFUNCTION("GOOGLETRANSLATE(AA40, ""en"", ""sv"")"),"#VALUE!")</f>
        <v>#VALUE!</v>
      </c>
      <c r="AP40" s="17" t="str">
        <f ca="1">IFERROR(__xludf.DUMMYFUNCTION("GOOGLETRANSLATE(AB40, ""en"", ""sv"")"),"#VALUE!")</f>
        <v>#VALUE!</v>
      </c>
      <c r="AQ40" s="17"/>
    </row>
    <row r="41" spans="1:43" ht="14.25" customHeight="1" x14ac:dyDescent="0.3">
      <c r="A41" s="8" t="s">
        <v>329</v>
      </c>
      <c r="B41" s="38" t="s">
        <v>308</v>
      </c>
      <c r="C41" s="39" t="s">
        <v>330</v>
      </c>
      <c r="D41" s="46"/>
      <c r="E41" s="42" t="s">
        <v>331</v>
      </c>
      <c r="F41" s="35" t="s">
        <v>332</v>
      </c>
      <c r="G41" s="35" t="s">
        <v>319</v>
      </c>
      <c r="H41" s="35" t="s">
        <v>333</v>
      </c>
      <c r="I41" s="35" t="s">
        <v>321</v>
      </c>
      <c r="J41" s="45" t="s">
        <v>334</v>
      </c>
      <c r="K41" s="41"/>
      <c r="L41" s="41"/>
      <c r="M41" s="41"/>
      <c r="N41" s="41"/>
      <c r="O41" s="14" t="str">
        <f t="shared" si="0"/>
        <v>40</v>
      </c>
      <c r="P41" s="15" t="str">
        <f ca="1">IFERROR(__xludf.DUMMYFUNCTION("GOOGLETRANSLATE(B41, ""ar"", ""en"")"),"Vegetarian foods")</f>
        <v>Vegetarian foods</v>
      </c>
      <c r="Q41" s="15" t="str">
        <f ca="1">IFERROR(__xludf.DUMMYFUNCTION("GOOGLETRANSLATE(C41, ""ar"", ""en"")"),"Okra in oil")</f>
        <v>Okra in oil</v>
      </c>
      <c r="R41" s="15" t="str">
        <f ca="1">IFERROR(__xludf.DUMMYFUNCTION("GOOGLETRANSLATE(D41, ""ar"", ""en"")"),"#VALUE!")</f>
        <v>#VALUE!</v>
      </c>
      <c r="S41" s="15" t="str">
        <f ca="1">IFERROR(__xludf.DUMMYFUNCTION("GOOGLETRANSLATE(E41, ""ar"", ""en"")"),"• 1 kg fresh or frozen okra
• 2 tablespoons minced garlic
• 1 tablespoon ground coriander
• ½ tablespoon salt
• 1 tablespoon tomato paste
• 4 medium tomatoes
• 1 cup good quality olive oil")</f>
        <v>• 1 kg fresh or frozen okra
• 2 tablespoons minced garlic
• 1 tablespoon ground coriander
• ½ tablespoon salt
• 1 tablespoon tomato paste
• 4 medium tomatoes
• 1 cup good quality olive oil</v>
      </c>
      <c r="T41" s="15" t="str">
        <f ca="1">IFERROR(__xludf.DUMMYFUNCTION("GOOGLETRANSLATE(F41, ""ar"", ""en"")"),"Clean the okra if it's fresh and cut it into your desired size. If it's frozen, soak it in boiling water immediately. Don't remove it from the freezer beforehand; put it directly into the boiling water.
Heat olive oil in a suitable pot. Add the garlic an"&amp;"d sauté until golden brown. Then add the dried coriander and sauté with the garlic for 2-3 minutes. Add the okra and sauté for 5 minutes. At this point, add the tomato paste, chopped tomatoes (not too large or too small), salt, and a cup of boiling water."&amp;" Stir well, cover the pot, and simmer over low heat for 30 minutes, or until the okra is tender.")</f>
        <v>Clean the okra if it's fresh and cut it into your desired size. If it's frozen, soak it in boiling water immediately. Don't remove it from the freezer beforehand; put it directly into the boiling water.
Heat olive oil in a suitable pot. Add the garlic and sauté until golden brown. Then add the dried coriander and sauté with the garlic for 2-3 minutes. Add the okra and sauté for 5 minutes. At this point, add the tomato paste, chopped tomatoes (not too large or too small), salt, and a cup of boiling water. Stir well, cover the pot, and simmer over low heat for 30 minutes, or until the okra is tender.</v>
      </c>
      <c r="U41" s="15" t="str">
        <f ca="1">IFERROR(__xludf.DUMMYFUNCTION("GOOGLETRANSLATE(G41, ""ar"", ""en"")"),"The quantity is enough for 5 people.")</f>
        <v>The quantity is enough for 5 people.</v>
      </c>
      <c r="V41" s="15" t="str">
        <f ca="1">IFERROR(__xludf.DUMMYFUNCTION("GOOGLETRANSLATE(H41, ""ar"", ""en"")"),"Garnish the okra dish with green peppers.")</f>
        <v>Garnish the okra dish with green peppers.</v>
      </c>
      <c r="W41" s="15" t="str">
        <f ca="1">IFERROR(__xludf.DUMMYFUNCTION("GOOGLETRANSLATE(I41, ""ar"", ""en"")"),"This dish is very nutritious for vegetarians.")</f>
        <v>This dish is very nutritious for vegetarians.</v>
      </c>
      <c r="X41" s="15" t="str">
        <f ca="1">IFERROR(__xludf.DUMMYFUNCTION("GOOGLETRANSLATE(J41, ""ar"", ""en"")"),"Images/Bamia_Bezit.jpg")</f>
        <v>Images/Bamia_Bezit.jpg</v>
      </c>
      <c r="Y41" s="15" t="str">
        <f ca="1">IFERROR(__xludf.DUMMYFUNCTION("GOOGLETRANSLATE(K41, ""ar"", ""en"")"),"#VALUE!")</f>
        <v>#VALUE!</v>
      </c>
      <c r="Z41" s="15" t="str">
        <f ca="1">IFERROR(__xludf.DUMMYFUNCTION("GOOGLETRANSLATE(L41, ""ar"", ""en"")"),"#VALUE!")</f>
        <v>#VALUE!</v>
      </c>
      <c r="AA41" s="15" t="str">
        <f ca="1">IFERROR(__xludf.DUMMYFUNCTION("GOOGLETRANSLATE(M41, ""ar"", ""en"")"),"#VALUE!")</f>
        <v>#VALUE!</v>
      </c>
      <c r="AB41" s="15" t="str">
        <f ca="1">IFERROR(__xludf.DUMMYFUNCTION("GOOGLETRANSLATE(N41, ""ar"", ""en"")"),"#VALUE!")</f>
        <v>#VALUE!</v>
      </c>
      <c r="AC41" s="16" t="str">
        <f t="shared" si="1"/>
        <v>40</v>
      </c>
      <c r="AD41" s="17" t="str">
        <f ca="1">IFERROR(__xludf.DUMMYFUNCTION("GOOGLETRANSLATE(P41, ""en"", ""sv"")"),"Vegetarisk mat")</f>
        <v>Vegetarisk mat</v>
      </c>
      <c r="AE41" s="17" t="str">
        <f ca="1">IFERROR(__xludf.DUMMYFUNCTION("GOOGLETRANSLATE(Q41, ""en"", ""sv"")"),"Okra i olja")</f>
        <v>Okra i olja</v>
      </c>
      <c r="AF41" s="17" t="str">
        <f ca="1">IFERROR(__xludf.DUMMYFUNCTION("GOOGLETRANSLATE(R41, ""en"", ""sv"")"),"#VALUE!")</f>
        <v>#VALUE!</v>
      </c>
      <c r="AG41" s="17" t="str">
        <f ca="1">IFERROR(__xludf.DUMMYFUNCTION("GOOGLETRANSLATE(S41, ""en"", ""sv"")"),"• 1 kg färsk eller fryst okra
• 2 msk hackad vitlök
• 1 msk malen koriander
• ½ msk salt
• 1 msk tomatpuré
• 4 medelstora tomater
• 1 kopp olivolja av god kvalitet")</f>
        <v>• 1 kg färsk eller fryst okra
• 2 msk hackad vitlök
• 1 msk malen koriander
• ½ msk salt
• 1 msk tomatpuré
• 4 medelstora tomater
• 1 kopp olivolja av god kvalitet</v>
      </c>
      <c r="AH41" s="17" t="str">
        <f ca="1">IFERROR(__xludf.DUMMYFUNCTION("GOOGLETRANSLATE(T41, ""en"", ""sv"")"),"Rengör okran om den är färsk och skär den i önskad storlek. Om den är fryst, blötlägg den omedelbart i kokande vatten. Ta inte ut den ur frysen i förväg utan lägg den direkt i det kokande vattnet.
Värm olivolja i en lämplig kastrull. Tillsätt vitlöken oc"&amp;"h fräs tills den är gyllenbrun. Tillsätt sedan den torkade koriandern och fräs tillsammans med vitlöken i 2-3 minuter. Tillsätt okran och fräs i 5 minuter. Tillsätt nu tomatpuré, hackade tomater (inte för stora eller för små), salt och en kopp kokande vat"&amp;"ten. Rör om väl, täck över kastrullen och låt sjuda på låg värme i 30 minuter, eller tills okran är mjuk.")</f>
        <v>Rengör okran om den är färsk och skär den i önskad storlek. Om den är fryst, blötlägg den omedelbart i kokande vatten. Ta inte ut den ur frysen i förväg utan lägg den direkt i det kokande vattnet.
Värm olivolja i en lämplig kastrull. Tillsätt vitlöken och fräs tills den är gyllenbrun. Tillsätt sedan den torkade koriandern och fräs tillsammans med vitlöken i 2-3 minuter. Tillsätt okran och fräs i 5 minuter. Tillsätt nu tomatpuré, hackade tomater (inte för stora eller för små), salt och en kopp kokande vatten. Rör om väl, täck över kastrullen och låt sjuda på låg värme i 30 minuter, eller tills okran är mjuk.</v>
      </c>
      <c r="AI41" s="17" t="str">
        <f ca="1">IFERROR(__xludf.DUMMYFUNCTION("GOOGLETRANSLATE(U41, ""en"", ""sv"")"),"Mängden räcker till 5 personer.")</f>
        <v>Mängden räcker till 5 personer.</v>
      </c>
      <c r="AJ41" s="17" t="str">
        <f ca="1">IFERROR(__xludf.DUMMYFUNCTION("GOOGLETRANSLATE(V41, ""en"", ""sv"")"),"Garnera okrarätten med gröna paprikor.")</f>
        <v>Garnera okrarätten med gröna paprikor.</v>
      </c>
      <c r="AK41" s="17" t="str">
        <f ca="1">IFERROR(__xludf.DUMMYFUNCTION("GOOGLETRANSLATE(W41, ""en"", ""sv"")"),"Denna rätt är mycket näringsrik för vegetarianer.")</f>
        <v>Denna rätt är mycket näringsrik för vegetarianer.</v>
      </c>
      <c r="AL41" s="17" t="str">
        <f ca="1">IFERROR(__xludf.DUMMYFUNCTION("GOOGLETRANSLATE(X41, ""en"", ""sv"")"),"Bilder/Bamia_Bezit.jpg")</f>
        <v>Bilder/Bamia_Bezit.jpg</v>
      </c>
      <c r="AM41" s="17" t="str">
        <f ca="1">IFERROR(__xludf.DUMMYFUNCTION("GOOGLETRANSLATE(Y41, ""en"", ""sv"")"),"#VALUE!")</f>
        <v>#VALUE!</v>
      </c>
      <c r="AN41" s="17" t="str">
        <f ca="1">IFERROR(__xludf.DUMMYFUNCTION("GOOGLETRANSLATE(Z41, ""en"", ""sv"")"),"#VALUE!")</f>
        <v>#VALUE!</v>
      </c>
      <c r="AO41" s="17" t="str">
        <f ca="1">IFERROR(__xludf.DUMMYFUNCTION("GOOGLETRANSLATE(AA41, ""en"", ""sv"")"),"#VALUE!")</f>
        <v>#VALUE!</v>
      </c>
      <c r="AP41" s="17" t="str">
        <f ca="1">IFERROR(__xludf.DUMMYFUNCTION("GOOGLETRANSLATE(AB41, ""en"", ""sv"")"),"#VALUE!")</f>
        <v>#VALUE!</v>
      </c>
      <c r="AQ41" s="17"/>
    </row>
    <row r="42" spans="1:43" ht="14.25" customHeight="1" x14ac:dyDescent="0.3">
      <c r="A42" s="8" t="s">
        <v>335</v>
      </c>
      <c r="B42" s="38" t="s">
        <v>140</v>
      </c>
      <c r="C42" s="39" t="s">
        <v>336</v>
      </c>
      <c r="D42" s="39" t="s">
        <v>161</v>
      </c>
      <c r="E42" s="42" t="s">
        <v>337</v>
      </c>
      <c r="F42" s="35" t="s">
        <v>338</v>
      </c>
      <c r="G42" s="35" t="s">
        <v>290</v>
      </c>
      <c r="H42" s="35" t="s">
        <v>339</v>
      </c>
      <c r="I42" s="35" t="s">
        <v>340</v>
      </c>
      <c r="J42" s="45" t="s">
        <v>341</v>
      </c>
      <c r="K42" s="41"/>
      <c r="L42" s="41"/>
      <c r="M42" s="41"/>
      <c r="N42" s="41"/>
      <c r="O42" s="14" t="str">
        <f t="shared" si="0"/>
        <v>41</v>
      </c>
      <c r="P42" s="15" t="str">
        <f ca="1">IFERROR(__xludf.DUMMYFUNCTION("GOOGLETRANSLATE(B42, ""ar"", ""en"")"),"meat")</f>
        <v>meat</v>
      </c>
      <c r="Q42" s="15" t="str">
        <f ca="1">IFERROR(__xludf.DUMMYFUNCTION("GOOGLETRANSLATE(C42, ""ar"", ""en"")"),"Grilled Aleppo kebab")</f>
        <v>Grilled Aleppo kebab</v>
      </c>
      <c r="R42" s="15" t="str">
        <f ca="1">IFERROR(__xludf.DUMMYFUNCTION("GOOGLETRANSLATE(D42, ""ar"", ""en"")"),"hour")</f>
        <v>hour</v>
      </c>
      <c r="S42" s="15" t="str">
        <f ca="1">IFERROR(__xludf.DUMMYFUNCTION("GOOGLETRANSLATE(E42, ""ar"", ""en"")"),"• 1 kg very finely minced lamb kebab
• 1 tsp salt
• 1 tsp black pepper
• ½ tsp cinnamon")</f>
        <v>• 1 kg very finely minced lamb kebab
• 1 tsp salt
• 1 tsp black pepper
• ½ tsp cinnamon</v>
      </c>
      <c r="T42" s="15" t="str">
        <f ca="1">IFERROR(__xludf.DUMMYFUNCTION("GOOGLETRANSLATE(F42, ""ar"", ""en"")"),"Mix the kebabs with the spices and knead them well in a large tray until thoroughly combined before shaping them onto skewers.
Grill onions, tomatoes, and red and green bell peppers (hot or sweet) alongside them.")</f>
        <v>Mix the kebabs with the spices and knead them well in a large tray until thoroughly combined before shaping them onto skewers.
Grill onions, tomatoes, and red and green bell peppers (hot or sweet) alongside them.</v>
      </c>
      <c r="U42" s="15" t="str">
        <f ca="1">IFERROR(__xludf.DUMMYFUNCTION("GOOGLETRANSLATE(G42, ""ar"", ""en"")"),"The quantity is enough for 4 people.")</f>
        <v>The quantity is enough for 4 people.</v>
      </c>
      <c r="V42" s="15" t="str">
        <f ca="1">IFERROR(__xludf.DUMMYFUNCTION("GOOGLETRANSLATE(H42, ""ar"", ""en"")"),"Prepare a dish of onions and parsley, sprinkle with finely chopped red pepper and sumac, and spread it under the kebabs.")</f>
        <v>Prepare a dish of onions and parsley, sprinkle with finely chopped red pepper and sumac, and spread it under the kebabs.</v>
      </c>
      <c r="W42" s="15" t="str">
        <f ca="1">IFERROR(__xludf.DUMMYFUNCTION("GOOGLETRANSLATE(I42, ""ar"", ""en"")"),"Don't be surprised how the people of Aleppo eat kebabs without a lot of spices; you will be surprised by the distinctive taste of this mixture.")</f>
        <v>Don't be surprised how the people of Aleppo eat kebabs without a lot of spices; you will be surprised by the distinctive taste of this mixture.</v>
      </c>
      <c r="X42" s="15" t="str">
        <f ca="1">IFERROR(__xludf.DUMMYFUNCTION("GOOGLETRANSLATE(J42, ""ar"", ""en"")"),"Images/Kabab_Halabi.jpg")</f>
        <v>Images/Kabab_Halabi.jpg</v>
      </c>
      <c r="Y42" s="15" t="str">
        <f ca="1">IFERROR(__xludf.DUMMYFUNCTION("GOOGLETRANSLATE(K42, ""ar"", ""en"")"),"#VALUE!")</f>
        <v>#VALUE!</v>
      </c>
      <c r="Z42" s="15" t="str">
        <f ca="1">IFERROR(__xludf.DUMMYFUNCTION("GOOGLETRANSLATE(L42, ""ar"", ""en"")"),"#VALUE!")</f>
        <v>#VALUE!</v>
      </c>
      <c r="AA42" s="15" t="str">
        <f ca="1">IFERROR(__xludf.DUMMYFUNCTION("GOOGLETRANSLATE(M42, ""ar"", ""en"")"),"#VALUE!")</f>
        <v>#VALUE!</v>
      </c>
      <c r="AB42" s="15" t="str">
        <f ca="1">IFERROR(__xludf.DUMMYFUNCTION("GOOGLETRANSLATE(N42, ""ar"", ""en"")"),"#VALUE!")</f>
        <v>#VALUE!</v>
      </c>
      <c r="AC42" s="16" t="str">
        <f t="shared" si="1"/>
        <v>41</v>
      </c>
      <c r="AD42" s="17" t="str">
        <f ca="1">IFERROR(__xludf.DUMMYFUNCTION("GOOGLETRANSLATE(P42, ""en"", ""sv"")"),"kött")</f>
        <v>kött</v>
      </c>
      <c r="AE42" s="17" t="str">
        <f ca="1">IFERROR(__xludf.DUMMYFUNCTION("GOOGLETRANSLATE(Q42, ""en"", ""sv"")"),"Grillad Aleppo-kebab")</f>
        <v>Grillad Aleppo-kebab</v>
      </c>
      <c r="AF42" s="17" t="str">
        <f ca="1">IFERROR(__xludf.DUMMYFUNCTION("GOOGLETRANSLATE(R42, ""en"", ""sv"")"),"timme")</f>
        <v>timme</v>
      </c>
      <c r="AG42" s="17" t="str">
        <f ca="1">IFERROR(__xludf.DUMMYFUNCTION("GOOGLETRANSLATE(S42, ""en"", ""sv"")"),"• 1 kg mycket finhackat lammkebab
• 1 tsk salt
• 1 tsk svartpeppar
• ½ tsk kanel")</f>
        <v>• 1 kg mycket finhackat lammkebab
• 1 tsk salt
• 1 tsk svartpeppar
• ½ tsk kanel</v>
      </c>
      <c r="AH42" s="17" t="str">
        <f ca="1">IFERROR(__xludf.DUMMYFUNCTION("GOOGLETRANSLATE(T42, ""en"", ""sv"")"),"Blanda kebaben med kryddorna och knåda dem väl i en stor form tills de är ordentligt blandade innan du formar dem på spett.
Grilla lök, tomater och röd och grön paprika (stark eller söt) bredvid dem.")</f>
        <v>Blanda kebaben med kryddorna och knåda dem väl i en stor form tills de är ordentligt blandade innan du formar dem på spett.
Grilla lök, tomater och röd och grön paprika (stark eller söt) bredvid dem.</v>
      </c>
      <c r="AI42" s="17" t="str">
        <f ca="1">IFERROR(__xludf.DUMMYFUNCTION("GOOGLETRANSLATE(U42, ""en"", ""sv"")"),"Mängden räcker till 4 personer.")</f>
        <v>Mängden räcker till 4 personer.</v>
      </c>
      <c r="AJ42" s="17" t="str">
        <f ca="1">IFERROR(__xludf.DUMMYFUNCTION("GOOGLETRANSLATE(V42, ""en"", ""sv"")"),"Förbered en rätt med lök och persilja, strö över finhackad röd paprika och sumak och bred ut det under kebaben.")</f>
        <v>Förbered en rätt med lök och persilja, strö över finhackad röd paprika och sumak och bred ut det under kebaben.</v>
      </c>
      <c r="AK42" s="17" t="str">
        <f ca="1">IFERROR(__xludf.DUMMYFUNCTION("GOOGLETRANSLATE(W42, ""en"", ""sv"")"),"Bli inte förvånad över hur invånarna i Aleppo äter kebab utan mycket kryddor; du kommer att bli förvånad över den distinkta smaken av denna blandning.")</f>
        <v>Bli inte förvånad över hur invånarna i Aleppo äter kebab utan mycket kryddor; du kommer att bli förvånad över den distinkta smaken av denna blandning.</v>
      </c>
      <c r="AL42" s="17" t="str">
        <f ca="1">IFERROR(__xludf.DUMMYFUNCTION("GOOGLETRANSLATE(X42, ""en"", ""sv"")"),"Bilder/Kabab_Halabi.jpg")</f>
        <v>Bilder/Kabab_Halabi.jpg</v>
      </c>
      <c r="AM42" s="17" t="str">
        <f ca="1">IFERROR(__xludf.DUMMYFUNCTION("GOOGLETRANSLATE(Y42, ""en"", ""sv"")"),"#VALUE!")</f>
        <v>#VALUE!</v>
      </c>
      <c r="AN42" s="17" t="str">
        <f ca="1">IFERROR(__xludf.DUMMYFUNCTION("GOOGLETRANSLATE(Z42, ""en"", ""sv"")"),"#VALUE!")</f>
        <v>#VALUE!</v>
      </c>
      <c r="AO42" s="17" t="str">
        <f ca="1">IFERROR(__xludf.DUMMYFUNCTION("GOOGLETRANSLATE(AA42, ""en"", ""sv"")"),"#VALUE!")</f>
        <v>#VALUE!</v>
      </c>
      <c r="AP42" s="17" t="str">
        <f ca="1">IFERROR(__xludf.DUMMYFUNCTION("GOOGLETRANSLATE(AB42, ""en"", ""sv"")"),"#VALUE!")</f>
        <v>#VALUE!</v>
      </c>
      <c r="AQ42" s="17"/>
    </row>
    <row r="43" spans="1:43" ht="14.25" customHeight="1" x14ac:dyDescent="0.3">
      <c r="A43" s="8" t="s">
        <v>342</v>
      </c>
      <c r="B43" s="38" t="s">
        <v>343</v>
      </c>
      <c r="C43" s="39" t="s">
        <v>344</v>
      </c>
      <c r="D43" s="39" t="s">
        <v>31</v>
      </c>
      <c r="E43" s="42" t="s">
        <v>345</v>
      </c>
      <c r="F43" s="35" t="s">
        <v>346</v>
      </c>
      <c r="G43" s="35" t="s">
        <v>290</v>
      </c>
      <c r="H43" s="35" t="s">
        <v>347</v>
      </c>
      <c r="I43" s="35" t="s">
        <v>348</v>
      </c>
      <c r="J43" s="45" t="s">
        <v>349</v>
      </c>
      <c r="K43" s="41"/>
      <c r="L43" s="41"/>
      <c r="M43" s="41"/>
      <c r="N43" s="41"/>
      <c r="O43" s="14" t="str">
        <f t="shared" si="0"/>
        <v>42</v>
      </c>
      <c r="P43" s="15" t="str">
        <f ca="1">IFERROR(__xludf.DUMMYFUNCTION("GOOGLETRANSLATE(B43, ""ar"", ""en"")"),"pastries")</f>
        <v>pastries</v>
      </c>
      <c r="Q43" s="15" t="str">
        <f ca="1">IFERROR(__xludf.DUMMYFUNCTION("GOOGLETRANSLATE(C43, ""ar"", ""en"")"),"The nightingale's nest")</f>
        <v>The nightingale's nest</v>
      </c>
      <c r="R43" s="15" t="str">
        <f ca="1">IFERROR(__xludf.DUMMYFUNCTION("GOOGLETRANSLATE(D43, ""ar"", ""en"")"),"3 hours")</f>
        <v>3 hours</v>
      </c>
      <c r="S43" s="15" t="str">
        <f ca="1">IFERROR(__xludf.DUMMYFUNCTION("GOOGLETRANSLATE(E43, ""ar"", ""en"")"),"Dough Ingredients for Layering:
• 3 cups flour
• 2 tablespoons room temperature yogurt
• 1 1/4 cups warm water, added gradually as the yogurt will also provide moisture.
• 2 tablespoons vegetable oil
• 1 teaspoon sugar
• 1/2 teaspoon salt
• Ghee (c"&amp;"larified butter) is best for the ""bird's nest"" pastry, or sheep ghee for brushing and layering.
Meat Filling Ingredients:
• 1 kg very finely ground lamb, at least 30% fat.
• 2 small onions, very finely chopped (they can be chopped with the meat at th"&amp;"e butcher's office; this is optional, as onions are not traditionally associated with Aleppo cuisine and impart a similar flavor to the meat pies, but some prefer them).
• 1/2 cup pomegranate molasses (thick and tangy).
• 1/2 tablespoon salt
• 1 teaspoon"&amp;" seven-spice mix
• 1 teaspoon black pepper
• 200 grams toasted pine nuts")</f>
        <v>Dough Ingredients for Layering:
• 3 cups flour
• 2 tablespoons room temperature yogurt
• 1 1/4 cups warm water, added gradually as the yogurt will also provide moisture.
• 2 tablespoons vegetable oil
• 1 teaspoon sugar
• 1/2 teaspoon salt
• Ghee (clarified butter) is best for the "bird's nest" pastry, or sheep ghee for brushing and layering.
Meat Filling Ingredients:
• 1 kg very finely ground lamb, at least 30% fat.
• 2 small onions, very finely chopped (they can be chopped with the meat at the butcher's office; this is optional, as onions are not traditionally associated with Aleppo cuisine and impart a similar flavor to the meat pies, but some prefer them).
• 1/2 cup pomegranate molasses (thick and tangy).
• 1/2 tablespoon salt
• 1 teaspoon seven-spice mix
• 1 teaspoon black pepper
• 200 grams toasted pine nuts</v>
      </c>
      <c r="T43" s="15" t="str">
        <f ca="1">IFERROR(__xludf.DUMMYFUNCTION("GOOGLETRANSLATE(F43, ""ar"", ""en"")"),"Dough Preparation Method: Place the yogurt, water, salt, sugar, and vegetable oil in a plastic bowl. Wearing kitchen gloves, mix well. Add the flour one cup at a time, not all at once, kneading until each cup is fully incorporated. After adding all the fl"&amp;"our, if the dough is still thick and stiff, making it difficult to roll out after fermentation, gradually add a quarter cup of water and knead until you obtain a smooth, pliable dough.
Leave the dough in a plastic bag, covered with a towel or something t"&amp;"o protect it from light, overnight. This will greatly help the dough to rise and become more manageable.
Leave the dough in a plastic bag, wrapped with a towel, to protect it from light and allow the yogurt to ferment naturally.
To make the layered past"&amp;"ry, cut the dough into 4 equal pieces. Roll each piece out and spread a layer of room-temperature ghee over it. Fold the other side of the dough over the ghee and roll it out with a rolling pin until it's three times its original size. Repeat this process"&amp;", spreading ghee over the newly rolled-out layer and folding the dough over at least 10 times.
Place the piece on a plastic bag and cover it. Repeat this process with the remaining pieces, stacking them on top of each other with plastic wrap between them"&amp;". Let them rest for two hours.
The next day, melt the ghee in a deep bowl. Cut the dough into small pieces, the size of which should generally not exceed 7 cm, but up to a maximum of 10 cm. Dip the pieces in the melted ghee and arrange them on a tray. Co"&amp;"ver the pieces with plastic wrap, then a towel, and let them rest for at least two hours.
Roll out each piece individually and shape it into an even circle. Arrange them in a baking tray. Place two tablespoons of the filling on each circle and spread it "&amp;"slightly with a spoon. Once the tray is full, press down on the circles with another baking tray from above to distribute the meat and ensure it adheres completely to the dough.
The oven should be preheated to its highest setting, both top and bottom. Pl"&amp;"ace the tray on the lowest rack and bake for approximately 15 minutes, or until the ""bird's nest"" pastries are golden brown and crispy.
Meat Preparation:
Mix all the meat ingredients in a bowl and knead well to distribute the spices, pomegranate molass"&amp;"es, and onion until the mixture is cohesive. Place a ping-pong ball-sized amount of the filling on each pastry circle and spread it to cover the surface of the prepared dough circle.
")</f>
        <v xml:space="preserve">Dough Preparation Method: Place the yogurt, water, salt, sugar, and vegetable oil in a plastic bowl. Wearing kitchen gloves, mix well. Add the flour one cup at a time, not all at once, kneading until each cup is fully incorporated. After adding all the flour, if the dough is still thick and stiff, making it difficult to roll out after fermentation, gradually add a quarter cup of water and knead until you obtain a smooth, pliable dough.
Leave the dough in a plastic bag, covered with a towel or something to protect it from light, overnight. This will greatly help the dough to rise and become more manageable.
Leave the dough in a plastic bag, wrapped with a towel, to protect it from light and allow the yogurt to ferment naturally.
To make the layered pastry, cut the dough into 4 equal pieces. Roll each piece out and spread a layer of room-temperature ghee over it. Fold the other side of the dough over the ghee and roll it out with a rolling pin until it's three times its original size. Repeat this process, spreading ghee over the newly rolled-out layer and folding the dough over at least 10 times.
Place the piece on a plastic bag and cover it. Repeat this process with the remaining pieces, stacking them on top of each other with plastic wrap between them. Let them rest for two hours.
The next day, melt the ghee in a deep bowl. Cut the dough into small pieces, the size of which should generally not exceed 7 cm, but up to a maximum of 10 cm. Dip the pieces in the melted ghee and arrange them on a tray. Cover the pieces with plastic wrap, then a towel, and let them rest for at least two hours.
Roll out each piece individually and shape it into an even circle. Arrange them in a baking tray. Place two tablespoons of the filling on each circle and spread it slightly with a spoon. Once the tray is full, press down on the circles with another baking tray from above to distribute the meat and ensure it adheres completely to the dough.
The oven should be preheated to its highest setting, both top and bottom. Place the tray on the lowest rack and bake for approximately 15 minutes, or until the "bird's nest" pastries are golden brown and crispy.
Meat Preparation:
Mix all the meat ingredients in a bowl and knead well to distribute the spices, pomegranate molasses, and onion until the mixture is cohesive. Place a ping-pong ball-sized amount of the filling on each pastry circle and spread it to cover the surface of the prepared dough circle.
</v>
      </c>
      <c r="U43" s="15" t="str">
        <f ca="1">IFERROR(__xludf.DUMMYFUNCTION("GOOGLETRANSLATE(G43, ""ar"", ""en"")"),"The quantity is enough for 4 people.")</f>
        <v>The quantity is enough for 4 people.</v>
      </c>
      <c r="V43" s="15" t="str">
        <f ca="1">IFERROR(__xludf.DUMMYFUNCTION("GOOGLETRANSLATE(H43, ""ar"", ""en"")"),"Line a serving dish with lettuce, cucumber, and tomato, then arrange the bird's nest in the center.
You can also prepare a cucumber and yogurt dish or ayran (a yogurt drink). Bird's nest generally pairs well with vegetables such as watercress, green onio"&amp;"ns, and hot green peppers.")</f>
        <v>Line a serving dish with lettuce, cucumber, and tomato, then arrange the bird's nest in the center.
You can also prepare a cucumber and yogurt dish or ayran (a yogurt drink). Bird's nest generally pairs well with vegetables such as watercress, green onions, and hot green peppers.</v>
      </c>
      <c r="W43" s="15" t="str">
        <f ca="1">IFERROR(__xludf.DUMMYFUNCTION("GOOGLETRANSLATE(I43, ""ar"", ""en"")"),"You can use ready-made phyllo dough or baklava from the market, but it cannot give you the same result as homemade puff pastry dough made by hand. Try both and decide for the future of the bird's nest.")</f>
        <v>You can use ready-made phyllo dough or baklava from the market, but it cannot give you the same result as homemade puff pastry dough made by hand. Try both and decide for the future of the bird's nest.</v>
      </c>
      <c r="X43" s="15" t="str">
        <f ca="1">IFERROR(__xludf.DUMMYFUNCTION("GOOGLETRANSLATE(J43, ""ar"", ""en"")"),"Images/Esh_Elbulbul.jpg")</f>
        <v>Images/Esh_Elbulbul.jpg</v>
      </c>
      <c r="Y43" s="15" t="str">
        <f ca="1">IFERROR(__xludf.DUMMYFUNCTION("GOOGLETRANSLATE(K43, ""ar"", ""en"")"),"#VALUE!")</f>
        <v>#VALUE!</v>
      </c>
      <c r="Z43" s="15" t="str">
        <f ca="1">IFERROR(__xludf.DUMMYFUNCTION("GOOGLETRANSLATE(L43, ""ar"", ""en"")"),"#VALUE!")</f>
        <v>#VALUE!</v>
      </c>
      <c r="AA43" s="15" t="str">
        <f ca="1">IFERROR(__xludf.DUMMYFUNCTION("GOOGLETRANSLATE(M43, ""ar"", ""en"")"),"#VALUE!")</f>
        <v>#VALUE!</v>
      </c>
      <c r="AB43" s="15" t="str">
        <f ca="1">IFERROR(__xludf.DUMMYFUNCTION("GOOGLETRANSLATE(N43, ""ar"", ""en"")"),"#VALUE!")</f>
        <v>#VALUE!</v>
      </c>
      <c r="AC43" s="16" t="str">
        <f t="shared" si="1"/>
        <v>42</v>
      </c>
      <c r="AD43" s="17" t="str">
        <f ca="1">IFERROR(__xludf.DUMMYFUNCTION("GOOGLETRANSLATE(P43, ""en"", ""sv"")"),"bakverk")</f>
        <v>bakverk</v>
      </c>
      <c r="AE43" s="17" t="str">
        <f ca="1">IFERROR(__xludf.DUMMYFUNCTION("GOOGLETRANSLATE(Q43, ""en"", ""sv"")"),"Näktergalens bo")</f>
        <v>Näktergalens bo</v>
      </c>
      <c r="AF43" s="17" t="str">
        <f ca="1">IFERROR(__xludf.DUMMYFUNCTION("GOOGLETRANSLATE(R43, ""en"", ""sv"")"),"3 timmar")</f>
        <v>3 timmar</v>
      </c>
      <c r="AG43" s="17" t="str">
        <f ca="1">IFERROR(__xludf.DUMMYFUNCTION("GOOGLETRANSLATE(S43, ""en"", ""sv"")"),"Ingredienser för deglagning:
• 7,5 dl mjöl
• 2 msk rumstempererad yoghurt
• 3,5 dl varmt vatten, tillsätt gradvis eftersom yoghurten också ger fukt.
• 2 msk vegetabilisk olja
• 1 tsk socker
• 1,5 tsk salt
• Ghee (klarat smör) passar bäst till ""fåg"&amp;"elbo""-degen, eller fårghee till pensling och lager.
Ingredienser för köttfyllning:
• 1 kg mycket finmalet lammkött, minst 30 % fett.
• 2 små lökar, mycket finhackade (de kan hackas med köttet på slaktaren; detta är valfritt, eftersom lök inte traditio"&amp;"nellt förknippas med Aleppo-köket och ger en liknande smak till köttpajerna, men vissa föredrar dem).
• 1,5 dl granatäpplemelass (tjock och syrlig).
• 1/2 matsked salt
• 1 tsk sjukryddsmix
• 1 tsk svartpeppar
• 200 gram rostade pinjenötter")</f>
        <v>Ingredienser för deglagning:
• 7,5 dl mjöl
• 2 msk rumstempererad yoghurt
• 3,5 dl varmt vatten, tillsätt gradvis eftersom yoghurten också ger fukt.
• 2 msk vegetabilisk olja
• 1 tsk socker
• 1,5 tsk salt
• Ghee (klarat smör) passar bäst till "fågelbo"-degen, eller fårghee till pensling och lager.
Ingredienser för köttfyllning:
• 1 kg mycket finmalet lammkött, minst 30 % fett.
• 2 små lökar, mycket finhackade (de kan hackas med köttet på slaktaren; detta är valfritt, eftersom lök inte traditionellt förknippas med Aleppo-köket och ger en liknande smak till köttpajerna, men vissa föredrar dem).
• 1,5 dl granatäpplemelass (tjock och syrlig).
• 1/2 matsked salt
• 1 tsk sjukryddsmix
• 1 tsk svartpeppar
• 200 gram rostade pinjenötter</v>
      </c>
      <c r="AH43" s="17" t="str">
        <f ca="1">IFERROR(__xludf.DUMMYFUNCTION("GOOGLETRANSLATE(T43, ""en"", ""sv"")"),"Metod för degberedning: Lägg yoghurt, vatten, salt, socker och vegetabilisk olja i en plastskål. Använd kökshandskar och blanda väl. Tillsätt mjölet en kopp i taget, inte allt på en gång, och knåda tills varje kopp är helt blandad. Om degen fortfarande är"&amp;" tjock och styv efter att du har tillsatt allt mjöl, vilket gör den svår att kavla ut efter jäsningen, tillsätt gradvis en kvarts kopp vatten och knåda tills du får en slät och smidig deg.
Låt degen jäsa i en plastpåse, täckt med en handduk eller något a"&amp;"nnat för att skydda den från ljus, över natten. Detta kommer att hjälpa degen att jäsa och bli mer hanterbar.
Låt degen jäsa i en plastpåse, inlindad i en handduk, för att skydda den från ljus och låta yoghurten jäsa naturligt.
För att göra den lagervis"&amp;"a degbiten, skär degen i fyra lika stora bitar. Kavla ut varje bit och bred ett lager rumstempererad ghee över den. Vik den andra sidan av degen över gheen och kavla ut den med en kavel tills den är tre gånger sin ursprungliga storlek. Upprepa processen, "&amp;"bred ut ghee över det nyutkavlade lagret och vik degen minst 10 gånger.
Lägg biten på en plastpåse och täck över den. Upprepa processen med de återstående bitarna och lägg dem ovanpå varandra med plastfolie mellan dem. Låt dem vila i två timmar.
Nästa d"&amp;"ag, smält gheen i en djup skål. Skär degen i små bitar, vars storlek i allmänhet inte bör överstiga 7 cm, men upp till maximalt 10 cm. Doppa bitarna i den smälta gheen och lägg dem på en plåt. Täck bitarna med plastfolie, sedan en handduk och låt dem vila"&amp;" i minst två timmar.
Kavla ut varje bit individuellt och forma den till en jämn cirkel. Lägg dem på en bakplåt. Lägg två matskedar av fyllningen på varje cirkel och bred ut den lätt med en sked. När plåten är full, tryck ner cirklarna med en annan bakplå"&amp;"t uppifrån för att fördela köttet och se till att det fäster helt på degen.
Ugnen ska vara förvärmd till högsta inställning, både upptill och nedtill. Placera plåten på det nedersta gallret och grädda i cirka 15 minuter, eller tills ""fågelboet""-bakverk"&amp;"en är gyllenbruna och krispiga.
Köttberedning:
Blanda alla köttingredienser i en skål och knåda väl för att fördela kryddorna, granatäpplemelassen och löken tills blandningen är sammanhängande. Lägg en pingisbollstor mängd av fyllningen på varje degcirke"&amp;"l och bred ut den så att den täcker ytan av den förberedda degcirkeln.
")</f>
        <v xml:space="preserve">Metod för degberedning: Lägg yoghurt, vatten, salt, socker och vegetabilisk olja i en plastskål. Använd kökshandskar och blanda väl. Tillsätt mjölet en kopp i taget, inte allt på en gång, och knåda tills varje kopp är helt blandad. Om degen fortfarande är tjock och styv efter att du har tillsatt allt mjöl, vilket gör den svår att kavla ut efter jäsningen, tillsätt gradvis en kvarts kopp vatten och knåda tills du får en slät och smidig deg.
Låt degen jäsa i en plastpåse, täckt med en handduk eller något annat för att skydda den från ljus, över natten. Detta kommer att hjälpa degen att jäsa och bli mer hanterbar.
Låt degen jäsa i en plastpåse, inlindad i en handduk, för att skydda den från ljus och låta yoghurten jäsa naturligt.
För att göra den lagervisa degbiten, skär degen i fyra lika stora bitar. Kavla ut varje bit och bred ett lager rumstempererad ghee över den. Vik den andra sidan av degen över gheen och kavla ut den med en kavel tills den är tre gånger sin ursprungliga storlek. Upprepa processen, bred ut ghee över det nyutkavlade lagret och vik degen minst 10 gånger.
Lägg biten på en plastpåse och täck över den. Upprepa processen med de återstående bitarna och lägg dem ovanpå varandra med plastfolie mellan dem. Låt dem vila i två timmar.
Nästa dag, smält gheen i en djup skål. Skär degen i små bitar, vars storlek i allmänhet inte bör överstiga 7 cm, men upp till maximalt 10 cm. Doppa bitarna i den smälta gheen och lägg dem på en plåt. Täck bitarna med plastfolie, sedan en handduk och låt dem vila i minst två timmar.
Kavla ut varje bit individuellt och forma den till en jämn cirkel. Lägg dem på en bakplåt. Lägg två matskedar av fyllningen på varje cirkel och bred ut den lätt med en sked. När plåten är full, tryck ner cirklarna med en annan bakplåt uppifrån för att fördela köttet och se till att det fäster helt på degen.
Ugnen ska vara förvärmd till högsta inställning, både upptill och nedtill. Placera plåten på det nedersta gallret och grädda i cirka 15 minuter, eller tills "fågelboet"-bakverken är gyllenbruna och krispiga.
Köttberedning:
Blanda alla köttingredienser i en skål och knåda väl för att fördela kryddorna, granatäpplemelassen och löken tills blandningen är sammanhängande. Lägg en pingisbollstor mängd av fyllningen på varje degcirkel och bred ut den så att den täcker ytan av den förberedda degcirkeln.
</v>
      </c>
      <c r="AI43" s="17" t="str">
        <f ca="1">IFERROR(__xludf.DUMMYFUNCTION("GOOGLETRANSLATE(U43, ""en"", ""sv"")"),"Mängden räcker till 4 personer.")</f>
        <v>Mängden räcker till 4 personer.</v>
      </c>
      <c r="AJ43" s="17" t="str">
        <f ca="1">IFERROR(__xludf.DUMMYFUNCTION("GOOGLETRANSLATE(V43, ""en"", ""sv"")"),"Klä en serveringsskål med sallad, gurka och tomat och placera sedan fågelboet i mitten.
Du kan också förbereda en gurka- och yoghurträtt eller ayran (en yoghurtdryck). Fågelbo passar generellt bra ihop med grönsaker som vattenkrasse, salladslök och stark"&amp;" grön paprika.")</f>
        <v>Klä en serveringsskål med sallad, gurka och tomat och placera sedan fågelboet i mitten.
Du kan också förbereda en gurka- och yoghurträtt eller ayran (en yoghurtdryck). Fågelbo passar generellt bra ihop med grönsaker som vattenkrasse, salladslök och stark grön paprika.</v>
      </c>
      <c r="AK43" s="17" t="str">
        <f ca="1">IFERROR(__xludf.DUMMYFUNCTION("GOOGLETRANSLATE(W43, ""en"", ""sv"")"),"Du kan använda färdig filodeg eller baklava från marknaden, men det kan inte ge samma resultat som hemlagad smördeg gjord för hand. Prova båda och bestäm dig för fågelboets framtid.")</f>
        <v>Du kan använda färdig filodeg eller baklava från marknaden, men det kan inte ge samma resultat som hemlagad smördeg gjord för hand. Prova båda och bestäm dig för fågelboets framtid.</v>
      </c>
      <c r="AL43" s="17" t="str">
        <f ca="1">IFERROR(__xludf.DUMMYFUNCTION("GOOGLETRANSLATE(X43, ""en"", ""sv"")"),"Bilder/Esh_Elbulbul.jpg")</f>
        <v>Bilder/Esh_Elbulbul.jpg</v>
      </c>
      <c r="AM43" s="17" t="str">
        <f ca="1">IFERROR(__xludf.DUMMYFUNCTION("GOOGLETRANSLATE(Y43, ""en"", ""sv"")"),"#VALUE!")</f>
        <v>#VALUE!</v>
      </c>
      <c r="AN43" s="17" t="str">
        <f ca="1">IFERROR(__xludf.DUMMYFUNCTION("GOOGLETRANSLATE(Z43, ""en"", ""sv"")"),"#VALUE!")</f>
        <v>#VALUE!</v>
      </c>
      <c r="AO43" s="17" t="str">
        <f ca="1">IFERROR(__xludf.DUMMYFUNCTION("GOOGLETRANSLATE(AA43, ""en"", ""sv"")"),"#VALUE!")</f>
        <v>#VALUE!</v>
      </c>
      <c r="AP43" s="17" t="str">
        <f ca="1">IFERROR(__xludf.DUMMYFUNCTION("GOOGLETRANSLATE(AB43, ""en"", ""sv"")"),"#VALUE!")</f>
        <v>#VALUE!</v>
      </c>
      <c r="AQ43" s="17"/>
    </row>
    <row r="44" spans="1:43" ht="14.25" customHeight="1" x14ac:dyDescent="0.3">
      <c r="A44" s="8" t="s">
        <v>350</v>
      </c>
      <c r="B44" s="38" t="s">
        <v>343</v>
      </c>
      <c r="C44" s="39" t="s">
        <v>351</v>
      </c>
      <c r="D44" s="39" t="s">
        <v>31</v>
      </c>
      <c r="E44" s="42" t="s">
        <v>352</v>
      </c>
      <c r="F44" s="35" t="s">
        <v>353</v>
      </c>
      <c r="G44" s="35" t="s">
        <v>290</v>
      </c>
      <c r="H44" s="35" t="s">
        <v>347</v>
      </c>
      <c r="I44" s="35" t="s">
        <v>348</v>
      </c>
      <c r="J44" s="45" t="s">
        <v>354</v>
      </c>
      <c r="K44" s="41"/>
      <c r="L44" s="41"/>
      <c r="M44" s="41"/>
      <c r="N44" s="41"/>
      <c r="O44" s="14" t="str">
        <f t="shared" si="0"/>
        <v>43</v>
      </c>
      <c r="P44" s="15" t="str">
        <f ca="1">IFERROR(__xludf.DUMMYFUNCTION("GOOGLETRANSLATE(B44, ""ar"", ""en"")"),"pastries")</f>
        <v>pastries</v>
      </c>
      <c r="Q44" s="15" t="str">
        <f ca="1">IFERROR(__xludf.DUMMYFUNCTION("GOOGLETRANSLATE(C44, ""ar"", ""en"")"),"Antep Nightingale's Nest (Red)")</f>
        <v>Antep Nightingale's Nest (Red)</v>
      </c>
      <c r="R44" s="15" t="str">
        <f ca="1">IFERROR(__xludf.DUMMYFUNCTION("GOOGLETRANSLATE(D44, ""ar"", ""en"")"),"3 hours")</f>
        <v>3 hours</v>
      </c>
      <c r="S44" s="15" t="str">
        <f ca="1">IFERROR(__xludf.DUMMYFUNCTION("GOOGLETRANSLATE(E44, ""ar"", ""en"")"),"• 1 kg 30% fat lamb, finely minced
• 2 tomatoes
• 1/2 bunch parsley (approximately 100 g)
• 2 tablespoons red pepper paste
• 1/2 bunch fresh mint (approximately 50 g)
• 2 small onions, finely chopped
• 2 tablespoons tomato paste
• 1 teaspoon salt
• 1/2 te"&amp;"aspoon black pepper
• 1/2 teaspoon seven-spice mix")</f>
        <v>• 1 kg 30% fat lamb, finely minced
• 2 tomatoes
• 1/2 bunch parsley (approximately 100 g)
• 2 tablespoons red pepper paste
• 1/2 bunch fresh mint (approximately 50 g)
• 2 small onions, finely chopped
• 2 tablespoons tomato paste
• 1 teaspoon salt
• 1/2 teaspoon black pepper
• 1/2 teaspoon seven-spice mix</v>
      </c>
      <c r="T44" s="15" t="str">
        <f ca="1">IFERROR(__xludf.DUMMYFUNCTION("GOOGLETRANSLATE(F44, ""ar"", ""en"")"),"The dough is the same as the dough for the bird's nest with pomegranate molasses, but as for mixing the meat, put all the ingredients in the minced meat on the smooth side all at once.")</f>
        <v>The dough is the same as the dough for the bird's nest with pomegranate molasses, but as for mixing the meat, put all the ingredients in the minced meat on the smooth side all at once.</v>
      </c>
      <c r="U44" s="15" t="str">
        <f ca="1">IFERROR(__xludf.DUMMYFUNCTION("GOOGLETRANSLATE(G44, ""ar"", ""en"")"),"The quantity is enough for 4 people.")</f>
        <v>The quantity is enough for 4 people.</v>
      </c>
      <c r="V44" s="15" t="str">
        <f ca="1">IFERROR(__xludf.DUMMYFUNCTION("GOOGLETRANSLATE(H44, ""ar"", ""en"")"),"Line a serving dish with lettuce, cucumber, and tomato, then arrange the bird's nest in the center.
You can also prepare a cucumber and yogurt dish or ayran (a yogurt drink). Bird's nest generally pairs well with vegetables such as watercress, green onio"&amp;"ns, and hot green peppers.")</f>
        <v>Line a serving dish with lettuce, cucumber, and tomato, then arrange the bird's nest in the center.
You can also prepare a cucumber and yogurt dish or ayran (a yogurt drink). Bird's nest generally pairs well with vegetables such as watercress, green onions, and hot green peppers.</v>
      </c>
      <c r="W44" s="15" t="str">
        <f ca="1">IFERROR(__xludf.DUMMYFUNCTION("GOOGLETRANSLATE(I44, ""ar"", ""en"")"),"You can use ready-made phyllo dough or baklava from the market, but it cannot give you the same result as homemade puff pastry dough made by hand. Try both and decide for the future of the bird's nest.")</f>
        <v>You can use ready-made phyllo dough or baklava from the market, but it cannot give you the same result as homemade puff pastry dough made by hand. Try both and decide for the future of the bird's nest.</v>
      </c>
      <c r="X44" s="15" t="str">
        <f ca="1">IFERROR(__xludf.DUMMYFUNCTION("GOOGLETRANSLATE(J44, ""ar"", ""en"")"),"Images/Esh_Elbulbul_Entabi.jpg")</f>
        <v>Images/Esh_Elbulbul_Entabi.jpg</v>
      </c>
      <c r="Y44" s="15" t="str">
        <f ca="1">IFERROR(__xludf.DUMMYFUNCTION("GOOGLETRANSLATE(K44, ""ar"", ""en"")"),"#VALUE!")</f>
        <v>#VALUE!</v>
      </c>
      <c r="Z44" s="15" t="str">
        <f ca="1">IFERROR(__xludf.DUMMYFUNCTION("GOOGLETRANSLATE(L44, ""ar"", ""en"")"),"#VALUE!")</f>
        <v>#VALUE!</v>
      </c>
      <c r="AA44" s="15" t="str">
        <f ca="1">IFERROR(__xludf.DUMMYFUNCTION("GOOGLETRANSLATE(M44, ""ar"", ""en"")"),"#VALUE!")</f>
        <v>#VALUE!</v>
      </c>
      <c r="AB44" s="15" t="str">
        <f ca="1">IFERROR(__xludf.DUMMYFUNCTION("GOOGLETRANSLATE(N44, ""ar"", ""en"")"),"#VALUE!")</f>
        <v>#VALUE!</v>
      </c>
      <c r="AC44" s="16" t="str">
        <f t="shared" si="1"/>
        <v>43</v>
      </c>
      <c r="AD44" s="17" t="str">
        <f ca="1">IFERROR(__xludf.DUMMYFUNCTION("GOOGLETRANSLATE(P44, ""en"", ""sv"")"),"bakverk")</f>
        <v>bakverk</v>
      </c>
      <c r="AE44" s="17" t="str">
        <f ca="1">IFERROR(__xludf.DUMMYFUNCTION("GOOGLETRANSLATE(Q44, ""en"", ""sv"")"),"Antep Näktergalens bo (Röd)")</f>
        <v>Antep Näktergalens bo (Röd)</v>
      </c>
      <c r="AF44" s="17" t="str">
        <f ca="1">IFERROR(__xludf.DUMMYFUNCTION("GOOGLETRANSLATE(R44, ""en"", ""sv"")"),"3 timmar")</f>
        <v>3 timmar</v>
      </c>
      <c r="AG44" s="17" t="str">
        <f ca="1">IFERROR(__xludf.DUMMYFUNCTION("GOOGLETRANSLATE(S44, ""en"", ""sv"")"),"• 1 kg lammkött, 30 % fett, finhackat
• 2 tomater
• 1/2 knippe persilja (cirka 100 g)
• 2 msk röd paprikapuré
• 1/2 knippe färsk mynta (cirka 50 g)
• 2 små lökar, finhackade
• 2 msk tomatpuré
• 1 tsk salt
• 1/2 tsk svartpeppar
• 1/2 tsk sjukryddsblandning")</f>
        <v>• 1 kg lammkött, 30 % fett, finhackat
• 2 tomater
• 1/2 knippe persilja (cirka 100 g)
• 2 msk röd paprikapuré
• 1/2 knippe färsk mynta (cirka 50 g)
• 2 små lökar, finhackade
• 2 msk tomatpuré
• 1 tsk salt
• 1/2 tsk svartpeppar
• 1/2 tsk sjukryddsblandning</v>
      </c>
      <c r="AH44" s="17" t="str">
        <f ca="1">IFERROR(__xludf.DUMMYFUNCTION("GOOGLETRANSLATE(T44, ""en"", ""sv"")"),"Degen är densamma som degen till fågelboet med granatäpplemelass, men när det gäller att blanda köttet, lägg alla ingredienser i köttfärsen på den släta sidan på en gång.")</f>
        <v>Degen är densamma som degen till fågelboet med granatäpplemelass, men när det gäller att blanda köttet, lägg alla ingredienser i köttfärsen på den släta sidan på en gång.</v>
      </c>
      <c r="AI44" s="17" t="str">
        <f ca="1">IFERROR(__xludf.DUMMYFUNCTION("GOOGLETRANSLATE(U44, ""en"", ""sv"")"),"Mängden räcker till 4 personer.")</f>
        <v>Mängden räcker till 4 personer.</v>
      </c>
      <c r="AJ44" s="17" t="str">
        <f ca="1">IFERROR(__xludf.DUMMYFUNCTION("GOOGLETRANSLATE(V44, ""en"", ""sv"")"),"Klä en serveringsskål med sallad, gurka och tomat och placera sedan fågelboet i mitten.
Du kan också förbereda en gurka- och yoghurträtt eller ayran (en yoghurtdryck). Fågelbo passar generellt bra ihop med grönsaker som vattenkrasse, salladslök och stark"&amp;" grön paprika.")</f>
        <v>Klä en serveringsskål med sallad, gurka och tomat och placera sedan fågelboet i mitten.
Du kan också förbereda en gurka- och yoghurträtt eller ayran (en yoghurtdryck). Fågelbo passar generellt bra ihop med grönsaker som vattenkrasse, salladslök och stark grön paprika.</v>
      </c>
      <c r="AK44" s="17" t="str">
        <f ca="1">IFERROR(__xludf.DUMMYFUNCTION("GOOGLETRANSLATE(W44, ""en"", ""sv"")"),"Du kan använda färdig filodeg eller baklava från marknaden, men det kan inte ge samma resultat som hemlagad smördeg gjord för hand. Prova båda och bestäm dig för fågelboets framtid.")</f>
        <v>Du kan använda färdig filodeg eller baklava från marknaden, men det kan inte ge samma resultat som hemlagad smördeg gjord för hand. Prova båda och bestäm dig för fågelboets framtid.</v>
      </c>
      <c r="AL44" s="17" t="str">
        <f ca="1">IFERROR(__xludf.DUMMYFUNCTION("GOOGLETRANSLATE(X44, ""en"", ""sv"")"),"Bilder/Esh_Elbulbul_Entabi.jpg")</f>
        <v>Bilder/Esh_Elbulbul_Entabi.jpg</v>
      </c>
      <c r="AM44" s="17" t="str">
        <f ca="1">IFERROR(__xludf.DUMMYFUNCTION("GOOGLETRANSLATE(Y44, ""en"", ""sv"")"),"#VALUE!")</f>
        <v>#VALUE!</v>
      </c>
      <c r="AN44" s="17" t="str">
        <f ca="1">IFERROR(__xludf.DUMMYFUNCTION("GOOGLETRANSLATE(Z44, ""en"", ""sv"")"),"#VALUE!")</f>
        <v>#VALUE!</v>
      </c>
      <c r="AO44" s="17" t="str">
        <f ca="1">IFERROR(__xludf.DUMMYFUNCTION("GOOGLETRANSLATE(AA44, ""en"", ""sv"")"),"#VALUE!")</f>
        <v>#VALUE!</v>
      </c>
      <c r="AP44" s="17" t="str">
        <f ca="1">IFERROR(__xludf.DUMMYFUNCTION("GOOGLETRANSLATE(AB44, ""en"", ""sv"")"),"#VALUE!")</f>
        <v>#VALUE!</v>
      </c>
      <c r="AQ44" s="17"/>
    </row>
    <row r="45" spans="1:43" ht="14.25" customHeight="1" x14ac:dyDescent="0.3">
      <c r="A45" s="8" t="s">
        <v>355</v>
      </c>
      <c r="B45" s="38" t="s">
        <v>343</v>
      </c>
      <c r="C45" s="39" t="s">
        <v>356</v>
      </c>
      <c r="D45" s="46"/>
      <c r="E45" s="35" t="s">
        <v>357</v>
      </c>
      <c r="F45" s="42" t="s">
        <v>358</v>
      </c>
      <c r="G45" s="35" t="s">
        <v>290</v>
      </c>
      <c r="H45" s="35" t="s">
        <v>359</v>
      </c>
      <c r="I45" s="35" t="s">
        <v>360</v>
      </c>
      <c r="J45" s="45" t="s">
        <v>361</v>
      </c>
      <c r="K45" s="41"/>
      <c r="L45" s="41"/>
      <c r="M45" s="41"/>
      <c r="N45" s="41"/>
      <c r="O45" s="14" t="str">
        <f t="shared" si="0"/>
        <v>44</v>
      </c>
      <c r="P45" s="15" t="str">
        <f ca="1">IFERROR(__xludf.DUMMYFUNCTION("GOOGLETRANSLATE(B45, ""ar"", ""en"")"),"pastries")</f>
        <v>pastries</v>
      </c>
      <c r="Q45" s="15" t="str">
        <f ca="1">IFERROR(__xludf.DUMMYFUNCTION("GOOGLETRANSLATE(C45, ""ar"", ""en"")"),"Black meat pies or local pomegranate molasses)")</f>
        <v>Black meat pies or local pomegranate molasses)</v>
      </c>
      <c r="R45" s="15" t="str">
        <f ca="1">IFERROR(__xludf.DUMMYFUNCTION("GOOGLETRANSLATE(D45, ""ar"", ""en"")"),"#VALUE!")</f>
        <v>#VALUE!</v>
      </c>
      <c r="S45" s="15" t="str">
        <f ca="1">IFERROR(__xludf.DUMMYFUNCTION("GOOGLETRANSLATE(E45, ""ar"", ""en"")"),"Meat Ingredients:
• 1 kg (30% fat) lamb, finely minced
• 2 large onions (approximately 250-300 g)
• 1 1/4 cups pomegranate molasses
• 1 tsp salt
• 1/2 tsp black pepper
• 1/2 tsp seven-spice mix")</f>
        <v>Meat Ingredients:
• 1 kg (30% fat) lamb, finely minced
• 2 large onions (approximately 250-300 g)
• 1 1/4 cups pomegranate molasses
• 1 tsp salt
• 1/2 tsp black pepper
• 1/2 tsp seven-spice mix</v>
      </c>
      <c r="T45" s="15" t="str">
        <f ca="1">IFERROR(__xludf.DUMMYFUNCTION("GOOGLETRANSLATE(F45, ""ar"", ""en"")"),"Dough preparation method:
• 3 cups all-purpose flour
• 2 tablespoons yogurt
• 1 to 1 1/4 cups warm water, added gradually until the dough comes together
• 2 tablespoons vegetable oil (a small addition, optional) to help smooth the surface
• 1/4 teaspoon "&amp;"salt")</f>
        <v>Dough preparation method:
• 3 cups all-purpose flour
• 2 tablespoons yogurt
• 1 to 1 1/4 cups warm water, added gradually until the dough comes together
• 2 tablespoons vegetable oil (a small addition, optional) to help smooth the surface
• 1/4 teaspoon salt</v>
      </c>
      <c r="U45" s="15" t="str">
        <f ca="1">IFERROR(__xludf.DUMMYFUNCTION("GOOGLETRANSLATE(G45, ""ar"", ""en"")"),"The quantity is enough for 4 people.")</f>
        <v>The quantity is enough for 4 people.</v>
      </c>
      <c r="V45" s="15" t="str">
        <f ca="1">IFERROR(__xludf.DUMMYFUNCTION("GOOGLETRANSLATE(H45, ""ar"", ""en"")"),"Line a plate with lettuce, cucumber, and tomato, then arrange the bird's nest pastry in the center.
You can also prepare a cucumber and yogurt side dish or ayran. Bird's nest pastry generally pairs well with vegetables such as watercress, green onions, a"&amp;"nd hot green peppers.")</f>
        <v>Line a plate with lettuce, cucumber, and tomato, then arrange the bird's nest pastry in the center.
You can also prepare a cucumber and yogurt side dish or ayran. Bird's nest pastry generally pairs well with vegetables such as watercress, green onions, and hot green peppers.</v>
      </c>
      <c r="W45" s="15" t="str">
        <f ca="1">IFERROR(__xludf.DUMMYFUNCTION("GOOGLETRANSLATE(I45, ""ar"", ""en"")"),"Yogurt dough is one of the most successful doughs I have tried for meat pies, better than instant yeast and baking powder.")</f>
        <v>Yogurt dough is one of the most successful doughs I have tried for meat pies, better than instant yeast and baking powder.</v>
      </c>
      <c r="X45" s="15" t="str">
        <f ca="1">IFERROR(__xludf.DUMMYFUNCTION("GOOGLETRANSLATE(J45, ""ar"", ""en"")"),"Images/Images/Lahm_Beajeen_Baladi.jpg")</f>
        <v>Images/Images/Lahm_Beajeen_Baladi.jpg</v>
      </c>
      <c r="Y45" s="15" t="str">
        <f ca="1">IFERROR(__xludf.DUMMYFUNCTION("GOOGLETRANSLATE(K45, ""ar"", ""en"")"),"#VALUE!")</f>
        <v>#VALUE!</v>
      </c>
      <c r="Z45" s="15" t="str">
        <f ca="1">IFERROR(__xludf.DUMMYFUNCTION("GOOGLETRANSLATE(L45, ""ar"", ""en"")"),"#VALUE!")</f>
        <v>#VALUE!</v>
      </c>
      <c r="AA45" s="15" t="str">
        <f ca="1">IFERROR(__xludf.DUMMYFUNCTION("GOOGLETRANSLATE(M45, ""ar"", ""en"")"),"#VALUE!")</f>
        <v>#VALUE!</v>
      </c>
      <c r="AB45" s="15" t="str">
        <f ca="1">IFERROR(__xludf.DUMMYFUNCTION("GOOGLETRANSLATE(N45, ""ar"", ""en"")"),"#VALUE!")</f>
        <v>#VALUE!</v>
      </c>
      <c r="AC45" s="16" t="str">
        <f t="shared" si="1"/>
        <v>44</v>
      </c>
      <c r="AD45" s="17" t="str">
        <f ca="1">IFERROR(__xludf.DUMMYFUNCTION("GOOGLETRANSLATE(P45, ""en"", ""sv"")"),"bakverk")</f>
        <v>bakverk</v>
      </c>
      <c r="AE45" s="17" t="str">
        <f ca="1">IFERROR(__xludf.DUMMYFUNCTION("GOOGLETRANSLATE(Q45, ""en"", ""sv"")"),"Svarta köttpajer eller lokala granatäpplemelass)")</f>
        <v>Svarta köttpajer eller lokala granatäpplemelass)</v>
      </c>
      <c r="AF45" s="17" t="str">
        <f ca="1">IFERROR(__xludf.DUMMYFUNCTION("GOOGLETRANSLATE(R45, ""en"", ""sv"")"),"#VALUE!")</f>
        <v>#VALUE!</v>
      </c>
      <c r="AG45" s="17" t="str">
        <f ca="1">IFERROR(__xludf.DUMMYFUNCTION("GOOGLETRANSLATE(S45, ""en"", ""sv"")"),"Köttingredienser:
• 1 kg (30 % fett) lammkött, finhackat
• 2 stora lökar (cirka 250–300 g)
• 3,5 dl granatäpplemelass
• 1 tsk salt
• 1,5 tsk svartpeppar
• 1,5 tsk sjukryddsblandning")</f>
        <v>Köttingredienser:
• 1 kg (30 % fett) lammkött, finhackat
• 2 stora lökar (cirka 250–300 g)
• 3,5 dl granatäpplemelass
• 1 tsk salt
• 1,5 tsk svartpeppar
• 1,5 tsk sjukryddsblandning</v>
      </c>
      <c r="AH45" s="17" t="str">
        <f ca="1">IFERROR(__xludf.DUMMYFUNCTION("GOOGLETRANSLATE(T45, ""en"", ""sv"")"),"Metod för degberedning:
• 7,5 dl vetemjöl
• 2 msk yoghurt
• 3,5–4,5 dl varmt vatten, tillsätt gradvis tills degen går ihop
• 2 msk vegetabilisk olja (en liten tillsats, valfritt) för att jämna ut ytan
• 0,6 tsk salt")</f>
        <v>Metod för degberedning:
• 7,5 dl vetemjöl
• 2 msk yoghurt
• 3,5–4,5 dl varmt vatten, tillsätt gradvis tills degen går ihop
• 2 msk vegetabilisk olja (en liten tillsats, valfritt) för att jämna ut ytan
• 0,6 tsk salt</v>
      </c>
      <c r="AI45" s="17" t="str">
        <f ca="1">IFERROR(__xludf.DUMMYFUNCTION("GOOGLETRANSLATE(U45, ""en"", ""sv"")"),"Mängden räcker till 4 personer.")</f>
        <v>Mängden räcker till 4 personer.</v>
      </c>
      <c r="AJ45" s="17" t="str">
        <f ca="1">IFERROR(__xludf.DUMMYFUNCTION("GOOGLETRANSLATE(V45, ""en"", ""sv"")"),"Klä en tallrik med sallad, gurka och tomat och lägg sedan fågelbodegen i mitten.
Du kan också förbereda en gurka- och yoghurträtt eller ayran. Fågelbodegen passar vanligtvis bra med grönsaker som vattenkrasse, salladslök och stark grön paprika.")</f>
        <v>Klä en tallrik med sallad, gurka och tomat och lägg sedan fågelbodegen i mitten.
Du kan också förbereda en gurka- och yoghurträtt eller ayran. Fågelbodegen passar vanligtvis bra med grönsaker som vattenkrasse, salladslök och stark grön paprika.</v>
      </c>
      <c r="AK45" s="17" t="str">
        <f ca="1">IFERROR(__xludf.DUMMYFUNCTION("GOOGLETRANSLATE(W45, ""en"", ""sv"")"),"Yoghurtdeg är en av de mest lyckade degarna jag har provat till köttpajer, bättre än snabbjäst och bakpulver.")</f>
        <v>Yoghurtdeg är en av de mest lyckade degarna jag har provat till köttpajer, bättre än snabbjäst och bakpulver.</v>
      </c>
      <c r="AL45" s="17" t="str">
        <f ca="1">IFERROR(__xludf.DUMMYFUNCTION("GOOGLETRANSLATE(X45, ""en"", ""sv"")"),"Bilder/Bilder/Lahm_Beajeen_Baladi.jpg")</f>
        <v>Bilder/Bilder/Lahm_Beajeen_Baladi.jpg</v>
      </c>
      <c r="AM45" s="17" t="str">
        <f ca="1">IFERROR(__xludf.DUMMYFUNCTION("GOOGLETRANSLATE(Y45, ""en"", ""sv"")"),"#VALUE!")</f>
        <v>#VALUE!</v>
      </c>
      <c r="AN45" s="17" t="str">
        <f ca="1">IFERROR(__xludf.DUMMYFUNCTION("GOOGLETRANSLATE(Z45, ""en"", ""sv"")"),"#VALUE!")</f>
        <v>#VALUE!</v>
      </c>
      <c r="AO45" s="17" t="str">
        <f ca="1">IFERROR(__xludf.DUMMYFUNCTION("GOOGLETRANSLATE(AA45, ""en"", ""sv"")"),"#VALUE!")</f>
        <v>#VALUE!</v>
      </c>
      <c r="AP45" s="17" t="str">
        <f ca="1">IFERROR(__xludf.DUMMYFUNCTION("GOOGLETRANSLATE(AB45, ""en"", ""sv"")"),"#VALUE!")</f>
        <v>#VALUE!</v>
      </c>
      <c r="AQ45" s="17"/>
    </row>
    <row r="46" spans="1:43" ht="14.25" customHeight="1" x14ac:dyDescent="0.3">
      <c r="A46" s="8" t="s">
        <v>362</v>
      </c>
      <c r="B46" s="38" t="s">
        <v>343</v>
      </c>
      <c r="C46" s="39" t="s">
        <v>363</v>
      </c>
      <c r="D46" s="46"/>
      <c r="E46" s="35" t="s">
        <v>364</v>
      </c>
      <c r="F46" s="35" t="s">
        <v>365</v>
      </c>
      <c r="G46" s="35" t="s">
        <v>290</v>
      </c>
      <c r="H46" s="35" t="s">
        <v>359</v>
      </c>
      <c r="I46" s="35" t="s">
        <v>360</v>
      </c>
      <c r="J46" s="45" t="s">
        <v>366</v>
      </c>
      <c r="K46" s="41"/>
      <c r="L46" s="41"/>
      <c r="M46" s="41"/>
      <c r="N46" s="41"/>
      <c r="O46" s="14" t="str">
        <f t="shared" si="0"/>
        <v>45</v>
      </c>
      <c r="P46" s="15" t="str">
        <f ca="1">IFERROR(__xludf.DUMMYFUNCTION("GOOGLETRANSLATE(B46, ""ar"", ""en"")"),"pastries")</f>
        <v>pastries</v>
      </c>
      <c r="Q46" s="15" t="str">
        <f ca="1">IFERROR(__xludf.DUMMYFUNCTION("GOOGLETRANSLATE(C46, ""ar"", ""en"")"),"Antep-style meat pies")</f>
        <v>Antep-style meat pies</v>
      </c>
      <c r="R46" s="15" t="str">
        <f ca="1">IFERROR(__xludf.DUMMYFUNCTION("GOOGLETRANSLATE(D46, ""ar"", ""en"")"),"#VALUE!")</f>
        <v>#VALUE!</v>
      </c>
      <c r="S46" s="15" t="str">
        <f ca="1">IFERROR(__xludf.DUMMYFUNCTION("GOOGLETRANSLATE(E46, ""ar"", ""en"")"),"Meat Ingredients
• 1 kg lamb (30% fat), finely minced
• 2 large onions (approximately 300 g)
• 3 tomatoes, finely chopped
• A bunch of parsley
• 3 tablespoons red pepper paste
• Half a bunch of fresh mint
• 1 teaspoon salt
• Half a teaspoon black pepper
•"&amp;" Half a teaspoon seven-spice mix
• 3 tablespoons tomato paste")</f>
        <v>Meat Ingredients
• 1 kg lamb (30% fat), finely minced
• 2 large onions (approximately 300 g)
• 3 tomatoes, finely chopped
• A bunch of parsley
• 3 tablespoons red pepper paste
• Half a bunch of fresh mint
• 1 teaspoon salt
• Half a teaspoon black pepper
• Half a teaspoon seven-spice mix
• 3 tablespoons tomato paste</v>
      </c>
      <c r="T46" s="15" t="str">
        <f ca="1">IFERROR(__xludf.DUMMYFUNCTION("GOOGLETRANSLATE(F46, ""ar"", ""en"")"),"The same dough used for traditional meat pies.
Preparation of the meat pie for Antep:
Peel and finely chop the onion, sprinkle with a little salt, and let it sit for half an hour. Then squeeze it to reduce the liquid in the meat mixture. Add the remaini"&amp;"ng ingredients to a bowl: chopped parsley, tomatoes, fresh mint, spices, and red pepper paste. Knead the ingredients well until they are combined and have a uniform color. Divide the mixture into portions the size of tennis balls and flatten them onto the"&amp;" dough, which should have been previously rolled out to a diameter of no more than 15 to 20 cm. Spread the meat mixture onto each disc with a spoon in a baking tray that has been lightly greased with oil. Press the meat down with another baking tray to en"&amp;"sure it adheres completely to the dough.")</f>
        <v>The same dough used for traditional meat pies.
Preparation of the meat pie for Antep:
Peel and finely chop the onion, sprinkle with a little salt, and let it sit for half an hour. Then squeeze it to reduce the liquid in the meat mixture. Add the remaining ingredients to a bowl: chopped parsley, tomatoes, fresh mint, spices, and red pepper paste. Knead the ingredients well until they are combined and have a uniform color. Divide the mixture into portions the size of tennis balls and flatten them onto the dough, which should have been previously rolled out to a diameter of no more than 15 to 20 cm. Spread the meat mixture onto each disc with a spoon in a baking tray that has been lightly greased with oil. Press the meat down with another baking tray to ensure it adheres completely to the dough.</v>
      </c>
      <c r="U46" s="15" t="str">
        <f ca="1">IFERROR(__xludf.DUMMYFUNCTION("GOOGLETRANSLATE(G46, ""ar"", ""en"")"),"The quantity is enough for 4 people.")</f>
        <v>The quantity is enough for 4 people.</v>
      </c>
      <c r="V46" s="15" t="str">
        <f ca="1">IFERROR(__xludf.DUMMYFUNCTION("GOOGLETRANSLATE(H46, ""ar"", ""en"")"),"Line a plate with lettuce, cucumber, and tomato, then arrange the bird's nest pastry in the center.
You can also prepare a cucumber and yogurt side dish or ayran. Bird's nest pastry generally pairs well with vegetables such as watercress, green onions, a"&amp;"nd hot green peppers.")</f>
        <v>Line a plate with lettuce, cucumber, and tomato, then arrange the bird's nest pastry in the center.
You can also prepare a cucumber and yogurt side dish or ayran. Bird's nest pastry generally pairs well with vegetables such as watercress, green onions, and hot green peppers.</v>
      </c>
      <c r="W46" s="15" t="str">
        <f ca="1">IFERROR(__xludf.DUMMYFUNCTION("GOOGLETRANSLATE(I46, ""ar"", ""en"")"),"Yogurt dough is one of the most successful doughs I have tried for meat pies, better than instant yeast and baking powder.")</f>
        <v>Yogurt dough is one of the most successful doughs I have tried for meat pies, better than instant yeast and baking powder.</v>
      </c>
      <c r="X46" s="15" t="str">
        <f ca="1">IFERROR(__xludf.DUMMYFUNCTION("GOOGLETRANSLATE(J46, ""ar"", ""en"")"),"Images/Lahm_Beajeen_Entabi.jpg")</f>
        <v>Images/Lahm_Beajeen_Entabi.jpg</v>
      </c>
      <c r="Y46" s="15" t="str">
        <f ca="1">IFERROR(__xludf.DUMMYFUNCTION("GOOGLETRANSLATE(K46, ""ar"", ""en"")"),"#VALUE!")</f>
        <v>#VALUE!</v>
      </c>
      <c r="Z46" s="15" t="str">
        <f ca="1">IFERROR(__xludf.DUMMYFUNCTION("GOOGLETRANSLATE(L46, ""ar"", ""en"")"),"#VALUE!")</f>
        <v>#VALUE!</v>
      </c>
      <c r="AA46" s="15" t="str">
        <f ca="1">IFERROR(__xludf.DUMMYFUNCTION("GOOGLETRANSLATE(M46, ""ar"", ""en"")"),"#VALUE!")</f>
        <v>#VALUE!</v>
      </c>
      <c r="AB46" s="15" t="str">
        <f ca="1">IFERROR(__xludf.DUMMYFUNCTION("GOOGLETRANSLATE(N46, ""ar"", ""en"")"),"#VALUE!")</f>
        <v>#VALUE!</v>
      </c>
      <c r="AC46" s="16" t="str">
        <f t="shared" si="1"/>
        <v>45</v>
      </c>
      <c r="AD46" s="17" t="str">
        <f ca="1">IFERROR(__xludf.DUMMYFUNCTION("GOOGLETRANSLATE(P46, ""en"", ""sv"")"),"bakverk")</f>
        <v>bakverk</v>
      </c>
      <c r="AE46" s="17" t="str">
        <f ca="1">IFERROR(__xludf.DUMMYFUNCTION("GOOGLETRANSLATE(Q46, ""en"", ""sv"")"),"Köttpajer i Antep-stil")</f>
        <v>Köttpajer i Antep-stil</v>
      </c>
      <c r="AF46" s="17" t="str">
        <f ca="1">IFERROR(__xludf.DUMMYFUNCTION("GOOGLETRANSLATE(R46, ""en"", ""sv"")"),"#VALUE!")</f>
        <v>#VALUE!</v>
      </c>
      <c r="AG46" s="17" t="str">
        <f ca="1">IFERROR(__xludf.DUMMYFUNCTION("GOOGLETRANSLATE(S46, ""en"", ""sv"")"),"Köttingredienser
• 1 kg lammkött (30 % fett), finhackat
• 2 stora lökar (cirka 300 g)
• 3 tomater, finhackade
• En knippa persilja
• 3 msk röd paprikapuré
• En halv knippa färsk mynta
• 1 tsk salt
• En halv tsk svartpeppar
• En halv tsk sjukryddsmix
• 3 m"&amp;"sk tomatpuré")</f>
        <v>Köttingredienser
• 1 kg lammkött (30 % fett), finhackat
• 2 stora lökar (cirka 300 g)
• 3 tomater, finhackade
• En knippa persilja
• 3 msk röd paprikapuré
• En halv knippa färsk mynta
• 1 tsk salt
• En halv tsk svartpeppar
• En halv tsk sjukryddsmix
• 3 msk tomatpuré</v>
      </c>
      <c r="AH46" s="17" t="str">
        <f ca="1">IFERROR(__xludf.DUMMYFUNCTION("GOOGLETRANSLATE(T46, ""en"", ""sv"")"),"Samma deg som används för traditionella köttpajer.
Tillredning av köttpajen till Antep:
Skala och finhacka löken, strö över lite salt och låt den stå i en halvtimme. Pressa sedan ur den för att reducera vätskan i köttblandningen. Tillsätt resterande ing"&amp;"redienser i en skål: hackad persilja, tomater, färsk mynta, kryddor och röd paprikapasta. Knåda ingredienserna väl tills de blandas och har en jämn färg. Dela blandningen i portioner stora som tennisbollar och platta ut dem på degen, som tidigare ska ha k"&amp;"avlats ut till en diameter på högst 15 till 20 cm. Bred ut köttblandningen på varje skiva med en sked i en bakplåt som är lätt smord med olja. Tryck ner köttet med en annan bakplåt för att säkerställa att det fäster helt på degen.")</f>
        <v>Samma deg som används för traditionella köttpajer.
Tillredning av köttpajen till Antep:
Skala och finhacka löken, strö över lite salt och låt den stå i en halvtimme. Pressa sedan ur den för att reducera vätskan i köttblandningen. Tillsätt resterande ingredienser i en skål: hackad persilja, tomater, färsk mynta, kryddor och röd paprikapasta. Knåda ingredienserna väl tills de blandas och har en jämn färg. Dela blandningen i portioner stora som tennisbollar och platta ut dem på degen, som tidigare ska ha kavlats ut till en diameter på högst 15 till 20 cm. Bred ut köttblandningen på varje skiva med en sked i en bakplåt som är lätt smord med olja. Tryck ner köttet med en annan bakplåt för att säkerställa att det fäster helt på degen.</v>
      </c>
      <c r="AI46" s="17" t="str">
        <f ca="1">IFERROR(__xludf.DUMMYFUNCTION("GOOGLETRANSLATE(U46, ""en"", ""sv"")"),"Mängden räcker till 4 personer.")</f>
        <v>Mängden räcker till 4 personer.</v>
      </c>
      <c r="AJ46" s="17" t="str">
        <f ca="1">IFERROR(__xludf.DUMMYFUNCTION("GOOGLETRANSLATE(V46, ""en"", ""sv"")"),"Klä en tallrik med sallad, gurka och tomat och lägg sedan fågelbodegen i mitten.
Du kan också förbereda en gurka- och yoghurträtt eller ayran. Fågelbodegen passar vanligtvis bra med grönsaker som vattenkrasse, salladslök och stark grön paprika.")</f>
        <v>Klä en tallrik med sallad, gurka och tomat och lägg sedan fågelbodegen i mitten.
Du kan också förbereda en gurka- och yoghurträtt eller ayran. Fågelbodegen passar vanligtvis bra med grönsaker som vattenkrasse, salladslök och stark grön paprika.</v>
      </c>
      <c r="AK46" s="17" t="str">
        <f ca="1">IFERROR(__xludf.DUMMYFUNCTION("GOOGLETRANSLATE(W46, ""en"", ""sv"")"),"Yoghurtdeg är en av de mest lyckade degarna jag har provat till köttpajer, bättre än snabbjäst och bakpulver.")</f>
        <v>Yoghurtdeg är en av de mest lyckade degarna jag har provat till köttpajer, bättre än snabbjäst och bakpulver.</v>
      </c>
      <c r="AL46" s="17" t="str">
        <f ca="1">IFERROR(__xludf.DUMMYFUNCTION("GOOGLETRANSLATE(X46, ""en"", ""sv"")"),"Bilder/Lahm_Beajeen_Entabi.jpg")</f>
        <v>Bilder/Lahm_Beajeen_Entabi.jpg</v>
      </c>
      <c r="AM46" s="17" t="str">
        <f ca="1">IFERROR(__xludf.DUMMYFUNCTION("GOOGLETRANSLATE(Y46, ""en"", ""sv"")"),"#VALUE!")</f>
        <v>#VALUE!</v>
      </c>
      <c r="AN46" s="17" t="str">
        <f ca="1">IFERROR(__xludf.DUMMYFUNCTION("GOOGLETRANSLATE(Z46, ""en"", ""sv"")"),"#VALUE!")</f>
        <v>#VALUE!</v>
      </c>
      <c r="AO46" s="17" t="str">
        <f ca="1">IFERROR(__xludf.DUMMYFUNCTION("GOOGLETRANSLATE(AA46, ""en"", ""sv"")"),"#VALUE!")</f>
        <v>#VALUE!</v>
      </c>
      <c r="AP46" s="17" t="str">
        <f ca="1">IFERROR(__xludf.DUMMYFUNCTION("GOOGLETRANSLATE(AB46, ""en"", ""sv"")"),"#VALUE!")</f>
        <v>#VALUE!</v>
      </c>
      <c r="AQ46" s="17"/>
    </row>
    <row r="47" spans="1:43" ht="14.25" customHeight="1" x14ac:dyDescent="0.3">
      <c r="A47" s="8" t="s">
        <v>367</v>
      </c>
      <c r="B47" s="38" t="s">
        <v>140</v>
      </c>
      <c r="C47" s="39" t="s">
        <v>368</v>
      </c>
      <c r="D47" s="39" t="s">
        <v>233</v>
      </c>
      <c r="E47" s="42" t="s">
        <v>369</v>
      </c>
      <c r="F47" s="35" t="s">
        <v>370</v>
      </c>
      <c r="G47" s="35" t="s">
        <v>194</v>
      </c>
      <c r="H47" s="35" t="s">
        <v>371</v>
      </c>
      <c r="I47" s="35" t="s">
        <v>372</v>
      </c>
      <c r="J47" s="45" t="s">
        <v>373</v>
      </c>
      <c r="K47" s="41"/>
      <c r="L47" s="41"/>
      <c r="M47" s="41"/>
      <c r="N47" s="41"/>
      <c r="O47" s="14" t="str">
        <f t="shared" si="0"/>
        <v>46</v>
      </c>
      <c r="P47" s="15" t="str">
        <f ca="1">IFERROR(__xludf.DUMMYFUNCTION("GOOGLETRANSLATE(B47, ""ar"", ""en"")"),"meat")</f>
        <v>meat</v>
      </c>
      <c r="Q47" s="15" t="str">
        <f ca="1">IFERROR(__xludf.DUMMYFUNCTION("GOOGLETRANSLATE(C47, ""ar"", ""en"")"),"Eggplant kebab in the oven or grilled on charcoal")</f>
        <v>Eggplant kebab in the oven or grilled on charcoal</v>
      </c>
      <c r="R47" s="15" t="str">
        <f ca="1">IFERROR(__xludf.DUMMYFUNCTION("GOOGLETRANSLATE(D47, ""ar"", ""en"")"),"hour ")</f>
        <v xml:space="preserve">hour </v>
      </c>
      <c r="S47" s="15" t="str">
        <f ca="1">IFERROR(__xludf.DUMMYFUNCTION("GOOGLETRANSLATE(E47, ""ar"", ""en"")"),"• 1 kg lamb kebab (at least 30% fat), finely minced
• 1 kg small, black, local eggplants (not large)
• 1 kg firm, red tomatoes (not ripe)
• 1 tsp black pepper
• ½ tsp cinnamon
• 1 tsp seven-spice mix
• 1 tsp salt for the kebabs and ½ tsp for the eggp"&amp;"lant and tomatoes
• 2 tbsp ghee")</f>
        <v>• 1 kg lamb kebab (at least 30% fat), finely minced
• 1 kg small, black, local eggplants (not large)
• 1 kg firm, red tomatoes (not ripe)
• 1 tsp black pepper
• ½ tsp cinnamon
• 1 tsp seven-spice mix
• 1 tsp salt for the kebabs and ½ tsp for the eggplant and tomatoes
• 2 tbsp ghee</v>
      </c>
      <c r="T47" s="15" t="str">
        <f ca="1">IFERROR(__xludf.DUMMYFUNCTION("GOOGLETRANSLATE(F47, ""ar"", ""en"")"),"Finely chop the kebab or minced meat, seasoned with the spices mentioned and kneaded well, into small pieces about 50 grams each, roughly the size of a closed fist. Arrange them on a tray until ready to use.
Wash the eggplant and tomatoes and cut them in"&amp;"to 3 cm thick slices. Sprinkle them with salt and black pepper. Prepare a baking tray and grease it with ghee. Place each piece of meat between a slice of eggplant and a slice of tomato, arranging them side by side in the tray. Cover with aluminum foil.
"&amp;"Place the tray on the lowest rack of your oven at the highest temperature setting. Cover and bake for one hour. Then uncover the tray and bake for another half hour to brown the tops.
Charcoal Grilling: If you prefer to grill the eggplant kebabs over cha"&amp;"rcoal, use wide skewers. Thread each group of kebabs between a tomato and an eggplant slice onto the skewer. Be careful not to let the flames ignite the kebabs, as they will burn. Allow the eggplant and tomatoes to cook through completely.")</f>
        <v>Finely chop the kebab or minced meat, seasoned with the spices mentioned and kneaded well, into small pieces about 50 grams each, roughly the size of a closed fist. Arrange them on a tray until ready to use.
Wash the eggplant and tomatoes and cut them into 3 cm thick slices. Sprinkle them with salt and black pepper. Prepare a baking tray and grease it with ghee. Place each piece of meat between a slice of eggplant and a slice of tomato, arranging them side by side in the tray. Cover with aluminum foil.
Place the tray on the lowest rack of your oven at the highest temperature setting. Cover and bake for one hour. Then uncover the tray and bake for another half hour to brown the tops.
Charcoal Grilling: If you prefer to grill the eggplant kebabs over charcoal, use wide skewers. Thread each group of kebabs between a tomato and an eggplant slice onto the skewer. Be careful not to let the flames ignite the kebabs, as they will burn. Allow the eggplant and tomatoes to cook through completely.</v>
      </c>
      <c r="U47" s="15" t="str">
        <f ca="1">IFERROR(__xludf.DUMMYFUNCTION("GOOGLETRANSLATE(G47, ""ar"", ""en"")"),"The quantity is enough for 6 people.")</f>
        <v>The quantity is enough for 6 people.</v>
      </c>
      <c r="V47" s="15" t="str">
        <f ca="1">IFERROR(__xludf.DUMMYFUNCTION("GOOGLETRANSLATE(H47, ""ar"", ""en"")"),"Prepare a salad and white rice to go with this dish; it doesn't need any garnish, as it looks beautiful on the tray.")</f>
        <v>Prepare a salad and white rice to go with this dish; it doesn't need any garnish, as it looks beautiful on the tray.</v>
      </c>
      <c r="W47" s="15" t="str">
        <f ca="1">IFERROR(__xludf.DUMMYFUNCTION("GOOGLETRANSLATE(I47, ""ar"", ""en"")"),"Many people grill kebabs with eggplant but without tomatoes, but in my experience, tomatoes add moisture to the eggplant and help it cook better. In any case, eggplant and kebabs go well with tomatoes in almost every dish.
")</f>
        <v xml:space="preserve">Many people grill kebabs with eggplant but without tomatoes, but in my experience, tomatoes add moisture to the eggplant and help it cook better. In any case, eggplant and kebabs go well with tomatoes in almost every dish.
</v>
      </c>
      <c r="X47" s="15" t="str">
        <f ca="1">IFERROR(__xludf.DUMMYFUNCTION("GOOGLETRANSLATE(J47, ""ar"", ""en"")"),"Images/Kabab_Batenjan.jpg")</f>
        <v>Images/Kabab_Batenjan.jpg</v>
      </c>
      <c r="Y47" s="15" t="str">
        <f ca="1">IFERROR(__xludf.DUMMYFUNCTION("GOOGLETRANSLATE(K47, ""ar"", ""en"")"),"#VALUE!")</f>
        <v>#VALUE!</v>
      </c>
      <c r="Z47" s="15" t="str">
        <f ca="1">IFERROR(__xludf.DUMMYFUNCTION("GOOGLETRANSLATE(L47, ""ar"", ""en"")"),"#VALUE!")</f>
        <v>#VALUE!</v>
      </c>
      <c r="AA47" s="15" t="str">
        <f ca="1">IFERROR(__xludf.DUMMYFUNCTION("GOOGLETRANSLATE(M47, ""ar"", ""en"")"),"#VALUE!")</f>
        <v>#VALUE!</v>
      </c>
      <c r="AB47" s="15" t="str">
        <f ca="1">IFERROR(__xludf.DUMMYFUNCTION("GOOGLETRANSLATE(N47, ""ar"", ""en"")"),"#VALUE!")</f>
        <v>#VALUE!</v>
      </c>
      <c r="AC47" s="16" t="str">
        <f t="shared" si="1"/>
        <v>46</v>
      </c>
      <c r="AD47" s="17" t="str">
        <f ca="1">IFERROR(__xludf.DUMMYFUNCTION("GOOGLETRANSLATE(P47, ""en"", ""sv"")"),"kött")</f>
        <v>kött</v>
      </c>
      <c r="AE47" s="17" t="str">
        <f ca="1">IFERROR(__xludf.DUMMYFUNCTION("GOOGLETRANSLATE(Q47, ""en"", ""sv"")"),"Auberginekebab i ugnen eller grillad över kol")</f>
        <v>Auberginekebab i ugnen eller grillad över kol</v>
      </c>
      <c r="AF47" s="17" t="str">
        <f ca="1">IFERROR(__xludf.DUMMYFUNCTION("GOOGLETRANSLATE(R47, ""en"", ""sv"")"),"timme")</f>
        <v>timme</v>
      </c>
      <c r="AG47" s="17" t="str">
        <f ca="1">IFERROR(__xludf.DUMMYFUNCTION("GOOGLETRANSLATE(S47, ""en"", ""sv"")"),"• 1 kg lammkebab (minst 30 % fett), finhackad
• 1 kg små, svarta, lokala auberginer (inte stora)
• 1 kg fasta, röda tomater (inte mogna)
• 1 tsk svartpeppar
• ½ tsk kanel
• 1 tsk sjukryddsblandning
• 1 tsk salt till kebaben och ½ tsk till auberginen "&amp;"och tomaterna
• 2 msk ghee")</f>
        <v>• 1 kg lammkebab (minst 30 % fett), finhackad
• 1 kg små, svarta, lokala auberginer (inte stora)
• 1 kg fasta, röda tomater (inte mogna)
• 1 tsk svartpeppar
• ½ tsk kanel
• 1 tsk sjukryddsblandning
• 1 tsk salt till kebaben och ½ tsk till auberginen och tomaterna
• 2 msk ghee</v>
      </c>
      <c r="AH47" s="17" t="str">
        <f ca="1">IFERROR(__xludf.DUMMYFUNCTION("GOOGLETRANSLATE(T47, ""en"", ""sv"")"),"Finhacka kebaben eller köttfärsen, kryddad med de nämnda kryddorna och knådad väl, i små bitar på cirka 50 gram styck, ungefär lika stora som en knuten näve. Lägg dem på en plåt tills de ska användas.
Tvätta auberginen och tomaterna och skär dem i 3 cm t"&amp;"jocka skivor. Strö över salt och svartpeppar. Förbered en bakplåt och smörj den med ghee. Lägg varje köttbit mellan en skiva aubergine och en skiva tomat, lägg dem bredvid varandra i plåten. Täck med aluminiumfolie.
Placera plåten på det nedersta gallret"&amp;" i ugnen på högsta temperaturinställning. Täck över och grädda i en timme. Ta sedan bort plåten och grädda i ytterligare en halvtimme för att bryna topparna.
Grillning med kol: Om du föredrar att grilla auberginekebaben över kol, använd breda spett. Trä "&amp;"varje grupp kebaber mellan en tomat- och en aubergineskiva på spetten. Var försiktig så att inte lågorna antänder kebaben, då kommer de att brännas. Låt auberginen och tomaterna bli helt genomgräddade.")</f>
        <v>Finhacka kebaben eller köttfärsen, kryddad med de nämnda kryddorna och knådad väl, i små bitar på cirka 50 gram styck, ungefär lika stora som en knuten näve. Lägg dem på en plåt tills de ska användas.
Tvätta auberginen och tomaterna och skär dem i 3 cm tjocka skivor. Strö över salt och svartpeppar. Förbered en bakplåt och smörj den med ghee. Lägg varje köttbit mellan en skiva aubergine och en skiva tomat, lägg dem bredvid varandra i plåten. Täck med aluminiumfolie.
Placera plåten på det nedersta gallret i ugnen på högsta temperaturinställning. Täck över och grädda i en timme. Ta sedan bort plåten och grädda i ytterligare en halvtimme för att bryna topparna.
Grillning med kol: Om du föredrar att grilla auberginekebaben över kol, använd breda spett. Trä varje grupp kebaber mellan en tomat- och en aubergineskiva på spetten. Var försiktig så att inte lågorna antänder kebaben, då kommer de att brännas. Låt auberginen och tomaterna bli helt genomgräddade.</v>
      </c>
      <c r="AI47" s="17" t="str">
        <f ca="1">IFERROR(__xludf.DUMMYFUNCTION("GOOGLETRANSLATE(U47, ""en"", ""sv"")"),"Mängden räcker till 6 personer.")</f>
        <v>Mängden räcker till 6 personer.</v>
      </c>
      <c r="AJ47" s="17" t="str">
        <f ca="1">IFERROR(__xludf.DUMMYFUNCTION("GOOGLETRANSLATE(V47, ""en"", ""sv"")"),"Förbered en sallad och vitt ris till denna rätt; den behöver ingen garnering, eftersom den ser vacker ut på fatet.")</f>
        <v>Förbered en sallad och vitt ris till denna rätt; den behöver ingen garnering, eftersom den ser vacker ut på fatet.</v>
      </c>
      <c r="AK47" s="17" t="str">
        <f ca="1">IFERROR(__xludf.DUMMYFUNCTION("GOOGLETRANSLATE(W47, ""en"", ""sv"")"),"Många grillar kebab med aubergine men utan tomater, men enligt min erfarenhet tillför tomater fukt till auberginen och gör att den tillagas bättre. I vilket fall som helst passar aubergine och kebab bra med tomater i nästan alla rätter.
")</f>
        <v xml:space="preserve">Många grillar kebab med aubergine men utan tomater, men enligt min erfarenhet tillför tomater fukt till auberginen och gör att den tillagas bättre. I vilket fall som helst passar aubergine och kebab bra med tomater i nästan alla rätter.
</v>
      </c>
      <c r="AL47" s="17" t="str">
        <f ca="1">IFERROR(__xludf.DUMMYFUNCTION("GOOGLETRANSLATE(X47, ""en"", ""sv"")"),"Bilder/Kabab_Batenjan.jpg")</f>
        <v>Bilder/Kabab_Batenjan.jpg</v>
      </c>
      <c r="AM47" s="17" t="str">
        <f ca="1">IFERROR(__xludf.DUMMYFUNCTION("GOOGLETRANSLATE(Y47, ""en"", ""sv"")"),"#VALUE!")</f>
        <v>#VALUE!</v>
      </c>
      <c r="AN47" s="17" t="str">
        <f ca="1">IFERROR(__xludf.DUMMYFUNCTION("GOOGLETRANSLATE(Z47, ""en"", ""sv"")"),"#VALUE!")</f>
        <v>#VALUE!</v>
      </c>
      <c r="AO47" s="17" t="str">
        <f ca="1">IFERROR(__xludf.DUMMYFUNCTION("GOOGLETRANSLATE(AA47, ""en"", ""sv"")"),"#VALUE!")</f>
        <v>#VALUE!</v>
      </c>
      <c r="AP47" s="17" t="str">
        <f ca="1">IFERROR(__xludf.DUMMYFUNCTION("GOOGLETRANSLATE(AB47, ""en"", ""sv"")"),"#VALUE!")</f>
        <v>#VALUE!</v>
      </c>
      <c r="AQ47" s="17"/>
    </row>
    <row r="48" spans="1:43" ht="14.25" customHeight="1" x14ac:dyDescent="0.3">
      <c r="A48" s="8" t="s">
        <v>374</v>
      </c>
      <c r="B48" s="38" t="s">
        <v>140</v>
      </c>
      <c r="C48" s="39" t="s">
        <v>375</v>
      </c>
      <c r="D48" s="39" t="s">
        <v>376</v>
      </c>
      <c r="E48" s="42" t="s">
        <v>377</v>
      </c>
      <c r="F48" s="35" t="s">
        <v>378</v>
      </c>
      <c r="G48" s="35" t="s">
        <v>290</v>
      </c>
      <c r="H48" s="35" t="s">
        <v>379</v>
      </c>
      <c r="I48" s="35" t="s">
        <v>380</v>
      </c>
      <c r="J48" s="45" t="s">
        <v>381</v>
      </c>
      <c r="K48" s="41"/>
      <c r="L48" s="41"/>
      <c r="M48" s="41"/>
      <c r="N48" s="41"/>
      <c r="O48" s="14" t="str">
        <f t="shared" si="0"/>
        <v>47</v>
      </c>
      <c r="P48" s="15" t="str">
        <f ca="1">IFERROR(__xludf.DUMMYFUNCTION("GOOGLETRANSLATE(B48, ""ar"", ""en"")"),"meat")</f>
        <v>meat</v>
      </c>
      <c r="Q48" s="15" t="str">
        <f ca="1">IFERROR(__xludf.DUMMYFUNCTION("GOOGLETRANSLATE(C48, ""ar"", ""en"")"),"Aleppo-style kebab in a tray in the oven")</f>
        <v>Aleppo-style kebab in a tray in the oven</v>
      </c>
      <c r="R48" s="15" t="str">
        <f ca="1">IFERROR(__xludf.DUMMYFUNCTION("GOOGLETRANSLATE(D48, ""ar"", ""en"")"),"half an hour")</f>
        <v>half an hour</v>
      </c>
      <c r="S48" s="15" t="str">
        <f ca="1">IFERROR(__xludf.DUMMYFUNCTION("GOOGLETRANSLATE(E48, ""ar"", ""en"")"),"• 1 kg kebab
• 1 small onion
• 1/2 bunch parsley
• 1 tsp salt
• 1 tsp black pepper
• 1 tsp ground cinnamon
")</f>
        <v xml:space="preserve">• 1 kg kebab
• 1 small onion
• 1/2 bunch parsley
• 1 tsp salt
• 1 tsp black pepper
• 1 tsp ground cinnamon
</v>
      </c>
      <c r="T48" s="15" t="str">
        <f ca="1">IFERROR(__xludf.DUMMYFUNCTION("GOOGLETRANSLATE(F48, ""ar"", ""en"")"),"This dish is for quick meals. If you don't have time, you can have ready-made kebabs in the freezer. Just rub the kebabs after freezing to make them pliable, spread them in an oven tray to a thickness of 2 cm, and place them on the lower shelf in a hot ov"&amp;"en for an hour. The dish is done.")</f>
        <v>This dish is for quick meals. If you don't have time, you can have ready-made kebabs in the freezer. Just rub the kebabs after freezing to make them pliable, spread them in an oven tray to a thickness of 2 cm, and place them on the lower shelf in a hot oven for an hour. The dish is done.</v>
      </c>
      <c r="U48" s="15" t="str">
        <f ca="1">IFERROR(__xludf.DUMMYFUNCTION("GOOGLETRANSLATE(G48, ""ar"", ""en"")"),"The quantity is enough for 4 people.")</f>
        <v>The quantity is enough for 4 people.</v>
      </c>
      <c r="V48" s="15" t="str">
        <f ca="1">IFERROR(__xludf.DUMMYFUNCTION("GOOGLETRANSLATE(H48, ""ar"", ""en"")"),"You can garnish the kebab tray with green and red peppers after it's cooked.")</f>
        <v>You can garnish the kebab tray with green and red peppers after it's cooked.</v>
      </c>
      <c r="W48" s="15" t="str">
        <f ca="1">IFERROR(__xludf.DUMMYFUNCTION("GOOGLETRANSLATE(I48, ""ar"", ""en"")"),"This dish is eaten by dipping bread in it, and in Aleppo we like to eat kebab as is without additions in order to feel the real taste of the meat because any additions to the meat such as tomatoes, onions and peppers will change the flavor.")</f>
        <v>This dish is eaten by dipping bread in it, and in Aleppo we like to eat kebab as is without additions in order to feel the real taste of the meat because any additions to the meat such as tomatoes, onions and peppers will change the flavor.</v>
      </c>
      <c r="X48" s="15" t="str">
        <f ca="1">IFERROR(__xludf.DUMMYFUNCTION("GOOGLETRANSLATE(J48, ""ar"", ""en"")"),"Images/Kabab_Beseineih.jpg")</f>
        <v>Images/Kabab_Beseineih.jpg</v>
      </c>
      <c r="Y48" s="15" t="str">
        <f ca="1">IFERROR(__xludf.DUMMYFUNCTION("GOOGLETRANSLATE(K48, ""ar"", ""en"")"),"#VALUE!")</f>
        <v>#VALUE!</v>
      </c>
      <c r="Z48" s="15" t="str">
        <f ca="1">IFERROR(__xludf.DUMMYFUNCTION("GOOGLETRANSLATE(L48, ""ar"", ""en"")"),"#VALUE!")</f>
        <v>#VALUE!</v>
      </c>
      <c r="AA48" s="15" t="str">
        <f ca="1">IFERROR(__xludf.DUMMYFUNCTION("GOOGLETRANSLATE(M48, ""ar"", ""en"")"),"#VALUE!")</f>
        <v>#VALUE!</v>
      </c>
      <c r="AB48" s="15" t="str">
        <f ca="1">IFERROR(__xludf.DUMMYFUNCTION("GOOGLETRANSLATE(N48, ""ar"", ""en"")"),"#VALUE!")</f>
        <v>#VALUE!</v>
      </c>
      <c r="AC48" s="16" t="str">
        <f t="shared" si="1"/>
        <v>47</v>
      </c>
      <c r="AD48" s="17" t="str">
        <f ca="1">IFERROR(__xludf.DUMMYFUNCTION("GOOGLETRANSLATE(P48, ""en"", ""sv"")"),"kött")</f>
        <v>kött</v>
      </c>
      <c r="AE48" s="17" t="str">
        <f ca="1">IFERROR(__xludf.DUMMYFUNCTION("GOOGLETRANSLATE(Q48, ""en"", ""sv"")"),"Kebab i Aleppo-stil i en plåt i ugnen")</f>
        <v>Kebab i Aleppo-stil i en plåt i ugnen</v>
      </c>
      <c r="AF48" s="17" t="str">
        <f ca="1">IFERROR(__xludf.DUMMYFUNCTION("GOOGLETRANSLATE(R48, ""en"", ""sv"")"),"en halvtimme")</f>
        <v>en halvtimme</v>
      </c>
      <c r="AG48" s="17" t="str">
        <f ca="1">IFERROR(__xludf.DUMMYFUNCTION("GOOGLETRANSLATE(S48, ""en"", ""sv"")"),"• 1 kg kebab
• 1 liten lök
• 1/2 knippe persilja
• 1 tsk salt
• 1 tsk svartpeppar
• 1 tsk malen kanel
")</f>
        <v xml:space="preserve">• 1 kg kebab
• 1 liten lök
• 1/2 knippe persilja
• 1 tsk salt
• 1 tsk svartpeppar
• 1 tsk malen kanel
</v>
      </c>
      <c r="AH48" s="17" t="str">
        <f ca="1">IFERROR(__xludf.DUMMYFUNCTION("GOOGLETRANSLATE(T48, ""en"", ""sv"")"),"Den här rätten är för snabba måltider. Om du inte har tid kan du ha färdiga kebaber i frysen. Gnugga bara kebaberna efter frysning för att göra dem smidiga, bred ut dem i en ugnsplåt till en tjocklek av 2 cm och placera dem på det nedre hyllplanet i en va"&amp;"rm ugn i en timme. Rätten är klar.")</f>
        <v>Den här rätten är för snabba måltider. Om du inte har tid kan du ha färdiga kebaber i frysen. Gnugga bara kebaberna efter frysning för att göra dem smidiga, bred ut dem i en ugnsplåt till en tjocklek av 2 cm och placera dem på det nedre hyllplanet i en varm ugn i en timme. Rätten är klar.</v>
      </c>
      <c r="AI48" s="17" t="str">
        <f ca="1">IFERROR(__xludf.DUMMYFUNCTION("GOOGLETRANSLATE(U48, ""en"", ""sv"")"),"Mängden räcker till 4 personer.")</f>
        <v>Mängden räcker till 4 personer.</v>
      </c>
      <c r="AJ48" s="17" t="str">
        <f ca="1">IFERROR(__xludf.DUMMYFUNCTION("GOOGLETRANSLATE(V48, ""en"", ""sv"")"),"Du kan garnera kebabformen med gröna och röda paprikor efter att den är tillagad.")</f>
        <v>Du kan garnera kebabformen med gröna och röda paprikor efter att den är tillagad.</v>
      </c>
      <c r="AK48" s="17" t="str">
        <f ca="1">IFERROR(__xludf.DUMMYFUNCTION("GOOGLETRANSLATE(W48, ""en"", ""sv"")"),"Denna rätt äts genom att doppa bröd i den, och i Aleppo gillar vi att äta kebab som den är utan tillsatser för att känna den riktiga smaken av köttet eftersom alla tillsatser till köttet, såsom tomater, lök och paprika, kommer att förändra smaken.")</f>
        <v>Denna rätt äts genom att doppa bröd i den, och i Aleppo gillar vi att äta kebab som den är utan tillsatser för att känna den riktiga smaken av köttet eftersom alla tillsatser till köttet, såsom tomater, lök och paprika, kommer att förändra smaken.</v>
      </c>
      <c r="AL48" s="17" t="str">
        <f ca="1">IFERROR(__xludf.DUMMYFUNCTION("GOOGLETRANSLATE(X48, ""en"", ""sv"")"),"Bilder/Kabab_Beseineih.jpg")</f>
        <v>Bilder/Kabab_Beseineih.jpg</v>
      </c>
      <c r="AM48" s="17" t="str">
        <f ca="1">IFERROR(__xludf.DUMMYFUNCTION("GOOGLETRANSLATE(Y48, ""en"", ""sv"")"),"#VALUE!")</f>
        <v>#VALUE!</v>
      </c>
      <c r="AN48" s="17" t="str">
        <f ca="1">IFERROR(__xludf.DUMMYFUNCTION("GOOGLETRANSLATE(Z48, ""en"", ""sv"")"),"#VALUE!")</f>
        <v>#VALUE!</v>
      </c>
      <c r="AO48" s="17" t="str">
        <f ca="1">IFERROR(__xludf.DUMMYFUNCTION("GOOGLETRANSLATE(AA48, ""en"", ""sv"")"),"#VALUE!")</f>
        <v>#VALUE!</v>
      </c>
      <c r="AP48" s="17" t="str">
        <f ca="1">IFERROR(__xludf.DUMMYFUNCTION("GOOGLETRANSLATE(AB48, ""en"", ""sv"")"),"#VALUE!")</f>
        <v>#VALUE!</v>
      </c>
      <c r="AQ48" s="17"/>
    </row>
    <row r="49" spans="1:43" ht="14.25" customHeight="1" x14ac:dyDescent="0.3">
      <c r="A49" s="8" t="s">
        <v>382</v>
      </c>
      <c r="B49" s="38" t="s">
        <v>140</v>
      </c>
      <c r="C49" s="39" t="s">
        <v>383</v>
      </c>
      <c r="D49" s="46"/>
      <c r="E49" s="42" t="s">
        <v>384</v>
      </c>
      <c r="F49" s="35" t="s">
        <v>385</v>
      </c>
      <c r="G49" s="35" t="s">
        <v>194</v>
      </c>
      <c r="H49" s="35" t="s">
        <v>386</v>
      </c>
      <c r="I49" s="35" t="s">
        <v>387</v>
      </c>
      <c r="J49" s="45" t="s">
        <v>388</v>
      </c>
      <c r="K49" s="41"/>
      <c r="L49" s="41"/>
      <c r="M49" s="41"/>
      <c r="N49" s="41"/>
      <c r="O49" s="14" t="str">
        <f t="shared" si="0"/>
        <v>48</v>
      </c>
      <c r="P49" s="15" t="str">
        <f ca="1">IFERROR(__xludf.DUMMYFUNCTION("GOOGLETRANSLATE(B49, ""ar"", ""en"")"),"meat")</f>
        <v>meat</v>
      </c>
      <c r="Q49" s="15" t="str">
        <f ca="1">IFERROR(__xludf.DUMMYFUNCTION("GOOGLETRANSLATE(C49, ""ar"", ""en"")"),"Baked kebab with tomatoes and peppers")</f>
        <v>Baked kebab with tomatoes and peppers</v>
      </c>
      <c r="R49" s="15" t="str">
        <f ca="1">IFERROR(__xludf.DUMMYFUNCTION("GOOGLETRANSLATE(D49, ""ar"", ""en"")"),"#VALUE!")</f>
        <v>#VALUE!</v>
      </c>
      <c r="S49" s="15" t="str">
        <f ca="1">IFERROR(__xludf.DUMMYFUNCTION("GOOGLETRANSLATE(E49, ""ar"", ""en"")"),"• 1 kg kebab
• 1 small onion inside the kebab
• 1/2 bunch of parsley inside the kebab
• 1/2 kg tomatoes
• 1 green pepper (hot or sweet, as desired)
• 1 red pepper (hot or sweet, as desired)
• 1 tsp salt
• 1 tsp black pepper
• 1 tsp ground cinnamon")</f>
        <v>• 1 kg kebab
• 1 small onion inside the kebab
• 1/2 bunch of parsley inside the kebab
• 1/2 kg tomatoes
• 1 green pepper (hot or sweet, as desired)
• 1 red pepper (hot or sweet, as desired)
• 1 tsp salt
• 1 tsp black pepper
• 1 tsp ground cinnamon</v>
      </c>
      <c r="T49" s="15" t="str">
        <f ca="1">IFERROR(__xludf.DUMMYFUNCTION("GOOGLETRANSLATE(F49, ""ar"", ""en"")"),"Wash the tomatoes and peppers, slice them 2 cm thick, and set aside.
Knead the kebab mixture well until it becomes pliable. Spread it in a 2 cm thick baking dish and cut it into triangles if the dish is round, or squares if it's rectangular. Arrange the "&amp;"tomatoes and peppers on top of the kebabs, sprinkle with a little salt and black pepper, and place it on the bottom shelf of a preheated oven, covered with aluminum foil, for one hour. Remove the foil and leave it for another half hour to brown and allow "&amp;"the liquid to evaporate.")</f>
        <v>Wash the tomatoes and peppers, slice them 2 cm thick, and set aside.
Knead the kebab mixture well until it becomes pliable. Spread it in a 2 cm thick baking dish and cut it into triangles if the dish is round, or squares if it's rectangular. Arrange the tomatoes and peppers on top of the kebabs, sprinkle with a little salt and black pepper, and place it on the bottom shelf of a preheated oven, covered with aluminum foil, for one hour. Remove the foil and leave it for another half hour to brown and allow the liquid to evaporate.</v>
      </c>
      <c r="U49" s="15" t="str">
        <f ca="1">IFERROR(__xludf.DUMMYFUNCTION("GOOGLETRANSLATE(G49, ""ar"", ""en"")"),"The quantity is enough for 6 people.")</f>
        <v>The quantity is enough for 6 people.</v>
      </c>
      <c r="V49" s="15" t="str">
        <f ca="1">IFERROR(__xludf.DUMMYFUNCTION("GOOGLETRANSLATE(H49, ""ar"", ""en"")"),"Prepare a dish of white rice or vermicelli, as desired.")</f>
        <v>Prepare a dish of white rice or vermicelli, as desired.</v>
      </c>
      <c r="W49" s="15" t="str">
        <f ca="1">IFERROR(__xludf.DUMMYFUNCTION("GOOGLETRANSLATE(I49, ""ar"", ""en"")"),"This dish in Aleppo is eaten by dipping bread in it.")</f>
        <v>This dish in Aleppo is eaten by dipping bread in it.</v>
      </c>
      <c r="X49" s="15" t="str">
        <f ca="1">IFERROR(__xludf.DUMMYFUNCTION("GOOGLETRANSLATE(J49, ""ar"", ""en"")"),"Kabab_Beseinieh_Belbanadora.jpg")</f>
        <v>Kabab_Beseinieh_Belbanadora.jpg</v>
      </c>
      <c r="Y49" s="15" t="str">
        <f ca="1">IFERROR(__xludf.DUMMYFUNCTION("GOOGLETRANSLATE(K49, ""ar"", ""en"")"),"#VALUE!")</f>
        <v>#VALUE!</v>
      </c>
      <c r="Z49" s="15" t="str">
        <f ca="1">IFERROR(__xludf.DUMMYFUNCTION("GOOGLETRANSLATE(L49, ""ar"", ""en"")"),"#VALUE!")</f>
        <v>#VALUE!</v>
      </c>
      <c r="AA49" s="15" t="str">
        <f ca="1">IFERROR(__xludf.DUMMYFUNCTION("GOOGLETRANSLATE(M49, ""ar"", ""en"")"),"#VALUE!")</f>
        <v>#VALUE!</v>
      </c>
      <c r="AB49" s="15" t="str">
        <f ca="1">IFERROR(__xludf.DUMMYFUNCTION("GOOGLETRANSLATE(N49, ""ar"", ""en"")"),"#VALUE!")</f>
        <v>#VALUE!</v>
      </c>
      <c r="AC49" s="16" t="str">
        <f t="shared" si="1"/>
        <v>48</v>
      </c>
      <c r="AD49" s="17" t="str">
        <f ca="1">IFERROR(__xludf.DUMMYFUNCTION("GOOGLETRANSLATE(P49, ""en"", ""sv"")"),"kött")</f>
        <v>kött</v>
      </c>
      <c r="AE49" s="17" t="str">
        <f ca="1">IFERROR(__xludf.DUMMYFUNCTION("GOOGLETRANSLATE(Q49, ""en"", ""sv"")"),"Ugnsbakad kebab med tomater och paprika")</f>
        <v>Ugnsbakad kebab med tomater och paprika</v>
      </c>
      <c r="AF49" s="17" t="str">
        <f ca="1">IFERROR(__xludf.DUMMYFUNCTION("GOOGLETRANSLATE(R49, ""en"", ""sv"")"),"#VALUE!")</f>
        <v>#VALUE!</v>
      </c>
      <c r="AG49" s="17" t="str">
        <f ca="1">IFERROR(__xludf.DUMMYFUNCTION("GOOGLETRANSLATE(S49, ""en"", ""sv"")"),"• 1 kg kebab
• 1 liten lök inuti kebaben
• 1/2 knippe persilja inuti kebaben
• 1/2 kg tomater
• 1 grön paprika (stark eller söt, efter önskemål)
• 1 röd paprika (stark eller söt, efter önskemål)
• 1 tsk salt
• 1 tsk svartpeppar
• 1 tsk malen kanel")</f>
        <v>• 1 kg kebab
• 1 liten lök inuti kebaben
• 1/2 knippe persilja inuti kebaben
• 1/2 kg tomater
• 1 grön paprika (stark eller söt, efter önskemål)
• 1 röd paprika (stark eller söt, efter önskemål)
• 1 tsk salt
• 1 tsk svartpeppar
• 1 tsk malen kanel</v>
      </c>
      <c r="AH49" s="17" t="str">
        <f ca="1">IFERROR(__xludf.DUMMYFUNCTION("GOOGLETRANSLATE(T49, ""en"", ""sv"")"),"Tvätta tomaterna och paprikorna, skiva dem 2 cm tjocka och ställ åt sidan.
Knåda kebabblandningen väl tills den blir smidig. Bred ut den i en 2 cm tjock ugnsform och skär den i trianglar om formen är rund, eller fyrkanter om den är rektangulär. Lägg toma"&amp;"terna och paprikorna ovanpå kebaben, strö över lite salt och svartpeppar och placera den på den nedre hyllan i en förvärmd ugn, täckt med aluminiumfolie, i en timme. Ta bort folien och låt den stå i ytterligare en halvtimme för att bryna och låta vätskan "&amp;"avdunsta.")</f>
        <v>Tvätta tomaterna och paprikorna, skiva dem 2 cm tjocka och ställ åt sidan.
Knåda kebabblandningen väl tills den blir smidig. Bred ut den i en 2 cm tjock ugnsform och skär den i trianglar om formen är rund, eller fyrkanter om den är rektangulär. Lägg tomaterna och paprikorna ovanpå kebaben, strö över lite salt och svartpeppar och placera den på den nedre hyllan i en förvärmd ugn, täckt med aluminiumfolie, i en timme. Ta bort folien och låt den stå i ytterligare en halvtimme för att bryna och låta vätskan avdunsta.</v>
      </c>
      <c r="AI49" s="17" t="str">
        <f ca="1">IFERROR(__xludf.DUMMYFUNCTION("GOOGLETRANSLATE(U49, ""en"", ""sv"")"),"Mängden räcker till 6 personer.")</f>
        <v>Mängden räcker till 6 personer.</v>
      </c>
      <c r="AJ49" s="17" t="str">
        <f ca="1">IFERROR(__xludf.DUMMYFUNCTION("GOOGLETRANSLATE(V49, ""en"", ""sv"")"),"Förbered en rätt med vitt ris eller vermicelli, efter önskemål.")</f>
        <v>Förbered en rätt med vitt ris eller vermicelli, efter önskemål.</v>
      </c>
      <c r="AK49" s="17" t="str">
        <f ca="1">IFERROR(__xludf.DUMMYFUNCTION("GOOGLETRANSLATE(W49, ""en"", ""sv"")"),"Denna rätt i Aleppo äts genom att doppa bröd i den.")</f>
        <v>Denna rätt i Aleppo äts genom att doppa bröd i den.</v>
      </c>
      <c r="AL49" s="17" t="str">
        <f ca="1">IFERROR(__xludf.DUMMYFUNCTION("GOOGLETRANSLATE(X49, ""en"", ""sv"")"),"Kabab_Beseinieh_Belbanadora.jpg")</f>
        <v>Kabab_Beseinieh_Belbanadora.jpg</v>
      </c>
      <c r="AM49" s="17" t="str">
        <f ca="1">IFERROR(__xludf.DUMMYFUNCTION("GOOGLETRANSLATE(Y49, ""en"", ""sv"")"),"#VALUE!")</f>
        <v>#VALUE!</v>
      </c>
      <c r="AN49" s="17" t="str">
        <f ca="1">IFERROR(__xludf.DUMMYFUNCTION("GOOGLETRANSLATE(Z49, ""en"", ""sv"")"),"#VALUE!")</f>
        <v>#VALUE!</v>
      </c>
      <c r="AO49" s="17" t="str">
        <f ca="1">IFERROR(__xludf.DUMMYFUNCTION("GOOGLETRANSLATE(AA49, ""en"", ""sv"")"),"#VALUE!")</f>
        <v>#VALUE!</v>
      </c>
      <c r="AP49" s="17" t="str">
        <f ca="1">IFERROR(__xludf.DUMMYFUNCTION("GOOGLETRANSLATE(AB49, ""en"", ""sv"")"),"#VALUE!")</f>
        <v>#VALUE!</v>
      </c>
      <c r="AQ49" s="17"/>
    </row>
    <row r="50" spans="1:43" ht="14.25" customHeight="1" x14ac:dyDescent="0.3">
      <c r="A50" s="8" t="s">
        <v>389</v>
      </c>
      <c r="B50" s="38" t="s">
        <v>247</v>
      </c>
      <c r="C50" s="39" t="s">
        <v>390</v>
      </c>
      <c r="D50" s="39" t="s">
        <v>31</v>
      </c>
      <c r="E50" s="42" t="s">
        <v>391</v>
      </c>
      <c r="F50" s="35" t="s">
        <v>392</v>
      </c>
      <c r="G50" s="35" t="s">
        <v>194</v>
      </c>
      <c r="H50" s="35" t="s">
        <v>393</v>
      </c>
      <c r="I50" s="35" t="s">
        <v>394</v>
      </c>
      <c r="J50" s="45" t="s">
        <v>395</v>
      </c>
      <c r="K50" s="41"/>
      <c r="L50" s="41"/>
      <c r="M50" s="41"/>
      <c r="N50" s="41"/>
      <c r="O50" s="14" t="str">
        <f t="shared" si="0"/>
        <v>49</v>
      </c>
      <c r="P50" s="15" t="str">
        <f ca="1">IFERROR(__xludf.DUMMYFUNCTION("GOOGLETRANSLATE(B50, ""ar"", ""en"")"),"Stuffed vegetables")</f>
        <v>Stuffed vegetables</v>
      </c>
      <c r="Q50" s="15" t="str">
        <f ca="1">IFERROR(__xludf.DUMMYFUNCTION("GOOGLETRANSLATE(C50, ""ar"", ""en"")"),"Stuffed chard")</f>
        <v>Stuffed chard</v>
      </c>
      <c r="R50" s="15" t="str">
        <f ca="1">IFERROR(__xludf.DUMMYFUNCTION("GOOGLETRANSLATE(D50, ""ar"", ""en"")"),"3 hours")</f>
        <v>3 hours</v>
      </c>
      <c r="S50" s="15" t="str">
        <f ca="1">IFERROR(__xludf.DUMMYFUNCTION("GOOGLETRANSLATE(E50, ""ar"", ""en"")"),"• 4 kg Swiss chard
• 4 cups Egyptian rice or any short-grain rice
• 1 kg lamb
• 3 tomatoes blended
• 3 tablespoons tomato paste
• A bunch of chopped parsley
• 1 teaspoon salt
• 1 teaspoon black pepper
• 1 teaspoon seven-spice mix
• ½ teaspoon ground cinna"&amp;"mon
• 3 tablespoons ghee
Ingredients for the broth:
• Lamb bones
• 2 tablespoons minced garlic
• 3 tablespoons tomato paste
• 3 liters boiling water
• 1 tablespoon salt
• 1 tablespoon citric acid or the juice of 5 lemons
• 1 tablespoon dried mint")</f>
        <v>• 4 kg Swiss chard
• 4 cups Egyptian rice or any short-grain rice
• 1 kg lamb
• 3 tomatoes blended
• 3 tablespoons tomato paste
• A bunch of chopped parsley
• 1 teaspoon salt
• 1 teaspoon black pepper
• 1 teaspoon seven-spice mix
• ½ teaspoon ground cinnamon
• 3 tablespoons ghee
Ingredients for the broth:
• Lamb bones
• 2 tablespoons minced garlic
• 3 tablespoons tomato paste
• 3 liters boiling water
• 1 tablespoon salt
• 1 tablespoon citric acid or the juice of 5 lemons
• 1 tablespoon dried mint</v>
      </c>
      <c r="T50" s="15" t="str">
        <f ca="1">IFERROR(__xludf.DUMMYFUNCTION("GOOGLETRANSLATE(F50, ""ar"", ""en"")"),"Preparing the Swiss Chard: Swiss chard is a very delicate plant, so it should not be boiled. Instead, chop the leaves and arrange them in a deep bowl. Pour hot water over them and cover for an hour. This will cause them to wilt but remain firm, making the"&amp;"m easy to roll.
While the Swiss chard is wilting, soak the rice in blended tomatoes and set it aside until you start rolling.
Preparing the Filling: Place the rice in a plastic container and mix it with the meat, spices, tomato paste, and a cup of water"&amp;" until it is moist and cooked through inside the Swiss chard. Start rolling the Swiss chard leaves like cabbage rolls. There's no need to seal the ends. If there's an edge, you can fold it inwards. Note that Swiss chard leaves are large, so cut each leaf "&amp;"into small pieces according to your preference. Don't make them too long, as Swiss chard is not strong enough to hold and could break in the hands of the person eating it. It's best to roll them thickly and short.
The Broth: Before starting to roll, prep"&amp;"are a suitable pot and place the bones, tomato paste, spices, and garlic at the bottom. Then, start rolling and layering the Swiss chard on top of the bones until you have finished. Pour boiling water over the rice after placing an upside-down plate on to"&amp;"p to prevent it from shaking while boiling and spilling out during cooking.
")</f>
        <v xml:space="preserve">Preparing the Swiss Chard: Swiss chard is a very delicate plant, so it should not be boiled. Instead, chop the leaves and arrange them in a deep bowl. Pour hot water over them and cover for an hour. This will cause them to wilt but remain firm, making them easy to roll.
While the Swiss chard is wilting, soak the rice in blended tomatoes and set it aside until you start rolling.
Preparing the Filling: Place the rice in a plastic container and mix it with the meat, spices, tomato paste, and a cup of water until it is moist and cooked through inside the Swiss chard. Start rolling the Swiss chard leaves like cabbage rolls. There's no need to seal the ends. If there's an edge, you can fold it inwards. Note that Swiss chard leaves are large, so cut each leaf into small pieces according to your preference. Don't make them too long, as Swiss chard is not strong enough to hold and could break in the hands of the person eating it. It's best to roll them thickly and short.
The Broth: Before starting to roll, prepare a suitable pot and place the bones, tomato paste, spices, and garlic at the bottom. Then, start rolling and layering the Swiss chard on top of the bones until you have finished. Pour boiling water over the rice after placing an upside-down plate on top to prevent it from shaking while boiling and spilling out during cooking.
</v>
      </c>
      <c r="U50" s="15" t="str">
        <f ca="1">IFERROR(__xludf.DUMMYFUNCTION("GOOGLETRANSLATE(G50, ""ar"", ""en"")"),"The quantity is enough for 6 people.")</f>
        <v>The quantity is enough for 6 people.</v>
      </c>
      <c r="V50" s="15" t="str">
        <f ca="1">IFERROR(__xludf.DUMMYFUNCTION("GOOGLETRANSLATE(H50, ""ar"", ""en"")"),"Garnish the stuffed dish with slices of green pepper or radish.")</f>
        <v>Garnish the stuffed dish with slices of green pepper or radish.</v>
      </c>
      <c r="W50" s="15" t="str">
        <f ca="1">IFERROR(__xludf.DUMMYFUNCTION("GOOGLETRANSLATE(I50, ""ar"", ""en"")"),"This dish is seasonal. Do not buy chard except in season because it is suitable for wrapping and cheap. Chard out of season is grown in greenhouses and cannot be cooked in this way. You can cook it as a tanboura or chard with oil.")</f>
        <v>This dish is seasonal. Do not buy chard except in season because it is suitable for wrapping and cheap. Chard out of season is grown in greenhouses and cannot be cooked in this way. You can cook it as a tanboura or chard with oil.</v>
      </c>
      <c r="X50" s="15" t="str">
        <f ca="1">IFERROR(__xludf.DUMMYFUNCTION("GOOGLETRANSLATE(J50, ""ar"", ""en"")"),"Images/Selq_Mehshi.jpg")</f>
        <v>Images/Selq_Mehshi.jpg</v>
      </c>
      <c r="Y50" s="15" t="str">
        <f ca="1">IFERROR(__xludf.DUMMYFUNCTION("GOOGLETRANSLATE(K50, ""ar"", ""en"")"),"#VALUE!")</f>
        <v>#VALUE!</v>
      </c>
      <c r="Z50" s="15" t="str">
        <f ca="1">IFERROR(__xludf.DUMMYFUNCTION("GOOGLETRANSLATE(L50, ""ar"", ""en"")"),"#VALUE!")</f>
        <v>#VALUE!</v>
      </c>
      <c r="AA50" s="15" t="str">
        <f ca="1">IFERROR(__xludf.DUMMYFUNCTION("GOOGLETRANSLATE(M50, ""ar"", ""en"")"),"#VALUE!")</f>
        <v>#VALUE!</v>
      </c>
      <c r="AB50" s="15" t="str">
        <f ca="1">IFERROR(__xludf.DUMMYFUNCTION("GOOGLETRANSLATE(N50, ""ar"", ""en"")"),"#VALUE!")</f>
        <v>#VALUE!</v>
      </c>
      <c r="AC50" s="16" t="str">
        <f t="shared" si="1"/>
        <v>49</v>
      </c>
      <c r="AD50" s="17" t="str">
        <f ca="1">IFERROR(__xludf.DUMMYFUNCTION("GOOGLETRANSLATE(P50, ""en"", ""sv"")"),"Fyllda grönsaker")</f>
        <v>Fyllda grönsaker</v>
      </c>
      <c r="AE50" s="17" t="str">
        <f ca="1">IFERROR(__xludf.DUMMYFUNCTION("GOOGLETRANSLATE(Q50, ""en"", ""sv"")"),"Fylld mangold")</f>
        <v>Fylld mangold</v>
      </c>
      <c r="AF50" s="17" t="str">
        <f ca="1">IFERROR(__xludf.DUMMYFUNCTION("GOOGLETRANSLATE(R50, ""en"", ""sv"")"),"3 timmar")</f>
        <v>3 timmar</v>
      </c>
      <c r="AG50" s="17" t="str">
        <f ca="1">IFERROR(__xludf.DUMMYFUNCTION("GOOGLETRANSLATE(S50, ""en"", ""sv"")"),"• 4 kg mangold
• 4 koppar egyptiskt ris eller annat kortkornigt ris
• 1 kg lamm
• 3 mixade tomater
• 3 msk tomatpuré
• En knippa hackad persilja
• 1 tsk salt
• 1 tsk svartpeppar
• 1 tsk sjukryddsblandning
• ½ tsk malen kanel
• 3 msk ghee
Ingredienser til"&amp;"l buljongen:
• Lammben
• 2 msk hackad vitlök
• 3 msk tomatpuré
• 3 liter kokande vatten
• 1 msk salt
• 1 msk citronsyra eller saften från 5 citroner
• 1 msk torkad mynta")</f>
        <v>• 4 kg mangold
• 4 koppar egyptiskt ris eller annat kortkornigt ris
• 1 kg lamm
• 3 mixade tomater
• 3 msk tomatpuré
• En knippa hackad persilja
• 1 tsk salt
• 1 tsk svartpeppar
• 1 tsk sjukryddsblandning
• ½ tsk malen kanel
• 3 msk ghee
Ingredienser till buljongen:
• Lammben
• 2 msk hackad vitlök
• 3 msk tomatpuré
• 3 liter kokande vatten
• 1 msk salt
• 1 msk citronsyra eller saften från 5 citroner
• 1 msk torkad mynta</v>
      </c>
      <c r="AH50" s="17" t="str">
        <f ca="1">IFERROR(__xludf.DUMMYFUNCTION("GOOGLETRANSLATE(T50, ""en"", ""sv"")"),"Förberedelse av mangold: Mangold är en mycket ömtålig växt, så den bör inte kokas. Hacka istället bladen och lägg dem i en djup skål. Häll varmt vatten över dem och täck över i en timme. Detta gör att de vissnar men förblir fasta, vilket gör dem lätta att"&amp;" rulla ihop.
Medan mangolden vissnar, blötlägg riset i blandade tomater och ställ det åt sidan tills du börjar rulla.
Förberedelse av fyllningen: Lägg riset i en plastbehållare och blanda det med köttet, kryddorna, tomatpurén och en kopp vatten tills de"&amp;"t är saftigt och genomkokt inuti mangolden. Börja rulla mangoldbladen som kålrullar. Det finns ingen anledning att försegla ändarna. Om det finns en kant kan du vika den inåt. Observera att mangoldblad är stora, så skär varje blad i små bitar efter tycke "&amp;"och smak. Gör dem inte för långa, eftersom mangold inte är tillräckligt stark för att hålla och kan gå sönder i händerna på den som äter den. Det är bäst att rulla dem tjockt och kort.
Buljongen: Innan du börjar rulla riset, förbered en lämplig kastrull "&amp;"och placera ben, tomatpuré, kryddor och vitlök i botten. Börja sedan rulla och varva mangold ovanpå benen tills du är klar. Häll kokande vatten över riset efter att du har placerat en upp-och-nervänd tallrik ovanpå för att förhindra att det skakar under k"&amp;"okningen och spills ut under tillagningen.
")</f>
        <v xml:space="preserve">Förberedelse av mangold: Mangold är en mycket ömtålig växt, så den bör inte kokas. Hacka istället bladen och lägg dem i en djup skål. Häll varmt vatten över dem och täck över i en timme. Detta gör att de vissnar men förblir fasta, vilket gör dem lätta att rulla ihop.
Medan mangolden vissnar, blötlägg riset i blandade tomater och ställ det åt sidan tills du börjar rulla.
Förberedelse av fyllningen: Lägg riset i en plastbehållare och blanda det med köttet, kryddorna, tomatpurén och en kopp vatten tills det är saftigt och genomkokt inuti mangolden. Börja rulla mangoldbladen som kålrullar. Det finns ingen anledning att försegla ändarna. Om det finns en kant kan du vika den inåt. Observera att mangoldblad är stora, så skär varje blad i små bitar efter tycke och smak. Gör dem inte för långa, eftersom mangold inte är tillräckligt stark för att hålla och kan gå sönder i händerna på den som äter den. Det är bäst att rulla dem tjockt och kort.
Buljongen: Innan du börjar rulla riset, förbered en lämplig kastrull och placera ben, tomatpuré, kryddor och vitlök i botten. Börja sedan rulla och varva mangold ovanpå benen tills du är klar. Häll kokande vatten över riset efter att du har placerat en upp-och-nervänd tallrik ovanpå för att förhindra att det skakar under kokningen och spills ut under tillagningen.
</v>
      </c>
      <c r="AI50" s="17" t="str">
        <f ca="1">IFERROR(__xludf.DUMMYFUNCTION("GOOGLETRANSLATE(U50, ""en"", ""sv"")"),"Mängden räcker till 6 personer.")</f>
        <v>Mängden räcker till 6 personer.</v>
      </c>
      <c r="AJ50" s="17" t="str">
        <f ca="1">IFERROR(__xludf.DUMMYFUNCTION("GOOGLETRANSLATE(V50, ""en"", ""sv"")"),"Garnera den fyllda rätten med skivor av grön paprika eller rädisa.")</f>
        <v>Garnera den fyllda rätten med skivor av grön paprika eller rädisa.</v>
      </c>
      <c r="AK50" s="17" t="str">
        <f ca="1">IFERROR(__xludf.DUMMYFUNCTION("GOOGLETRANSLATE(W50, ""en"", ""sv"")"),"Denna rätt är säsongsbetonad. Köp inte mangold om den inte är i säsong eftersom den är lämplig för inslagning och billig. Mangold utanför säsong odlas i växthus och kan inte tillagas på detta sätt. Du kan tillaga den som tanboura eller mangold med olja.")</f>
        <v>Denna rätt är säsongsbetonad. Köp inte mangold om den inte är i säsong eftersom den är lämplig för inslagning och billig. Mangold utanför säsong odlas i växthus och kan inte tillagas på detta sätt. Du kan tillaga den som tanboura eller mangold med olja.</v>
      </c>
      <c r="AL50" s="17" t="str">
        <f ca="1">IFERROR(__xludf.DUMMYFUNCTION("GOOGLETRANSLATE(X50, ""en"", ""sv"")"),"Bilder/Selq_Mehshi.jpg")</f>
        <v>Bilder/Selq_Mehshi.jpg</v>
      </c>
      <c r="AM50" s="17" t="str">
        <f ca="1">IFERROR(__xludf.DUMMYFUNCTION("GOOGLETRANSLATE(Y50, ""en"", ""sv"")"),"#VALUE!")</f>
        <v>#VALUE!</v>
      </c>
      <c r="AN50" s="17" t="str">
        <f ca="1">IFERROR(__xludf.DUMMYFUNCTION("GOOGLETRANSLATE(Z50, ""en"", ""sv"")"),"#VALUE!")</f>
        <v>#VALUE!</v>
      </c>
      <c r="AO50" s="17" t="str">
        <f ca="1">IFERROR(__xludf.DUMMYFUNCTION("GOOGLETRANSLATE(AA50, ""en"", ""sv"")"),"#VALUE!")</f>
        <v>#VALUE!</v>
      </c>
      <c r="AP50" s="17" t="str">
        <f ca="1">IFERROR(__xludf.DUMMYFUNCTION("GOOGLETRANSLATE(AB50, ""en"", ""sv"")"),"#VALUE!")</f>
        <v>#VALUE!</v>
      </c>
      <c r="AQ50" s="17"/>
    </row>
    <row r="51" spans="1:43" ht="14.25" customHeight="1" x14ac:dyDescent="0.3">
      <c r="A51" s="8" t="s">
        <v>396</v>
      </c>
      <c r="B51" s="38" t="s">
        <v>308</v>
      </c>
      <c r="C51" s="39" t="s">
        <v>397</v>
      </c>
      <c r="D51" s="39" t="s">
        <v>161</v>
      </c>
      <c r="E51" s="42" t="s">
        <v>398</v>
      </c>
      <c r="F51" s="35" t="s">
        <v>399</v>
      </c>
      <c r="G51" s="35" t="s">
        <v>290</v>
      </c>
      <c r="H51" s="35" t="s">
        <v>400</v>
      </c>
      <c r="I51" s="35" t="s">
        <v>401</v>
      </c>
      <c r="J51" s="45" t="s">
        <v>402</v>
      </c>
      <c r="K51" s="41"/>
      <c r="L51" s="41"/>
      <c r="M51" s="41"/>
      <c r="N51" s="41"/>
      <c r="O51" s="14" t="str">
        <f t="shared" si="0"/>
        <v>50</v>
      </c>
      <c r="P51" s="15" t="str">
        <f ca="1">IFERROR(__xludf.DUMMYFUNCTION("GOOGLETRANSLATE(B51, ""ar"", ""en"")"),"Vegetarian foods")</f>
        <v>Vegetarian foods</v>
      </c>
      <c r="Q51" s="15" t="str">
        <f ca="1">IFERROR(__xludf.DUMMYFUNCTION("GOOGLETRANSLATE(C51, ""ar"", ""en"")"),"Boiled and fried in olive oil")</f>
        <v>Boiled and fried in olive oil</v>
      </c>
      <c r="R51" s="15" t="str">
        <f ca="1">IFERROR(__xludf.DUMMYFUNCTION("GOOGLETRANSLATE(D51, ""ar"", ""en"")"),"hour")</f>
        <v>hour</v>
      </c>
      <c r="S51" s="15" t="str">
        <f ca="1">IFERROR(__xludf.DUMMYFUNCTION("GOOGLETRANSLATE(E51, ""ar"", ""en"")"),"• 1 kg Swiss chard
• 1 cup olive oil
• 2 medium onions (300 g)
• 1 tsp salt
• 2 tbsp ground red pepper
• 1 tsp black pepper
")</f>
        <v xml:space="preserve">• 1 kg Swiss chard
• 1 cup olive oil
• 2 medium onions (300 g)
• 1 tsp salt
• 2 tbsp ground red pepper
• 1 tsp black pepper
</v>
      </c>
      <c r="T51" s="15" t="str">
        <f ca="1">IFERROR(__xludf.DUMMYFUNCTION("GOOGLETRANSLATE(F51, ""ar"", ""en"")"),"Comb the Swiss chard leaves, cut them in half, and chop them completely, including the leaves. Soak them in water for 15 minutes, then drain them into a colander by hand. Do not drain the chard with the water, as the sand will return and stick to it. Drai"&amp;"ning it by hand is the best way to prevent the sand from getting back in.
Place the Swiss chard in a pot and cover it with a liter of boiling water. Let it boil for 10 minutes until it wilts. Drain it in a colander and set it aside until you start cookin"&amp;"g. Do not squeeze the chard.
Peel and finely chop the onion. Heat olive oil in a pan over medium heat and sauté until it turns a light golden brown. Add the Swiss chard and stir well. Add salt and spices, and let it simmer, covered, for about 15 minutes.")</f>
        <v>Comb the Swiss chard leaves, cut them in half, and chop them completely, including the leaves. Soak them in water for 15 minutes, then drain them into a colander by hand. Do not drain the chard with the water, as the sand will return and stick to it. Draining it by hand is the best way to prevent the sand from getting back in.
Place the Swiss chard in a pot and cover it with a liter of boiling water. Let it boil for 10 minutes until it wilts. Drain it in a colander and set it aside until you start cooking. Do not squeeze the chard.
Peel and finely chop the onion. Heat olive oil in a pan over medium heat and sauté until it turns a light golden brown. Add the Swiss chard and stir well. Add salt and spices, and let it simmer, covered, for about 15 minutes.</v>
      </c>
      <c r="U51" s="15" t="str">
        <f ca="1">IFERROR(__xludf.DUMMYFUNCTION("GOOGLETRANSLATE(G51, ""ar"", ""en"")"),"The quantity is enough for 4 people.")</f>
        <v>The quantity is enough for 4 people.</v>
      </c>
      <c r="V51" s="15" t="str">
        <f ca="1">IFERROR(__xludf.DUMMYFUNCTION("GOOGLETRANSLATE(H51, ""ar"", ""en"")"),"This dish can be an appetizer or a main course, as you prefer. Garnish it with sliced ​​radish and red pepper.")</f>
        <v>This dish can be an appetizer or a main course, as you prefer. Garnish it with sliced ​​radish and red pepper.</v>
      </c>
      <c r="W51" s="15" t="str">
        <f ca="1">IFERROR(__xludf.DUMMYFUNCTION("GOOGLETRANSLATE(I51, ""ar"", ""en"")"),"A traditional dish that was eaten on cold winter nights when vegetables in this season were limited to winter vegetables only.")</f>
        <v>A traditional dish that was eaten on cold winter nights when vegetables in this season were limited to winter vegetables only.</v>
      </c>
      <c r="X51" s="15" t="str">
        <f ca="1">IFERROR(__xludf.DUMMYFUNCTION("GOOGLETRANSLATE(J51, ""ar"", ""en"")"),"Images/Selq_Mqala.jpg")</f>
        <v>Images/Selq_Mqala.jpg</v>
      </c>
      <c r="Y51" s="15" t="str">
        <f ca="1">IFERROR(__xludf.DUMMYFUNCTION("GOOGLETRANSLATE(K51, ""ar"", ""en"")"),"#VALUE!")</f>
        <v>#VALUE!</v>
      </c>
      <c r="Z51" s="15" t="str">
        <f ca="1">IFERROR(__xludf.DUMMYFUNCTION("GOOGLETRANSLATE(L51, ""ar"", ""en"")"),"#VALUE!")</f>
        <v>#VALUE!</v>
      </c>
      <c r="AA51" s="15" t="str">
        <f ca="1">IFERROR(__xludf.DUMMYFUNCTION("GOOGLETRANSLATE(M51, ""ar"", ""en"")"),"#VALUE!")</f>
        <v>#VALUE!</v>
      </c>
      <c r="AB51" s="15" t="str">
        <f ca="1">IFERROR(__xludf.DUMMYFUNCTION("GOOGLETRANSLATE(N51, ""ar"", ""en"")"),"#VALUE!")</f>
        <v>#VALUE!</v>
      </c>
      <c r="AC51" s="16" t="str">
        <f t="shared" si="1"/>
        <v>50</v>
      </c>
      <c r="AD51" s="17" t="str">
        <f ca="1">IFERROR(__xludf.DUMMYFUNCTION("GOOGLETRANSLATE(P51, ""en"", ""sv"")"),"Vegetarisk mat")</f>
        <v>Vegetarisk mat</v>
      </c>
      <c r="AE51" s="17" t="str">
        <f ca="1">IFERROR(__xludf.DUMMYFUNCTION("GOOGLETRANSLATE(Q51, ""en"", ""sv"")"),"Kokt och stekt i olivolja")</f>
        <v>Kokt och stekt i olivolja</v>
      </c>
      <c r="AF51" s="17" t="str">
        <f ca="1">IFERROR(__xludf.DUMMYFUNCTION("GOOGLETRANSLATE(R51, ""en"", ""sv"")"),"timme")</f>
        <v>timme</v>
      </c>
      <c r="AG51" s="17" t="str">
        <f ca="1">IFERROR(__xludf.DUMMYFUNCTION("GOOGLETRANSLATE(S51, ""en"", ""sv"")"),"• 1 kg mangold
• 2,5 dl olivolja
• 2 medelstora lökar (300 g)
• 1 tsk salt
• 2 msk malen rödpeppar
• 1 tsk svartpeppar
")</f>
        <v xml:space="preserve">• 1 kg mangold
• 2,5 dl olivolja
• 2 medelstora lökar (300 g)
• 1 tsk salt
• 2 msk malen rödpeppar
• 1 tsk svartpeppar
</v>
      </c>
      <c r="AH51" s="17" t="str">
        <f ca="1">IFERROR(__xludf.DUMMYFUNCTION("GOOGLETRANSLATE(T51, ""en"", ""sv"")"),"Kamma mangoldbladen, skär dem på mitten och hacka dem helt, inklusive bladen. Blötlägg dem i vatten i 15 minuter och häll sedan av dem för hand i ett durkslag. Häll inte av mangolden med vattnet, eftersom sanden kommer att fastna i den. Att hälla av den f"&amp;"ör hand är det bästa sättet att förhindra att sanden kommer tillbaka.
Lägg mangolden i en kastrull och täck den med en liter kokande vatten. Låt den koka i 10 minuter tills den vissnar. Häll av den i ett durkslag och ställ åt sidan tills du börjar tillag"&amp;"a. Pressa inte på mangolden.
Skala och finhacka löken. Värm olivolja i en panna på medelvärme och fräs tills den blir gyllenbrun. Tillsätt mangolden och rör om väl. Tillsätt salt och kryddor och låt det sjuda under lock i cirka 15 minuter.")</f>
        <v>Kamma mangoldbladen, skär dem på mitten och hacka dem helt, inklusive bladen. Blötlägg dem i vatten i 15 minuter och häll sedan av dem för hand i ett durkslag. Häll inte av mangolden med vattnet, eftersom sanden kommer att fastna i den. Att hälla av den för hand är det bästa sättet att förhindra att sanden kommer tillbaka.
Lägg mangolden i en kastrull och täck den med en liter kokande vatten. Låt den koka i 10 minuter tills den vissnar. Häll av den i ett durkslag och ställ åt sidan tills du börjar tillaga. Pressa inte på mangolden.
Skala och finhacka löken. Värm olivolja i en panna på medelvärme och fräs tills den blir gyllenbrun. Tillsätt mangolden och rör om väl. Tillsätt salt och kryddor och låt det sjuda under lock i cirka 15 minuter.</v>
      </c>
      <c r="AI51" s="17" t="str">
        <f ca="1">IFERROR(__xludf.DUMMYFUNCTION("GOOGLETRANSLATE(U51, ""en"", ""sv"")"),"Mängden räcker till 4 personer.")</f>
        <v>Mängden räcker till 4 personer.</v>
      </c>
      <c r="AJ51" s="17" t="str">
        <f ca="1">IFERROR(__xludf.DUMMYFUNCTION("GOOGLETRANSLATE(V51, ""en"", ""sv"")"),"Denna rätt kan vara en förrätt eller en huvudrätt, beroende på vad du föredrar. Garnera den med skivad rädisa och röd paprika.")</f>
        <v>Denna rätt kan vara en förrätt eller en huvudrätt, beroende på vad du föredrar. Garnera den med skivad rädisa och röd paprika.</v>
      </c>
      <c r="AK51" s="17" t="str">
        <f ca="1">IFERROR(__xludf.DUMMYFUNCTION("GOOGLETRANSLATE(W51, ""en"", ""sv"")"),"En traditionell rätt som åts under kalla vinternätter då grönsaker under denna säsong endast var vintergrönsaker.")</f>
        <v>En traditionell rätt som åts under kalla vinternätter då grönsaker under denna säsong endast var vintergrönsaker.</v>
      </c>
      <c r="AL51" s="17" t="str">
        <f ca="1">IFERROR(__xludf.DUMMYFUNCTION("GOOGLETRANSLATE(X51, ""en"", ""sv"")"),"Bilder/Selq_Mqala.jpg")</f>
        <v>Bilder/Selq_Mqala.jpg</v>
      </c>
      <c r="AM51" s="17" t="str">
        <f ca="1">IFERROR(__xludf.DUMMYFUNCTION("GOOGLETRANSLATE(Y51, ""en"", ""sv"")"),"#VALUE!")</f>
        <v>#VALUE!</v>
      </c>
      <c r="AN51" s="17" t="str">
        <f ca="1">IFERROR(__xludf.DUMMYFUNCTION("GOOGLETRANSLATE(Z51, ""en"", ""sv"")"),"#VALUE!")</f>
        <v>#VALUE!</v>
      </c>
      <c r="AO51" s="17" t="str">
        <f ca="1">IFERROR(__xludf.DUMMYFUNCTION("GOOGLETRANSLATE(AA51, ""en"", ""sv"")"),"#VALUE!")</f>
        <v>#VALUE!</v>
      </c>
      <c r="AP51" s="17" t="str">
        <f ca="1">IFERROR(__xludf.DUMMYFUNCTION("GOOGLETRANSLATE(AB51, ""en"", ""sv"")"),"#VALUE!")</f>
        <v>#VALUE!</v>
      </c>
      <c r="AQ51" s="17"/>
    </row>
    <row r="52" spans="1:43" ht="14.25" customHeight="1" x14ac:dyDescent="0.3">
      <c r="A52" s="8" t="s">
        <v>403</v>
      </c>
      <c r="B52" s="38" t="s">
        <v>404</v>
      </c>
      <c r="C52" s="39" t="s">
        <v>405</v>
      </c>
      <c r="D52" s="39" t="s">
        <v>406</v>
      </c>
      <c r="E52" s="42" t="s">
        <v>407</v>
      </c>
      <c r="F52" s="35" t="s">
        <v>408</v>
      </c>
      <c r="G52" s="35" t="s">
        <v>409</v>
      </c>
      <c r="H52" s="35" t="s">
        <v>410</v>
      </c>
      <c r="I52" s="35" t="s">
        <v>411</v>
      </c>
      <c r="J52" s="45" t="s">
        <v>412</v>
      </c>
      <c r="K52" s="41"/>
      <c r="L52" s="41"/>
      <c r="M52" s="41"/>
      <c r="N52" s="41"/>
      <c r="O52" s="14" t="str">
        <f t="shared" si="0"/>
        <v>51</v>
      </c>
      <c r="P52" s="15" t="str">
        <f ca="1">IFERROR(__xludf.DUMMYFUNCTION("GOOGLETRANSLATE(B52, ""ar"", ""en"")"),"appetizers")</f>
        <v>appetizers</v>
      </c>
      <c r="Q52" s="15" t="str">
        <f ca="1">IFERROR(__xludf.DUMMYFUNCTION("GOOGLETRANSLATE(C52, ""ar"", ""en"")"),"Swiss chard salad with yogurt and garlic")</f>
        <v>Swiss chard salad with yogurt and garlic</v>
      </c>
      <c r="R52" s="15" t="str">
        <f ca="1">IFERROR(__xludf.DUMMYFUNCTION("GOOGLETRANSLATE(D52, ""ar"", ""en"")"),"half an hour")</f>
        <v>half an hour</v>
      </c>
      <c r="S52" s="15" t="str">
        <f ca="1">IFERROR(__xludf.DUMMYFUNCTION("GOOGLETRANSLATE(E52, ""ar"", ""en"")"),"• When buying chard for stuffing, cut off the tough parts and don't throw them away. Instead, trim and chop them, then make a delicious salad with yogurt and garlic.
• After washing the chard, boil it thoroughly until it's completely tender. Drain the wa"&amp;"ter and let it cool.
• Half a kilo of yogurt
• Half a teaspoon of salt
• One tablespoon of finely minced garlic
• One teaspoon of dried mint
")</f>
        <v xml:space="preserve">• When buying chard for stuffing, cut off the tough parts and don't throw them away. Instead, trim and chop them, then make a delicious salad with yogurt and garlic.
• After washing the chard, boil it thoroughly until it's completely tender. Drain the water and let it cool.
• Half a kilo of yogurt
• Half a teaspoon of salt
• One tablespoon of finely minced garlic
• One teaspoon of dried mint
</v>
      </c>
      <c r="T52" s="15" t="str">
        <f ca="1">IFERROR(__xludf.DUMMYFUNCTION("GOOGLETRANSLATE(F52, ""ar"", ""en"")"),"Put the yogurt in a bowl and mix it well with the salt, garlic and dried mint, then add the chard and stir until it is well blended.")</f>
        <v>Put the yogurt in a bowl and mix it well with the salt, garlic and dried mint, then add the chard and stir until it is well blended.</v>
      </c>
      <c r="U52" s="15" t="str">
        <f ca="1">IFERROR(__xludf.DUMMYFUNCTION("GOOGLETRANSLATE(G52, ""ar"", ""en"")"),"The quantity as an appetizer is enough for 6 people.")</f>
        <v>The quantity as an appetizer is enough for 6 people.</v>
      </c>
      <c r="V52" s="15" t="str">
        <f ca="1">IFERROR(__xludf.DUMMYFUNCTION("GOOGLETRANSLATE(H52, ""ar"", ""en"")"),"It looks like a decoration")</f>
        <v>It looks like a decoration</v>
      </c>
      <c r="W52" s="15" t="str">
        <f ca="1">IFERROR(__xludf.DUMMYFUNCTION("GOOGLETRANSLATE(I52, ""ar"", ""en"")"),"This innovative dish saves money by using chard stems instead of throwing them away.")</f>
        <v>This innovative dish saves money by using chard stems instead of throwing them away.</v>
      </c>
      <c r="X52" s="15" t="str">
        <f ca="1">IFERROR(__xludf.DUMMYFUNCTION("GOOGLETRANSLATE(J52, ""ar"", ""en"")"),"Selq_Blaban.jpg")</f>
        <v>Selq_Blaban.jpg</v>
      </c>
      <c r="Y52" s="15" t="str">
        <f ca="1">IFERROR(__xludf.DUMMYFUNCTION("GOOGLETRANSLATE(K52, ""ar"", ""en"")"),"#VALUE!")</f>
        <v>#VALUE!</v>
      </c>
      <c r="Z52" s="15" t="str">
        <f ca="1">IFERROR(__xludf.DUMMYFUNCTION("GOOGLETRANSLATE(L52, ""ar"", ""en"")"),"#VALUE!")</f>
        <v>#VALUE!</v>
      </c>
      <c r="AA52" s="15" t="str">
        <f ca="1">IFERROR(__xludf.DUMMYFUNCTION("GOOGLETRANSLATE(M52, ""ar"", ""en"")"),"#VALUE!")</f>
        <v>#VALUE!</v>
      </c>
      <c r="AB52" s="15" t="str">
        <f ca="1">IFERROR(__xludf.DUMMYFUNCTION("GOOGLETRANSLATE(N52, ""ar"", ""en"")"),"#VALUE!")</f>
        <v>#VALUE!</v>
      </c>
      <c r="AC52" s="16" t="str">
        <f t="shared" si="1"/>
        <v>51</v>
      </c>
      <c r="AD52" s="17" t="str">
        <f ca="1">IFERROR(__xludf.DUMMYFUNCTION("GOOGLETRANSLATE(P52, ""en"", ""sv"")"),"förrätter")</f>
        <v>förrätter</v>
      </c>
      <c r="AE52" s="17" t="str">
        <f ca="1">IFERROR(__xludf.DUMMYFUNCTION("GOOGLETRANSLATE(Q52, ""en"", ""sv"")"),"Mangoldsallad med yoghurt och vitlök")</f>
        <v>Mangoldsallad med yoghurt och vitlök</v>
      </c>
      <c r="AF52" s="17" t="str">
        <f ca="1">IFERROR(__xludf.DUMMYFUNCTION("GOOGLETRANSLATE(R52, ""en"", ""sv"")"),"en halvtimme")</f>
        <v>en halvtimme</v>
      </c>
      <c r="AG52" s="17" t="str">
        <f ca="1">IFERROR(__xludf.DUMMYFUNCTION("GOOGLETRANSLATE(S52, ""en"", ""sv"")"),"• När du köper mangold till fyllning, skär bort de tuffa delarna och släng dem inte. Ansa och hacka dem istället och gör sedan en läcker sallad med yoghurt och vitlök.
• Efter att du tvättat mangolden, koka den ordentligt tills den är helt mör. Häll av v"&amp;"attnet och låt den svalna.
• Ett halvt kilo yoghurt
• En halv tesked salt
• En matsked finhackad vitlök
• En tesked torkad mynta
")</f>
        <v xml:space="preserve">• När du köper mangold till fyllning, skär bort de tuffa delarna och släng dem inte. Ansa och hacka dem istället och gör sedan en läcker sallad med yoghurt och vitlök.
• Efter att du tvättat mangolden, koka den ordentligt tills den är helt mör. Häll av vattnet och låt den svalna.
• Ett halvt kilo yoghurt
• En halv tesked salt
• En matsked finhackad vitlök
• En tesked torkad mynta
</v>
      </c>
      <c r="AH52" s="17" t="str">
        <f ca="1">IFERROR(__xludf.DUMMYFUNCTION("GOOGLETRANSLATE(T52, ""en"", ""sv"")"),"Lägg yoghurten i en skål och blanda den väl med salt, vitlök och torkad mynta, tillsätt sedan mangold och rör om tills det är väl blandat.")</f>
        <v>Lägg yoghurten i en skål och blanda den väl med salt, vitlök och torkad mynta, tillsätt sedan mangold och rör om tills det är väl blandat.</v>
      </c>
      <c r="AI52" s="17" t="str">
        <f ca="1">IFERROR(__xludf.DUMMYFUNCTION("GOOGLETRANSLATE(U52, ""en"", ""sv"")"),"Mängden som förrätt räcker till 6 personer.")</f>
        <v>Mängden som förrätt räcker till 6 personer.</v>
      </c>
      <c r="AJ52" s="17" t="str">
        <f ca="1">IFERROR(__xludf.DUMMYFUNCTION("GOOGLETRANSLATE(V52, ""en"", ""sv"")"),"Det ser ut som en dekoration")</f>
        <v>Det ser ut som en dekoration</v>
      </c>
      <c r="AK52" s="17" t="str">
        <f ca="1">IFERROR(__xludf.DUMMYFUNCTION("GOOGLETRANSLATE(W52, ""en"", ""sv"")"),"Denna innovativa rätt sparar pengar genom att använda mangoldstjälkar istället för att slänga dem.")</f>
        <v>Denna innovativa rätt sparar pengar genom att använda mangoldstjälkar istället för att slänga dem.</v>
      </c>
      <c r="AL52" s="17" t="str">
        <f ca="1">IFERROR(__xludf.DUMMYFUNCTION("GOOGLETRANSLATE(X52, ""en"", ""sv"")"),"Selq_Blaban.jpg")</f>
        <v>Selq_Blaban.jpg</v>
      </c>
      <c r="AM52" s="17" t="str">
        <f ca="1">IFERROR(__xludf.DUMMYFUNCTION("GOOGLETRANSLATE(Y52, ""en"", ""sv"")"),"#VALUE!")</f>
        <v>#VALUE!</v>
      </c>
      <c r="AN52" s="17" t="str">
        <f ca="1">IFERROR(__xludf.DUMMYFUNCTION("GOOGLETRANSLATE(Z52, ""en"", ""sv"")"),"#VALUE!")</f>
        <v>#VALUE!</v>
      </c>
      <c r="AO52" s="17" t="str">
        <f ca="1">IFERROR(__xludf.DUMMYFUNCTION("GOOGLETRANSLATE(AA52, ""en"", ""sv"")"),"#VALUE!")</f>
        <v>#VALUE!</v>
      </c>
      <c r="AP52" s="17" t="str">
        <f ca="1">IFERROR(__xludf.DUMMYFUNCTION("GOOGLETRANSLATE(AB52, ""en"", ""sv"")"),"#VALUE!")</f>
        <v>#VALUE!</v>
      </c>
      <c r="AQ52" s="17"/>
    </row>
    <row r="53" spans="1:43" ht="14.25" customHeight="1" x14ac:dyDescent="0.3">
      <c r="A53" s="8" t="s">
        <v>413</v>
      </c>
      <c r="B53" s="38" t="s">
        <v>247</v>
      </c>
      <c r="C53" s="39" t="s">
        <v>414</v>
      </c>
      <c r="D53" s="39" t="s">
        <v>31</v>
      </c>
      <c r="E53" s="42" t="s">
        <v>415</v>
      </c>
      <c r="F53" s="35" t="s">
        <v>416</v>
      </c>
      <c r="G53" s="35" t="s">
        <v>194</v>
      </c>
      <c r="H53" s="35" t="s">
        <v>417</v>
      </c>
      <c r="I53" s="35" t="s">
        <v>418</v>
      </c>
      <c r="J53" s="45" t="s">
        <v>419</v>
      </c>
      <c r="K53" s="41"/>
      <c r="L53" s="41"/>
      <c r="M53" s="41"/>
      <c r="N53" s="41"/>
      <c r="O53" s="14" t="str">
        <f t="shared" si="0"/>
        <v>52</v>
      </c>
      <c r="P53" s="15" t="str">
        <f ca="1">IFERROR(__xludf.DUMMYFUNCTION("GOOGLETRANSLATE(B53, ""ar"", ""en"")"),"Stuffed vegetables")</f>
        <v>Stuffed vegetables</v>
      </c>
      <c r="Q53" s="15" t="str">
        <f ca="1">IFERROR(__xludf.DUMMYFUNCTION("GOOGLETRANSLATE(C53, ""ar"", ""en"")"),"Stuffed cabbage")</f>
        <v>Stuffed cabbage</v>
      </c>
      <c r="R53" s="15" t="str">
        <f ca="1">IFERROR(__xludf.DUMMYFUNCTION("GOOGLETRANSLATE(D53, ""ar"", ""en"")"),"3 hours")</f>
        <v>3 hours</v>
      </c>
      <c r="S53" s="15" t="str">
        <f ca="1">IFERROR(__xludf.DUMMYFUNCTION("GOOGLETRANSLATE(E53, ""ar"", ""en"")"),"• 4 kg large head cabbage
• 4 cups Egyptian rice or any short-grain rice
• 1 kg lamb
• 3 tomatoes blended
• 3 tablespoons tomato paste
• A bunch of chopped parsley
• 1 teaspoon salt
• 1 teaspoon black pepper
• 1 teaspoon seven-spice mix
• ½ teaspoon groun"&amp;"d cinnamon
• 3 tablespoons ghee
Ingredients for the broth:
• Lamb bones
• 2 tablespoons minced garlic
• 3 tablespoons tomato paste
• 3 liters boiling water
• 1 tablespoon salt
• 1 tablespoon citric acid or the juice of 5 lemons
• 1 tablespoon dried mint")</f>
        <v>• 4 kg large head cabbage
• 4 cups Egyptian rice or any short-grain rice
• 1 kg lamb
• 3 tomatoes blended
• 3 tablespoons tomato paste
• A bunch of chopped parsley
• 1 teaspoon salt
• 1 teaspoon black pepper
• 1 teaspoon seven-spice mix
• ½ teaspoon ground cinnamon
• 3 tablespoons ghee
Ingredients for the broth:
• Lamb bones
• 2 tablespoons minced garlic
• 3 tablespoons tomato paste
• 3 liters boiling water
• 1 tablespoon salt
• 1 tablespoon citric acid or the juice of 5 lemons
• 1 tablespoon dried mint</v>
      </c>
      <c r="T53" s="15" t="str">
        <f ca="1">IFERROR(__xludf.DUMMYFUNCTION("GOOGLETRANSLATE(F53, ""ar"", ""en"")"),"Preparing Cabbage:
I tried removing the core from the cabbage head by running a knife around it and pulling it out, then removing the leaves one by one, folding them, and boiling them. I found this method tiring and unhealthy.
The second method is to pl"&amp;"ace the entire cabbage head, after removing the core, in boiling water and boil it for 5 minutes. Then remove it from the water and peel off the leaves that have softened and become tender. Return the head to the boiling water to finish boiling and remove"&amp;" the leaves, and so on.
The third method is to cut the sweet carrots about 5 cm from the core, then scoop out the remaining core and place it all in boiling water. This method allows the water to penetrate so that the entire head cooks evenly. If you fin"&amp;"d some leaves that haven't fully softened and cooked, return them to the water.
The fourth method is to cut the head into 3 equal pieces, remove the core, place each quarter in a plastic bag, spray it with water, and microwave it for 5 minutes. Repeat th"&amp;"e process for the remaining pieces. This is the easiest and least tiring method for the homemaker.
Preparing the filling: Place the rice in a plastic bowl and mix it with the meat, spices, tomato paste, and a cup of water until it's moist and cooked thro"&amp;"ugh inside the cabbage. Start rolling the cabbage; there's no need to seal the ends. If there's an edge, you can fold it inwards. It's best to roll it thickly and short.
The broth: Before you start rolling, prepare a suitable pot and place the bones, tom"&amp;"ato paste, spices, and garlic at the bottom. Then start rolling and arrange the cabbage rolls on top of the bones until you've finished.
Pour boiling water over the cabbage rolls after placing an upside-down plate on top to prevent them from shaking whil"&amp;"e boiling and the rice from spilling out during cooking.")</f>
        <v>Preparing Cabbage:
I tried removing the core from the cabbage head by running a knife around it and pulling it out, then removing the leaves one by one, folding them, and boiling them. I found this method tiring and unhealthy.
The second method is to place the entire cabbage head, after removing the core, in boiling water and boil it for 5 minutes. Then remove it from the water and peel off the leaves that have softened and become tender. Return the head to the boiling water to finish boiling and remove the leaves, and so on.
The third method is to cut the sweet carrots about 5 cm from the core, then scoop out the remaining core and place it all in boiling water. This method allows the water to penetrate so that the entire head cooks evenly. If you find some leaves that haven't fully softened and cooked, return them to the water.
The fourth method is to cut the head into 3 equal pieces, remove the core, place each quarter in a plastic bag, spray it with water, and microwave it for 5 minutes. Repeat the process for the remaining pieces. This is the easiest and least tiring method for the homemaker.
Preparing the filling: Place the rice in a plastic bowl and mix it with the meat, spices, tomato paste, and a cup of water until it's moist and cooked through inside the cabbage. Start rolling the cabbage; there's no need to seal the ends. If there's an edge, you can fold it inwards. It's best to roll it thickly and short.
The broth: Before you start rolling, prepare a suitable pot and place the bones, tomato paste, spices, and garlic at the bottom. Then start rolling and arrange the cabbage rolls on top of the bones until you've finished.
Pour boiling water over the cabbage rolls after placing an upside-down plate on top to prevent them from shaking while boiling and the rice from spilling out during cooking.</v>
      </c>
      <c r="U53" s="15" t="str">
        <f ca="1">IFERROR(__xludf.DUMMYFUNCTION("GOOGLETRANSLATE(G53, ""ar"", ""en"")"),"The quantity is enough for 6 people.")</f>
        <v>The quantity is enough for 6 people.</v>
      </c>
      <c r="V53" s="15" t="str">
        <f ca="1">IFERROR(__xludf.DUMMYFUNCTION("GOOGLETRANSLATE(H53, ""ar"", ""en"")"),"Garnish the stuffed dish with pieces of green or red bell pepper and radish.")</f>
        <v>Garnish the stuffed dish with pieces of green or red bell pepper and radish.</v>
      </c>
      <c r="W53" s="15" t="str">
        <f ca="1">IFERROR(__xludf.DUMMYFUNCTION("GOOGLETRANSLATE(I53, ""ar"", ""en"")"),"As I mentioned before, when preparing stuffed grape leaves, in Syria we tie small stuffed vegetables such as chard, cabbage, and grape leaves into bundles that are easy to carry and protect the stuffed vegetables from opening up in the pot.")</f>
        <v>As I mentioned before, when preparing stuffed grape leaves, in Syria we tie small stuffed vegetables such as chard, cabbage, and grape leaves into bundles that are easy to carry and protect the stuffed vegetables from opening up in the pot.</v>
      </c>
      <c r="X53" s="15" t="str">
        <f ca="1">IFERROR(__xludf.DUMMYFUNCTION("GOOGLETRANSLATE(J53, ""ar"", ""en"")"),"Images/Malfouf_Mehshi.jpg")</f>
        <v>Images/Malfouf_Mehshi.jpg</v>
      </c>
      <c r="Y53" s="15" t="str">
        <f ca="1">IFERROR(__xludf.DUMMYFUNCTION("GOOGLETRANSLATE(K53, ""ar"", ""en"")"),"#VALUE!")</f>
        <v>#VALUE!</v>
      </c>
      <c r="Z53" s="15" t="str">
        <f ca="1">IFERROR(__xludf.DUMMYFUNCTION("GOOGLETRANSLATE(L53, ""ar"", ""en"")"),"#VALUE!")</f>
        <v>#VALUE!</v>
      </c>
      <c r="AA53" s="15" t="str">
        <f ca="1">IFERROR(__xludf.DUMMYFUNCTION("GOOGLETRANSLATE(M53, ""ar"", ""en"")"),"#VALUE!")</f>
        <v>#VALUE!</v>
      </c>
      <c r="AB53" s="15" t="str">
        <f ca="1">IFERROR(__xludf.DUMMYFUNCTION("GOOGLETRANSLATE(N53, ""ar"", ""en"")"),"#VALUE!")</f>
        <v>#VALUE!</v>
      </c>
      <c r="AC53" s="16" t="str">
        <f t="shared" si="1"/>
        <v>52</v>
      </c>
      <c r="AD53" s="17" t="str">
        <f ca="1">IFERROR(__xludf.DUMMYFUNCTION("GOOGLETRANSLATE(P53, ""en"", ""sv"")"),"Fyllda grönsaker")</f>
        <v>Fyllda grönsaker</v>
      </c>
      <c r="AE53" s="17" t="str">
        <f ca="1">IFERROR(__xludf.DUMMYFUNCTION("GOOGLETRANSLATE(Q53, ""en"", ""sv"")"),"Fylld kål")</f>
        <v>Fylld kål</v>
      </c>
      <c r="AF53" s="17" t="str">
        <f ca="1">IFERROR(__xludf.DUMMYFUNCTION("GOOGLETRANSLATE(R53, ""en"", ""sv"")"),"3 timmar")</f>
        <v>3 timmar</v>
      </c>
      <c r="AG53" s="17" t="str">
        <f ca="1">IFERROR(__xludf.DUMMYFUNCTION("GOOGLETRANSLATE(S53, ""en"", ""sv"")"),"• 4 kg stort huvudkål
• 4 koppar egyptiskt ris eller annat kortkornigt ris
• 1 kg lamm
• 3 mixade tomater
• 3 msk tomatpuré
• En knippa hackad persilja
• 1 tsk salt
• 1 tsk svartpeppar
• 1 tsk sjukryddsblandning
• ½ tsk malen kanel
• 3 msk ghee
Ingredien"&amp;"ser till buljongen:
• Lammben
• 2 msk hackad vitlök
• 3 msk tomatpuré
• 3 liter kokande vatten
• 1 msk salt
• 1 msk citronsyra eller saften från 5 citroner
• 1 msk torkad mynta")</f>
        <v>• 4 kg stort huvudkål
• 4 koppar egyptiskt ris eller annat kortkornigt ris
• 1 kg lamm
• 3 mixade tomater
• 3 msk tomatpuré
• En knippa hackad persilja
• 1 tsk salt
• 1 tsk svartpeppar
• 1 tsk sjukryddsblandning
• ½ tsk malen kanel
• 3 msk ghee
Ingredienser till buljongen:
• Lammben
• 2 msk hackad vitlök
• 3 msk tomatpuré
• 3 liter kokande vatten
• 1 msk salt
• 1 msk citronsyra eller saften från 5 citroner
• 1 msk torkad mynta</v>
      </c>
      <c r="AH53" s="17" t="str">
        <f ca="1">IFERROR(__xludf.DUMMYFUNCTION("GOOGLETRANSLATE(T53, ""en"", ""sv"")"),"Förbereda kål:
Jag försökte ta bort kärnan från kålhuvudet genom att dra en kniv runt det och dra ut det, sedan ta bort bladen ett i taget, vika dem och koka dem. Jag tyckte att den här metoden var tröttsam och ohälsosam.
Den andra metoden är att lägga "&amp;"hela kålhuvudet, efter att ha tagit bort kärnan, i kokande vatten och koka det i 5 minuter. Ta sedan upp det ur vattnet och skala bort bladen som har mjuknat och blivit möra. Lägg tillbaka huvudet i det kokande vattnet för att koka färdigt och ta bort bla"&amp;"den, och så vidare.
Den tredje metoden är att skära de söta morötterna cirka 5 cm från kärnan, sedan gröpa ur den återstående kärnan och lägga allt i kokande vatten. Denna metod låter vattnet tränga in så att hela huvudet tillagas jämnt. Om du hittar någ"&amp;"ra blad som inte har mjuknat helt och tillagat, lägg tillbaka dem i vattnet.
Den fjärde metoden är att skära huvudet i 3 lika stora bitar, ta bort kärnan, placera varje fjärdedel i en plastpåse, spraya den med vatten och mikrovågsugna det i 5 minuter. Up"&amp;"prepa processen för de återstående bitarna. Detta är den enklaste och minst tröttsamma metoden för hemmafrun.
Förberedelse av fyllningen: Lägg riset i en plastskål och blanda det med kött, kryddor, tomatpuré och en kopp vatten tills det är saftigt och ge"&amp;"nomkokt inuti kålen. Börja rulla kålen; det finns ingen anledning att försegla ändarna. Om det finns en kant kan du vika den inåt. Det är bäst att rulla den tjockt och kort.
Buljongen: Innan du börjar rulla, förbered en lämplig kastrull och placera ben, "&amp;"tomatpuré, kryddor och vitlök i botten. Börja sedan rulla och arrangera kålrullarna ovanpå benen tills du är klar.
Häll kokande vatten över kålrullarna efter att ha placerat en upp-och-nervänd tallrik ovanpå för att förhindra att de skakar under kokninge"&amp;"n och att riset spills ut under tillagningen.")</f>
        <v>Förbereda kål:
Jag försökte ta bort kärnan från kålhuvudet genom att dra en kniv runt det och dra ut det, sedan ta bort bladen ett i taget, vika dem och koka dem. Jag tyckte att den här metoden var tröttsam och ohälsosam.
Den andra metoden är att lägga hela kålhuvudet, efter att ha tagit bort kärnan, i kokande vatten och koka det i 5 minuter. Ta sedan upp det ur vattnet och skala bort bladen som har mjuknat och blivit möra. Lägg tillbaka huvudet i det kokande vattnet för att koka färdigt och ta bort bladen, och så vidare.
Den tredje metoden är att skära de söta morötterna cirka 5 cm från kärnan, sedan gröpa ur den återstående kärnan och lägga allt i kokande vatten. Denna metod låter vattnet tränga in så att hela huvudet tillagas jämnt. Om du hittar några blad som inte har mjuknat helt och tillagat, lägg tillbaka dem i vattnet.
Den fjärde metoden är att skära huvudet i 3 lika stora bitar, ta bort kärnan, placera varje fjärdedel i en plastpåse, spraya den med vatten och mikrovågsugna det i 5 minuter. Upprepa processen för de återstående bitarna. Detta är den enklaste och minst tröttsamma metoden för hemmafrun.
Förberedelse av fyllningen: Lägg riset i en plastskål och blanda det med kött, kryddor, tomatpuré och en kopp vatten tills det är saftigt och genomkokt inuti kålen. Börja rulla kålen; det finns ingen anledning att försegla ändarna. Om det finns en kant kan du vika den inåt. Det är bäst att rulla den tjockt och kort.
Buljongen: Innan du börjar rulla, förbered en lämplig kastrull och placera ben, tomatpuré, kryddor och vitlök i botten. Börja sedan rulla och arrangera kålrullarna ovanpå benen tills du är klar.
Häll kokande vatten över kålrullarna efter att ha placerat en upp-och-nervänd tallrik ovanpå för att förhindra att de skakar under kokningen och att riset spills ut under tillagningen.</v>
      </c>
      <c r="AI53" s="17" t="str">
        <f ca="1">IFERROR(__xludf.DUMMYFUNCTION("GOOGLETRANSLATE(U53, ""en"", ""sv"")"),"Mängden räcker till 6 personer.")</f>
        <v>Mängden räcker till 6 personer.</v>
      </c>
      <c r="AJ53" s="17" t="str">
        <f ca="1">IFERROR(__xludf.DUMMYFUNCTION("GOOGLETRANSLATE(V53, ""en"", ""sv"")"),"Garnera den fyllda rätten med bitar av grön eller röd paprika och rädisa.")</f>
        <v>Garnera den fyllda rätten med bitar av grön eller röd paprika och rädisa.</v>
      </c>
      <c r="AK53" s="17" t="str">
        <f ca="1">IFERROR(__xludf.DUMMYFUNCTION("GOOGLETRANSLATE(W53, ""en"", ""sv"")"),"Som jag nämnde tidigare, när vi i Syrien tillagar fyllda druvblad, knyter vi små fyllda grönsaker som mangold, kål och druvblad i buntar som är lätta att bära och skyddar de fyllda grönsakerna från att öppna sig i grytan.")</f>
        <v>Som jag nämnde tidigare, när vi i Syrien tillagar fyllda druvblad, knyter vi små fyllda grönsaker som mangold, kål och druvblad i buntar som är lätta att bära och skyddar de fyllda grönsakerna från att öppna sig i grytan.</v>
      </c>
      <c r="AL53" s="17" t="str">
        <f ca="1">IFERROR(__xludf.DUMMYFUNCTION("GOOGLETRANSLATE(X53, ""en"", ""sv"")"),"Bilder/Malfouf_Mehshi.jpg")</f>
        <v>Bilder/Malfouf_Mehshi.jpg</v>
      </c>
      <c r="AM53" s="17" t="str">
        <f ca="1">IFERROR(__xludf.DUMMYFUNCTION("GOOGLETRANSLATE(Y53, ""en"", ""sv"")"),"#VALUE!")</f>
        <v>#VALUE!</v>
      </c>
      <c r="AN53" s="17" t="str">
        <f ca="1">IFERROR(__xludf.DUMMYFUNCTION("GOOGLETRANSLATE(Z53, ""en"", ""sv"")"),"#VALUE!")</f>
        <v>#VALUE!</v>
      </c>
      <c r="AO53" s="17" t="str">
        <f ca="1">IFERROR(__xludf.DUMMYFUNCTION("GOOGLETRANSLATE(AA53, ""en"", ""sv"")"),"#VALUE!")</f>
        <v>#VALUE!</v>
      </c>
      <c r="AP53" s="17" t="str">
        <f ca="1">IFERROR(__xludf.DUMMYFUNCTION("GOOGLETRANSLATE(AB53, ""en"", ""sv"")"),"#VALUE!")</f>
        <v>#VALUE!</v>
      </c>
      <c r="AQ53" s="17"/>
    </row>
    <row r="54" spans="1:43" ht="14.25" customHeight="1" x14ac:dyDescent="0.3">
      <c r="A54" s="8" t="s">
        <v>420</v>
      </c>
      <c r="B54" s="38" t="s">
        <v>190</v>
      </c>
      <c r="C54" s="39" t="s">
        <v>421</v>
      </c>
      <c r="D54" s="39" t="s">
        <v>406</v>
      </c>
      <c r="E54" s="42" t="s">
        <v>422</v>
      </c>
      <c r="F54" s="35" t="s">
        <v>423</v>
      </c>
      <c r="G54" s="35" t="s">
        <v>194</v>
      </c>
      <c r="H54" s="42" t="s">
        <v>424</v>
      </c>
      <c r="I54" s="35" t="s">
        <v>425</v>
      </c>
      <c r="J54" s="45" t="s">
        <v>426</v>
      </c>
      <c r="K54" s="41"/>
      <c r="L54" s="41"/>
      <c r="M54" s="41"/>
      <c r="N54" s="41"/>
      <c r="O54" s="14" t="str">
        <f t="shared" si="0"/>
        <v>53</v>
      </c>
      <c r="P54" s="15" t="str">
        <f ca="1">IFERROR(__xludf.DUMMYFUNCTION("GOOGLETRANSLATE(B54, ""ar"", ""en"")"),"Appetizers")</f>
        <v>Appetizers</v>
      </c>
      <c r="Q54" s="15" t="str">
        <f ca="1">IFERROR(__xludf.DUMMYFUNCTION("GOOGLETRANSLATE(C54, ""ar"", ""en"")"),"Hummus with tahini")</f>
        <v>Hummus with tahini</v>
      </c>
      <c r="R54" s="15" t="str">
        <f ca="1">IFERROR(__xludf.DUMMYFUNCTION("GOOGLETRANSLATE(D54, ""ar"", ""en"")"),"half an hour")</f>
        <v>half an hour</v>
      </c>
      <c r="S54" s="15" t="str">
        <f ca="1">IFERROR(__xludf.DUMMYFUNCTION("GOOGLETRANSLATE(E54, ""ar"", ""en"")"),"• 1/2 kg chickpeas
• Juice of 2 medium lemons
• 1 tsp ground cumin
• 1 tsp salt
• 5 tbsp tahini
• Olive oil for garnish and to enhance the flavor when dipping
")</f>
        <v xml:space="preserve">• 1/2 kg chickpeas
• Juice of 2 medium lemons
• 1 tsp ground cumin
• 1 tsp salt
• 5 tbsp tahini
• Olive oil for garnish and to enhance the flavor when dipping
</v>
      </c>
      <c r="T54" s="15" t="str">
        <f ca="1">IFERROR(__xludf.DUMMYFUNCTION("GOOGLETRANSLATE(F54, ""ar"", ""en"")"),"The most important step in making chickpeas is soaking them for at least 24 hours with a tablespoon of baking soda to make them creamier after grinding.
The next day, rinse the chickpeas thoroughly two or three times to remove all the baking soda. Discar"&amp;"d the water and replace it with three times the amount of fresh water.
Bring the chickpeas to a boil over high heat, then reduce the heat to a simmer and let it cook for about two hours. Allow the chickpeas to cool completely in the refrigerator overnigh"&amp;"t, ideally for at least five hours.
The next day, the chickpeas should be completely cooled. Place the chickpeas in a deep, round plastic bowl, filling it halfway, along with a little of the chickpea cooking water (don't discard it, and don't drain the "&amp;"chickpeas). Add lemon juice, salt, and cumin. Start using a hand blender on low speed and blend the mixture well. Then increase the blender speed and blend the chickpeas from top to bottom, moving the blender around the entire bowl to grind all the chickp"&amp;"eas and make them creamy. If the chickpeas are thick and the blender isn't grinding them well, add two ice cubes to the chickpeas and blend them until they become creamy. Then add tahini to the mixture and blend again until you have a smooth, yellow dish,"&amp;" as shown in the picture.")</f>
        <v>The most important step in making chickpeas is soaking them for at least 24 hours with a tablespoon of baking soda to make them creamier after grinding.
The next day, rinse the chickpeas thoroughly two or three times to remove all the baking soda. Discard the water and replace it with three times the amount of fresh water.
Bring the chickpeas to a boil over high heat, then reduce the heat to a simmer and let it cook for about two hours. Allow the chickpeas to cool completely in the refrigerator overnight, ideally for at least five hours.
The next day, the chickpeas should be completely cooled. Place the chickpeas in a deep, round plastic bowl, filling it halfway, along with a little of the chickpea cooking water (don't discard it, and don't drain the chickpeas). Add lemon juice, salt, and cumin. Start using a hand blender on low speed and blend the mixture well. Then increase the blender speed and blend the chickpeas from top to bottom, moving the blender around the entire bowl to grind all the chickpeas and make them creamy. If the chickpeas are thick and the blender isn't grinding them well, add two ice cubes to the chickpeas and blend them until they become creamy. Then add tahini to the mixture and blend again until you have a smooth, yellow dish, as shown in the picture.</v>
      </c>
      <c r="U54" s="15" t="str">
        <f ca="1">IFERROR(__xludf.DUMMYFUNCTION("GOOGLETRANSLATE(G54, ""ar"", ""en"")"),"The quantity is enough for 6 people.")</f>
        <v>The quantity is enough for 6 people.</v>
      </c>
      <c r="V54" s="15" t="str">
        <f ca="1">IFERROR(__xludf.DUMMYFUNCTION("GOOGLETRANSLATE(H54, ""ar"", ""en"")"),"• You can garnish the hummus with artistically sliced ​​radishes.
• Drizzle a little olive oil over the top of the dish, as shown in the picture.
")</f>
        <v xml:space="preserve">• You can garnish the hummus with artistically sliced ​​radishes.
• Drizzle a little olive oil over the top of the dish, as shown in the picture.
</v>
      </c>
      <c r="W54" s="15" t="str">
        <f ca="1">IFERROR(__xludf.DUMMYFUNCTION("GOOGLETRANSLATE(I54, ""ar"", ""en"")"),"Most people buy canned chickpeas, but Aleppo cuisine doesn't recommend them because the canned flavor remains noticeable during preparation, no matter what you add to make it taste like homemade chickpeas. Therefore, Aleppo cuisine always advises preparin"&amp;"g it at home.
In addition, homemade chickpeas are more economical.")</f>
        <v>Most people buy canned chickpeas, but Aleppo cuisine doesn't recommend them because the canned flavor remains noticeable during preparation, no matter what you add to make it taste like homemade chickpeas. Therefore, Aleppo cuisine always advises preparing it at home.
In addition, homemade chickpeas are more economical.</v>
      </c>
      <c r="X54" s="15" t="str">
        <f ca="1">IFERROR(__xludf.DUMMYFUNCTION("GOOGLETRANSLATE(J54, ""ar"", ""en"")"),"Images/Hummus_Bethineh.jpg")</f>
        <v>Images/Hummus_Bethineh.jpg</v>
      </c>
      <c r="Y54" s="15" t="str">
        <f ca="1">IFERROR(__xludf.DUMMYFUNCTION("GOOGLETRANSLATE(K54, ""ar"", ""en"")"),"#VALUE!")</f>
        <v>#VALUE!</v>
      </c>
      <c r="Z54" s="15" t="str">
        <f ca="1">IFERROR(__xludf.DUMMYFUNCTION("GOOGLETRANSLATE(L54, ""ar"", ""en"")"),"#VALUE!")</f>
        <v>#VALUE!</v>
      </c>
      <c r="AA54" s="15" t="str">
        <f ca="1">IFERROR(__xludf.DUMMYFUNCTION("GOOGLETRANSLATE(M54, ""ar"", ""en"")"),"#VALUE!")</f>
        <v>#VALUE!</v>
      </c>
      <c r="AB54" s="15" t="str">
        <f ca="1">IFERROR(__xludf.DUMMYFUNCTION("GOOGLETRANSLATE(N54, ""ar"", ""en"")"),"#VALUE!")</f>
        <v>#VALUE!</v>
      </c>
      <c r="AC54" s="16" t="str">
        <f t="shared" si="1"/>
        <v>53</v>
      </c>
      <c r="AD54" s="17" t="str">
        <f ca="1">IFERROR(__xludf.DUMMYFUNCTION("GOOGLETRANSLATE(P54, ""en"", ""sv"")"),"Förrätter")</f>
        <v>Förrätter</v>
      </c>
      <c r="AE54" s="17" t="str">
        <f ca="1">IFERROR(__xludf.DUMMYFUNCTION("GOOGLETRANSLATE(Q54, ""en"", ""sv"")"),"Hummus med tahini")</f>
        <v>Hummus med tahini</v>
      </c>
      <c r="AF54" s="17" t="str">
        <f ca="1">IFERROR(__xludf.DUMMYFUNCTION("GOOGLETRANSLATE(R54, ""en"", ""sv"")"),"en halvtimme")</f>
        <v>en halvtimme</v>
      </c>
      <c r="AG54" s="17" t="str">
        <f ca="1">IFERROR(__xludf.DUMMYFUNCTION("GOOGLETRANSLATE(S54, ""en"", ""sv"")"),"• 1/2 kg kikärter
• Saft från 2 medelstora citroner
• 1 tsk malen spiskummin
• 1 tsk salt
• 5 msk tahini
• Olivolja till garnering och för att förhöja smaken vid doppning
")</f>
        <v xml:space="preserve">• 1/2 kg kikärter
• Saft från 2 medelstora citroner
• 1 tsk malen spiskummin
• 1 tsk salt
• 5 msk tahini
• Olivolja till garnering och för att förhöja smaken vid doppning
</v>
      </c>
      <c r="AH54" s="17" t="str">
        <f ca="1">IFERROR(__xludf.DUMMYFUNCTION("GOOGLETRANSLATE(T54, ""en"", ""sv"")"),"Det viktigaste steget i att göra kikärter är att blötlägga dem i minst 24 timmar med en matsked bikarbonat för att göra dem krämiga efter malning.
Nästa dag, skölj kikärterna noggrant två eller tre gånger för att få bort all bikarbonat. Häll av vattnet o"&amp;"ch ersätt det med tre gånger så mycket färskt vatten.
Koka upp kikärterna på hög värme, sänk sedan värmen till sjudning och låt det sjuda i cirka två timmar. Låt kikärterna svalna helt i kylskåpet över natten, helst i minst fem timmar.
Nästa dag ska kik"&amp;"ärterna vara helt avsvalnade. Lägg kikärterna i en djup, rund plastskål, fyll den till hälften, tillsammans med lite av kikärtskokningsvattnet (släng det inte och häll inte av kikärterna). Tillsätt citronsaft, salt och spiskummin. Börja använda en stavmix"&amp;"er på låg hastighet och mixa blandningen väl. Öka sedan mixerhastigheten och mixa kikärterna uppifrån och ner, rör mixern runt hela skålen för att mala alla kikärter och göra dem krämiga. Om kikärterna är tjocka och mixern inte mal dem ordentligt, tillsät"&amp;"t två isbitar i kikärterna och mixa tills de blir krämiga. Tillsätt sedan tahini i blandningen och mixa igen tills du har en slät, gul massa, som visas på bilden.")</f>
        <v>Det viktigaste steget i att göra kikärter är att blötlägga dem i minst 24 timmar med en matsked bikarbonat för att göra dem krämiga efter malning.
Nästa dag, skölj kikärterna noggrant två eller tre gånger för att få bort all bikarbonat. Häll av vattnet och ersätt det med tre gånger så mycket färskt vatten.
Koka upp kikärterna på hög värme, sänk sedan värmen till sjudning och låt det sjuda i cirka två timmar. Låt kikärterna svalna helt i kylskåpet över natten, helst i minst fem timmar.
Nästa dag ska kikärterna vara helt avsvalnade. Lägg kikärterna i en djup, rund plastskål, fyll den till hälften, tillsammans med lite av kikärtskokningsvattnet (släng det inte och häll inte av kikärterna). Tillsätt citronsaft, salt och spiskummin. Börja använda en stavmixer på låg hastighet och mixa blandningen väl. Öka sedan mixerhastigheten och mixa kikärterna uppifrån och ner, rör mixern runt hela skålen för att mala alla kikärter och göra dem krämiga. Om kikärterna är tjocka och mixern inte mal dem ordentligt, tillsätt två isbitar i kikärterna och mixa tills de blir krämiga. Tillsätt sedan tahini i blandningen och mixa igen tills du har en slät, gul massa, som visas på bilden.</v>
      </c>
      <c r="AI54" s="17" t="str">
        <f ca="1">IFERROR(__xludf.DUMMYFUNCTION("GOOGLETRANSLATE(U54, ""en"", ""sv"")"),"Mängden räcker till 6 personer.")</f>
        <v>Mängden räcker till 6 personer.</v>
      </c>
      <c r="AJ54" s="17" t="str">
        <f ca="1">IFERROR(__xludf.DUMMYFUNCTION("GOOGLETRANSLATE(V54, ""en"", ""sv"")"),"• Du kan garnera hummusen med konstnärligt skivade rädisor.
• Ringla lite olivolja över rätten, som visas på bilden.
")</f>
        <v xml:space="preserve">• Du kan garnera hummusen med konstnärligt skivade rädisor.
• Ringla lite olivolja över rätten, som visas på bilden.
</v>
      </c>
      <c r="AK54" s="17" t="str">
        <f ca="1">IFERROR(__xludf.DUMMYFUNCTION("GOOGLETRANSLATE(W54, ""en"", ""sv"")"),"De flesta köper kikärter på burk, men Aleppo Cuisine rekommenderar dem inte eftersom smaken på burken förblir märkbar under tillagningen, oavsett vad du tillsätter för att få det att smaka som hemlagade kikärter. Därför rekommenderar Aleppo Cuisine alltid"&amp;" att tillaga det hemma.
Dessutom är hemlagade kikärter mer ekonomiska.")</f>
        <v>De flesta köper kikärter på burk, men Aleppo Cuisine rekommenderar dem inte eftersom smaken på burken förblir märkbar under tillagningen, oavsett vad du tillsätter för att få det att smaka som hemlagade kikärter. Därför rekommenderar Aleppo Cuisine alltid att tillaga det hemma.
Dessutom är hemlagade kikärter mer ekonomiska.</v>
      </c>
      <c r="AL54" s="17" t="str">
        <f ca="1">IFERROR(__xludf.DUMMYFUNCTION("GOOGLETRANSLATE(X54, ""en"", ""sv"")"),"Bilder/Hummus_Bethineh.jpg")</f>
        <v>Bilder/Hummus_Bethineh.jpg</v>
      </c>
      <c r="AM54" s="17" t="str">
        <f ca="1">IFERROR(__xludf.DUMMYFUNCTION("GOOGLETRANSLATE(Y54, ""en"", ""sv"")"),"#VALUE!")</f>
        <v>#VALUE!</v>
      </c>
      <c r="AN54" s="17" t="str">
        <f ca="1">IFERROR(__xludf.DUMMYFUNCTION("GOOGLETRANSLATE(Z54, ""en"", ""sv"")"),"#VALUE!")</f>
        <v>#VALUE!</v>
      </c>
      <c r="AO54" s="17" t="str">
        <f ca="1">IFERROR(__xludf.DUMMYFUNCTION("GOOGLETRANSLATE(AA54, ""en"", ""sv"")"),"#VALUE!")</f>
        <v>#VALUE!</v>
      </c>
      <c r="AP54" s="17" t="str">
        <f ca="1">IFERROR(__xludf.DUMMYFUNCTION("GOOGLETRANSLATE(AB54, ""en"", ""sv"")"),"#VALUE!")</f>
        <v>#VALUE!</v>
      </c>
      <c r="AQ54" s="17"/>
    </row>
    <row r="55" spans="1:43" ht="14.25" customHeight="1" x14ac:dyDescent="0.3">
      <c r="A55" s="8" t="s">
        <v>427</v>
      </c>
      <c r="B55" s="47" t="s">
        <v>428</v>
      </c>
      <c r="C55" s="39" t="s">
        <v>429</v>
      </c>
      <c r="D55" s="39" t="s">
        <v>161</v>
      </c>
      <c r="E55" s="42" t="s">
        <v>430</v>
      </c>
      <c r="F55" s="35" t="s">
        <v>431</v>
      </c>
      <c r="G55" s="35" t="s">
        <v>290</v>
      </c>
      <c r="H55" s="35" t="s">
        <v>432</v>
      </c>
      <c r="I55" s="35" t="s">
        <v>433</v>
      </c>
      <c r="J55" s="45" t="s">
        <v>434</v>
      </c>
      <c r="K55" s="41"/>
      <c r="L55" s="41" t="b">
        <v>1</v>
      </c>
      <c r="M55" s="41"/>
      <c r="N55" s="41"/>
      <c r="O55" s="14" t="str">
        <f t="shared" si="0"/>
        <v>54</v>
      </c>
      <c r="P55" s="15" t="str">
        <f ca="1">IFERROR(__xludf.DUMMYFUNCTION("GOOGLETRANSLATE(B55, ""ar"", ""en"")"),"Authorities")</f>
        <v>Authorities</v>
      </c>
      <c r="Q55" s="15" t="str">
        <f ca="1">IFERROR(__xludf.DUMMYFUNCTION("GOOGLETRANSLATE(C55, ""ar"", ""en"")"),"Tabbouleh")</f>
        <v>Tabbouleh</v>
      </c>
      <c r="R55" s="15" t="str">
        <f ca="1">IFERROR(__xludf.DUMMYFUNCTION("GOOGLETRANSLATE(D55, ""ar"", ""en"")"),"hour")</f>
        <v>hour</v>
      </c>
      <c r="S55" s="15" t="str">
        <f ca="1">IFERROR(__xludf.DUMMYFUNCTION("GOOGLETRANSLATE(E55, ""ar"", ""en"")"),"• 250 grams finely chopped parsley (no more than 3 mm in diameter).
• 1 finely chopped green onion.
• 2 tablespoons fine white bulgur, soaked in lemon juice, oil, and water.
• 2 medium tomatoes, very finely chopped.
• Finely chopped fresh mint (if ava"&amp;"ilable; substitute 1/4 teaspoon dried mint if unavailable).
• 1/4 teaspoon salt.
• 1/2 cup lemon juice.
• 1/4 cup olive oil.")</f>
        <v>• 250 grams finely chopped parsley (no more than 3 mm in diameter).
• 1 finely chopped green onion.
• 2 tablespoons fine white bulgur, soaked in lemon juice, oil, and water.
• 2 medium tomatoes, very finely chopped.
• Finely chopped fresh mint (if available; substitute 1/4 teaspoon dried mint if unavailable).
• 1/4 teaspoon salt.
• 1/2 cup lemon juice.
• 1/4 cup olive oil.</v>
      </c>
      <c r="T55" s="15" t="str">
        <f ca="1">IFERROR(__xludf.DUMMYFUNCTION("GOOGLETRANSLATE(F55, ""ar"", ""en"")"),"Soak the parsley in water with a quarter cup of white vinegar for 15 minutes to remove all bacteria and dirt.
Pull the parsley out of the water with your hands (do not drain it) and rinse it well. Then soak it in clean water for two minutes after adding "&amp;"the vinegar, and spread it out on a clean kitchen towel to dry before chopping.
Wash the tomatoes, green onions, and mint thoroughly before finely chopping them.
Mix all the ingredients with the oil and lemon juice.")</f>
        <v>Soak the parsley in water with a quarter cup of white vinegar for 15 minutes to remove all bacteria and dirt.
Pull the parsley out of the water with your hands (do not drain it) and rinse it well. Then soak it in clean water for two minutes after adding the vinegar, and spread it out on a clean kitchen towel to dry before chopping.
Wash the tomatoes, green onions, and mint thoroughly before finely chopping them.
Mix all the ingredients with the oil and lemon juice.</v>
      </c>
      <c r="U55" s="15" t="str">
        <f ca="1">IFERROR(__xludf.DUMMYFUNCTION("GOOGLETRANSLATE(G55, ""ar"", ""en"")"),"The quantity is enough for 4 people.")</f>
        <v>The quantity is enough for 4 people.</v>
      </c>
      <c r="V55" s="15" t="str">
        <f ca="1">IFERROR(__xludf.DUMMYFUNCTION("GOOGLETRANSLATE(H55, ""ar"", ""en"")"),"Peel a tomato with a thin peel by rolling it around to get a natural red strip and twist it into a rose shape to decorate the tabbouleh dish.")</f>
        <v>Peel a tomato with a thin peel by rolling it around to get a natural red strip and twist it into a rose shape to decorate the tabbouleh dish.</v>
      </c>
      <c r="W55" s="15" t="str">
        <f ca="1">IFERROR(__xludf.DUMMYFUNCTION("GOOGLETRANSLATE(I55, ""ar"", ""en"")"),"Be careful, tabbouleh gets salty easily, so don't add too much salt and let the family decide if they want to add salt.")</f>
        <v>Be careful, tabbouleh gets salty easily, so don't add too much salt and let the family decide if they want to add salt.</v>
      </c>
      <c r="X55" s="15" t="str">
        <f ca="1">IFERROR(__xludf.DUMMYFUNCTION("GOOGLETRANSLATE(J55, ""ar"", ""en"")"),"Images/Tabbouleh.jpg")</f>
        <v>Images/Tabbouleh.jpg</v>
      </c>
      <c r="Y55" s="15" t="str">
        <f ca="1">IFERROR(__xludf.DUMMYFUNCTION("GOOGLETRANSLATE(K55, ""ar"", ""en"")"),"#VALUE!")</f>
        <v>#VALUE!</v>
      </c>
      <c r="Z55" s="15" t="str">
        <f ca="1">IFERROR(__xludf.DUMMYFUNCTION("GOOGLETRANSLATE(L55, ""ar"", ""en"")"),"TRUE")</f>
        <v>TRUE</v>
      </c>
      <c r="AA55" s="15" t="str">
        <f ca="1">IFERROR(__xludf.DUMMYFUNCTION("GOOGLETRANSLATE(M55, ""ar"", ""en"")"),"#VALUE!")</f>
        <v>#VALUE!</v>
      </c>
      <c r="AB55" s="15" t="str">
        <f ca="1">IFERROR(__xludf.DUMMYFUNCTION("GOOGLETRANSLATE(N55, ""ar"", ""en"")"),"#VALUE!")</f>
        <v>#VALUE!</v>
      </c>
      <c r="AC55" s="16" t="str">
        <f t="shared" si="1"/>
        <v>54</v>
      </c>
      <c r="AD55" s="17" t="str">
        <f ca="1">IFERROR(__xludf.DUMMYFUNCTION("GOOGLETRANSLATE(P55, ""en"", ""sv"")"),"Myndigheterna")</f>
        <v>Myndigheterna</v>
      </c>
      <c r="AE55" s="17" t="str">
        <f ca="1">IFERROR(__xludf.DUMMYFUNCTION("GOOGLETRANSLATE(Q55, ""en"", ""sv"")"),"Tabbouleh")</f>
        <v>Tabbouleh</v>
      </c>
      <c r="AF55" s="17" t="str">
        <f ca="1">IFERROR(__xludf.DUMMYFUNCTION("GOOGLETRANSLATE(R55, ""en"", ""sv"")"),"timme")</f>
        <v>timme</v>
      </c>
      <c r="AG55" s="17" t="str">
        <f ca="1">IFERROR(__xludf.DUMMYFUNCTION("GOOGLETRANSLATE(S55, ""en"", ""sv"")"),"• 250 gram finhackad persilja (högst 3 mm i diameter).
• 1 finhackad salladslök.
• 2 msk fin vit bulgur, indränkt i citronsaft, olja och vatten.
• 2 medelstora tomater, mycket finhackade.
• Finhackad färsk mynta (om tillgänglig; ersätt med 1/4 tsk tor"&amp;"kad mynta om den inte finns tillgänglig).
• 1/4 tsk salt.
• 1/2 dl citronsaft.
• 1/4 dl olivolja.")</f>
        <v>• 250 gram finhackad persilja (högst 3 mm i diameter).
• 1 finhackad salladslök.
• 2 msk fin vit bulgur, indränkt i citronsaft, olja och vatten.
• 2 medelstora tomater, mycket finhackade.
• Finhackad färsk mynta (om tillgänglig; ersätt med 1/4 tsk torkad mynta om den inte finns tillgänglig).
• 1/4 tsk salt.
• 1/2 dl citronsaft.
• 1/4 dl olivolja.</v>
      </c>
      <c r="AH55" s="17" t="str">
        <f ca="1">IFERROR(__xludf.DUMMYFUNCTION("GOOGLETRANSLATE(T55, ""en"", ""sv"")"),"Blötlägg persiljan i vatten med en kvarts kopp vitvinsvinäger i 15 minuter för att ta bort alla bakterier och smuts.
Dra upp persiljan ur vattnet med händerna (häll inte av vattnet) och skölj den väl. Blötlägg den sedan i rent vatten i två minuter efter "&amp;"att du tillsatt vinägern och bred ut den på en ren kökshandduk för att torka innan du hackar den.
Tvätta tomaterna, salladslöken och myntan noggrant innan du finhackar dem.
Blanda alla ingredienser med oljan och citronsaften.")</f>
        <v>Blötlägg persiljan i vatten med en kvarts kopp vitvinsvinäger i 15 minuter för att ta bort alla bakterier och smuts.
Dra upp persiljan ur vattnet med händerna (häll inte av vattnet) och skölj den väl. Blötlägg den sedan i rent vatten i två minuter efter att du tillsatt vinägern och bred ut den på en ren kökshandduk för att torka innan du hackar den.
Tvätta tomaterna, salladslöken och myntan noggrant innan du finhackar dem.
Blanda alla ingredienser med oljan och citronsaften.</v>
      </c>
      <c r="AI55" s="17" t="str">
        <f ca="1">IFERROR(__xludf.DUMMYFUNCTION("GOOGLETRANSLATE(U55, ""en"", ""sv"")"),"Mängden räcker till 4 personer.")</f>
        <v>Mängden räcker till 4 personer.</v>
      </c>
      <c r="AJ55" s="17" t="str">
        <f ca="1">IFERROR(__xludf.DUMMYFUNCTION("GOOGLETRANSLATE(V55, ""en"", ""sv"")"),"Skala en tomat med ett tunt skal genom att rulla den runt för att få en naturlig röd rand och vrid den till en rosform för att dekorera tabbouleh-rätten.")</f>
        <v>Skala en tomat med ett tunt skal genom att rulla den runt för att få en naturlig röd rand och vrid den till en rosform för att dekorera tabbouleh-rätten.</v>
      </c>
      <c r="AK55" s="17" t="str">
        <f ca="1">IFERROR(__xludf.DUMMYFUNCTION("GOOGLETRANSLATE(W55, ""en"", ""sv"")"),"Var försiktig, tabbouleh blir lätt salt, så tillsätt inte för mycket salt och låt familjen bestämma om de vill tillsätta salt.")</f>
        <v>Var försiktig, tabbouleh blir lätt salt, så tillsätt inte för mycket salt och låt familjen bestämma om de vill tillsätta salt.</v>
      </c>
      <c r="AL55" s="17" t="str">
        <f ca="1">IFERROR(__xludf.DUMMYFUNCTION("GOOGLETRANSLATE(X55, ""en"", ""sv"")"),"Bilder/Tabbouleh.jpg")</f>
        <v>Bilder/Tabbouleh.jpg</v>
      </c>
      <c r="AM55" s="17" t="str">
        <f ca="1">IFERROR(__xludf.DUMMYFUNCTION("GOOGLETRANSLATE(Y55, ""en"", ""sv"")"),"#VALUE!")</f>
        <v>#VALUE!</v>
      </c>
      <c r="AN55" s="17" t="str">
        <f ca="1">IFERROR(__xludf.DUMMYFUNCTION("GOOGLETRANSLATE(Z55, ""en"", ""sv"")"),"SANN")</f>
        <v>SANN</v>
      </c>
      <c r="AO55" s="17" t="str">
        <f ca="1">IFERROR(__xludf.DUMMYFUNCTION("GOOGLETRANSLATE(AA55, ""en"", ""sv"")"),"#VALUE!")</f>
        <v>#VALUE!</v>
      </c>
      <c r="AP55" s="17" t="str">
        <f ca="1">IFERROR(__xludf.DUMMYFUNCTION("GOOGLETRANSLATE(AB55, ""en"", ""sv"")"),"#VALUE!")</f>
        <v>#VALUE!</v>
      </c>
      <c r="AQ55" s="17"/>
    </row>
    <row r="56" spans="1:43" ht="14.25" customHeight="1" x14ac:dyDescent="0.3">
      <c r="A56" s="8" t="s">
        <v>435</v>
      </c>
      <c r="B56" s="47" t="s">
        <v>428</v>
      </c>
      <c r="C56" s="39" t="s">
        <v>436</v>
      </c>
      <c r="D56" s="39" t="s">
        <v>161</v>
      </c>
      <c r="E56" s="42" t="s">
        <v>437</v>
      </c>
      <c r="F56" s="35" t="s">
        <v>438</v>
      </c>
      <c r="G56" s="35" t="s">
        <v>194</v>
      </c>
      <c r="H56" s="35" t="s">
        <v>439</v>
      </c>
      <c r="I56" s="35" t="s">
        <v>440</v>
      </c>
      <c r="J56" s="45" t="s">
        <v>441</v>
      </c>
      <c r="K56" s="41"/>
      <c r="L56" s="41"/>
      <c r="M56" s="41"/>
      <c r="N56" s="41"/>
      <c r="O56" s="14" t="str">
        <f t="shared" si="0"/>
        <v>55</v>
      </c>
      <c r="P56" s="15" t="str">
        <f ca="1">IFERROR(__xludf.DUMMYFUNCTION("GOOGLETRANSLATE(B56, ""ar"", ""en"")"),"Authorities")</f>
        <v>Authorities</v>
      </c>
      <c r="Q56" s="15" t="str">
        <f ca="1">IFERROR(__xludf.DUMMYFUNCTION("GOOGLETRANSLATE(C56, ""ar"", ""en"")"),"Fattoush")</f>
        <v>Fattoush</v>
      </c>
      <c r="R56" s="15" t="str">
        <f ca="1">IFERROR(__xludf.DUMMYFUNCTION("GOOGLETRANSLATE(D56, ""ar"", ""en"")"),"hour")</f>
        <v>hour</v>
      </c>
      <c r="S56" s="15" t="str">
        <f ca="1">IFERROR(__xludf.DUMMYFUNCTION("GOOGLETRANSLATE(E56, ""ar"", ""en"")"),"• 1 medium tomato
• 2 lettuce leaves
• 1 green onion
• 3 medium bell peppers
• 1 sliced ​​green bell pepper
• A sprinkle of finely chopped parsley
• Fresh mint, if available
• Half a cucumber, if large
• Toasted bread
• Juice of 3 lemons or 1/4 teaspoon c"&amp;"itric acid
• 1/4 teaspoon salt
• 1/4 teaspoon ground cumin
• Good quality olive oil
• 2 tablespoons pomegranate molasses (optional)
• 1 tablespoon ground sumac (optional)")</f>
        <v>• 1 medium tomato
• 2 lettuce leaves
• 1 green onion
• 3 medium bell peppers
• 1 sliced ​​green bell pepper
• A sprinkle of finely chopped parsley
• Fresh mint, if available
• Half a cucumber, if large
• Toasted bread
• Juice of 3 lemons or 1/4 teaspoon citric acid
• 1/4 teaspoon salt
• 1/4 teaspoon ground cumin
• Good quality olive oil
• 2 tablespoons pomegranate molasses (optional)
• 1 tablespoon ground sumac (optional)</v>
      </c>
      <c r="T56" s="15" t="str">
        <f ca="1">IFERROR(__xludf.DUMMYFUNCTION("GOOGLETRANSLATE(F56, ""ar"", ""en"")"),"Soak the vegetables in a quarter cup of white vinegar for 10 minutes, then drain them of water. Chop them into medium-sized pieces and then mix them with salt, lemon, and olive oil.")</f>
        <v>Soak the vegetables in a quarter cup of white vinegar for 10 minutes, then drain them of water. Chop them into medium-sized pieces and then mix them with salt, lemon, and olive oil.</v>
      </c>
      <c r="U56" s="15" t="str">
        <f ca="1">IFERROR(__xludf.DUMMYFUNCTION("GOOGLETRANSLATE(G56, ""ar"", ""en"")"),"The quantity is enough for 6 people.")</f>
        <v>The quantity is enough for 6 people.</v>
      </c>
      <c r="V56" s="15" t="str">
        <f ca="1">IFERROR(__xludf.DUMMYFUNCTION("GOOGLETRANSLATE(H56, ""ar"", ""en"")"),"Garnish the fattoush dish with toasted bread (cut into small squares with scissors).")</f>
        <v>Garnish the fattoush dish with toasted bread (cut into small squares with scissors).</v>
      </c>
      <c r="W56" s="15" t="str">
        <f ca="1">IFERROR(__xludf.DUMMYFUNCTION("GOOGLETRANSLATE(I56, ""ar"", ""en"")"),"Fattoush is flexible in its ingredients; you can add any seasonal vegetables you have available, such as purslane, radishes, and dried onions if fresh ones aren't available.
To make this salad a family favorite, follow two basic rules: use medium-sized, "&amp;"firmer ingredients like cucumbers and tomatoes, and finely chopped parsley, onions, radishes, and other strong seasonings, like spices. This will give you a wonderful flavor and a great taste.
Personally, I don't like pomegranate molasses or sumac with f"&amp;"attoush. I feel they alter the taste of the vegetables in an unpleasant way, and food is a matter of taste.
I prefer lemon juice or citric acid for salads and fattoush without adding too many other ingredients that might overpower the flavor of the veget"&amp;"ables.")</f>
        <v>Fattoush is flexible in its ingredients; you can add any seasonal vegetables you have available, such as purslane, radishes, and dried onions if fresh ones aren't available.
To make this salad a family favorite, follow two basic rules: use medium-sized, firmer ingredients like cucumbers and tomatoes, and finely chopped parsley, onions, radishes, and other strong seasonings, like spices. This will give you a wonderful flavor and a great taste.
Personally, I don't like pomegranate molasses or sumac with fattoush. I feel they alter the taste of the vegetables in an unpleasant way, and food is a matter of taste.
I prefer lemon juice or citric acid for salads and fattoush without adding too many other ingredients that might overpower the flavor of the vegetables.</v>
      </c>
      <c r="X56" s="15" t="str">
        <f ca="1">IFERROR(__xludf.DUMMYFUNCTION("GOOGLETRANSLATE(J56, ""ar"", ""en"")"),"Images/Fattoush.jpg")</f>
        <v>Images/Fattoush.jpg</v>
      </c>
      <c r="Y56" s="15" t="str">
        <f ca="1">IFERROR(__xludf.DUMMYFUNCTION("GOOGLETRANSLATE(K56, ""ar"", ""en"")"),"#VALUE!")</f>
        <v>#VALUE!</v>
      </c>
      <c r="Z56" s="15" t="str">
        <f ca="1">IFERROR(__xludf.DUMMYFUNCTION("GOOGLETRANSLATE(L56, ""ar"", ""en"")"),"#VALUE!")</f>
        <v>#VALUE!</v>
      </c>
      <c r="AA56" s="15" t="str">
        <f ca="1">IFERROR(__xludf.DUMMYFUNCTION("GOOGLETRANSLATE(M56, ""ar"", ""en"")"),"#VALUE!")</f>
        <v>#VALUE!</v>
      </c>
      <c r="AB56" s="15" t="str">
        <f ca="1">IFERROR(__xludf.DUMMYFUNCTION("GOOGLETRANSLATE(N56, ""ar"", ""en"")"),"#VALUE!")</f>
        <v>#VALUE!</v>
      </c>
      <c r="AC56" s="16" t="str">
        <f t="shared" si="1"/>
        <v>55</v>
      </c>
      <c r="AD56" s="17" t="str">
        <f ca="1">IFERROR(__xludf.DUMMYFUNCTION("GOOGLETRANSLATE(P56, ""en"", ""sv"")"),"Myndigheterna")</f>
        <v>Myndigheterna</v>
      </c>
      <c r="AE56" s="17" t="str">
        <f ca="1">IFERROR(__xludf.DUMMYFUNCTION("GOOGLETRANSLATE(Q56, ""en"", ""sv"")"),"Fattoush")</f>
        <v>Fattoush</v>
      </c>
      <c r="AF56" s="17" t="str">
        <f ca="1">IFERROR(__xludf.DUMMYFUNCTION("GOOGLETRANSLATE(R56, ""en"", ""sv"")"),"timme")</f>
        <v>timme</v>
      </c>
      <c r="AG56" s="17" t="str">
        <f ca="1">IFERROR(__xludf.DUMMYFUNCTION("GOOGLETRANSLATE(S56, ""en"", ""sv"")"),"• 1 medelstor tomat
• 2 salladsblad
• 1 salladslök
• 3 medelstora paprikor
• 1 skivad grön paprika
• En nypa finhackad persilja
• Färsk mynta, om tillgänglig
• En halv gurka, om stor
• Rostat bröd
• Saft från 3 citroner eller 1/4 tsk citronsyra
• 1/4 tsk "&amp;"salt
• 1/4 tsk malen spiskummin
• Olivolja av god kvalitet
• 2 msk granatäpplemelass (valfritt)
• 1 msk malen sumak (valfritt)")</f>
        <v>• 1 medelstor tomat
• 2 salladsblad
• 1 salladslök
• 3 medelstora paprikor
• 1 skivad grön paprika
• En nypa finhackad persilja
• Färsk mynta, om tillgänglig
• En halv gurka, om stor
• Rostat bröd
• Saft från 3 citroner eller 1/4 tsk citronsyra
• 1/4 tsk salt
• 1/4 tsk malen spiskummin
• Olivolja av god kvalitet
• 2 msk granatäpplemelass (valfritt)
• 1 msk malen sumak (valfritt)</v>
      </c>
      <c r="AH56" s="17" t="str">
        <f ca="1">IFERROR(__xludf.DUMMYFUNCTION("GOOGLETRANSLATE(T56, ""en"", ""sv"")"),"Blötlägg grönsakerna i en kvarts kopp vit vinäger i 10 minuter, häll sedan av vattnet. Hacka dem i medelstora bitar och blanda dem sedan med salt, citron och olivolja.")</f>
        <v>Blötlägg grönsakerna i en kvarts kopp vit vinäger i 10 minuter, häll sedan av vattnet. Hacka dem i medelstora bitar och blanda dem sedan med salt, citron och olivolja.</v>
      </c>
      <c r="AI56" s="17" t="str">
        <f ca="1">IFERROR(__xludf.DUMMYFUNCTION("GOOGLETRANSLATE(U56, ""en"", ""sv"")"),"Mängden räcker till 6 personer.")</f>
        <v>Mängden räcker till 6 personer.</v>
      </c>
      <c r="AJ56" s="17" t="str">
        <f ca="1">IFERROR(__xludf.DUMMYFUNCTION("GOOGLETRANSLATE(V56, ""en"", ""sv"")"),"Garnera fattoush-rätten med rostat bröd (klipp i små fyrkanter med sax).")</f>
        <v>Garnera fattoush-rätten med rostat bröd (klipp i små fyrkanter med sax).</v>
      </c>
      <c r="AK56" s="17" t="str">
        <f ca="1">IFERROR(__xludf.DUMMYFUNCTION("GOOGLETRANSLATE(W56, ""en"", ""sv"")"),"Fattoush är flexibel i sina ingredienser; du kan lägga till alla säsongsbetonade grönsaker du har tillgängliga, såsom portlak, rädisor och torkad lök om färska inte finns tillgängliga.
För att göra denna sallad till en familjefavorit, följ två grundlägga"&amp;"nde regler: använd medelstora, fastare ingredienser som gurka och tomater, och finhackad persilja, lök, rädisor och andra starka kryddor, som kryddor. Detta ger dig en underbar smak och en fantastisk smak.
Personligen gillar jag inte granatäpplemelass el"&amp;"ler sumak med fattoush. Jag tycker att de förändrar smaken på grönsakerna på ett obehagligt sätt, och mat är en smakfråga.
Jag föredrar citronsaft eller citronsyra till sallader och fattoush utan att tillsätta för många andra ingredienser som kan överman"&amp;"na grönsakernas smak.")</f>
        <v>Fattoush är flexibel i sina ingredienser; du kan lägga till alla säsongsbetonade grönsaker du har tillgängliga, såsom portlak, rädisor och torkad lök om färska inte finns tillgängliga.
För att göra denna sallad till en familjefavorit, följ två grundläggande regler: använd medelstora, fastare ingredienser som gurka och tomater, och finhackad persilja, lök, rädisor och andra starka kryddor, som kryddor. Detta ger dig en underbar smak och en fantastisk smak.
Personligen gillar jag inte granatäpplemelass eller sumak med fattoush. Jag tycker att de förändrar smaken på grönsakerna på ett obehagligt sätt, och mat är en smakfråga.
Jag föredrar citronsaft eller citronsyra till sallader och fattoush utan att tillsätta för många andra ingredienser som kan övermanna grönsakernas smak.</v>
      </c>
      <c r="AL56" s="17" t="str">
        <f ca="1">IFERROR(__xludf.DUMMYFUNCTION("GOOGLETRANSLATE(X56, ""en"", ""sv"")"),"Bilder/Fattoush.jpg")</f>
        <v>Bilder/Fattoush.jpg</v>
      </c>
      <c r="AM56" s="17" t="str">
        <f ca="1">IFERROR(__xludf.DUMMYFUNCTION("GOOGLETRANSLATE(Y56, ""en"", ""sv"")"),"#VALUE!")</f>
        <v>#VALUE!</v>
      </c>
      <c r="AN56" s="17" t="str">
        <f ca="1">IFERROR(__xludf.DUMMYFUNCTION("GOOGLETRANSLATE(Z56, ""en"", ""sv"")"),"#VALUE!")</f>
        <v>#VALUE!</v>
      </c>
      <c r="AO56" s="17" t="str">
        <f ca="1">IFERROR(__xludf.DUMMYFUNCTION("GOOGLETRANSLATE(AA56, ""en"", ""sv"")"),"#VALUE!")</f>
        <v>#VALUE!</v>
      </c>
      <c r="AP56" s="17" t="str">
        <f ca="1">IFERROR(__xludf.DUMMYFUNCTION("GOOGLETRANSLATE(AB56, ""en"", ""sv"")"),"#VALUE!")</f>
        <v>#VALUE!</v>
      </c>
      <c r="AQ56" s="17"/>
    </row>
    <row r="57" spans="1:43" ht="14.25" customHeight="1" x14ac:dyDescent="0.3">
      <c r="A57" s="8" t="s">
        <v>442</v>
      </c>
      <c r="B57" s="47" t="s">
        <v>428</v>
      </c>
      <c r="C57" s="39" t="s">
        <v>443</v>
      </c>
      <c r="D57" s="39" t="s">
        <v>406</v>
      </c>
      <c r="E57" s="42" t="s">
        <v>444</v>
      </c>
      <c r="F57" s="35" t="s">
        <v>445</v>
      </c>
      <c r="G57" s="35" t="s">
        <v>290</v>
      </c>
      <c r="H57" s="35" t="s">
        <v>446</v>
      </c>
      <c r="I57" s="48"/>
      <c r="J57" s="45" t="s">
        <v>447</v>
      </c>
      <c r="K57" s="41"/>
      <c r="L57" s="41"/>
      <c r="M57" s="41"/>
      <c r="N57" s="41"/>
      <c r="O57" s="14" t="str">
        <f t="shared" si="0"/>
        <v>56</v>
      </c>
      <c r="P57" s="15" t="str">
        <f ca="1">IFERROR(__xludf.DUMMYFUNCTION("GOOGLETRANSLATE(B57, ""ar"", ""en"")"),"Authorities")</f>
        <v>Authorities</v>
      </c>
      <c r="Q57" s="15" t="str">
        <f ca="1">IFERROR(__xludf.DUMMYFUNCTION("GOOGLETRANSLATE(C57, ""ar"", ""en"")"),"Cabbage salad")</f>
        <v>Cabbage salad</v>
      </c>
      <c r="R57" s="15" t="str">
        <f ca="1">IFERROR(__xludf.DUMMYFUNCTION("GOOGLETRANSLATE(D57, ""ar"", ""en"")"),"half an hour")</f>
        <v>half an hour</v>
      </c>
      <c r="S57" s="15" t="str">
        <f ca="1">IFERROR(__xludf.DUMMYFUNCTION("GOOGLETRANSLATE(E57, ""ar"", ""en"")"),"• Approximately 300g cabbage (1/4 of a medium head)
• 1/4 grated carrot
• 3 tablespoons mayonnaise
• 1/4 teaspoon salt
• 1 tablespoon sugar
• Juice of 1/2 lemon")</f>
        <v>• Approximately 300g cabbage (1/4 of a medium head)
• 1/4 grated carrot
• 3 tablespoons mayonnaise
• 1/4 teaspoon salt
• 1 tablespoon sugar
• Juice of 1/2 lemon</v>
      </c>
      <c r="T57" s="15" t="str">
        <f ca="1">IFERROR(__xludf.DUMMYFUNCTION("GOOGLETRANSLATE(F57, ""ar"", ""en"")"),"Wash the cabbage and shred it thinly, then cut the shreds into pieces no larger than 5 mm in diameter.
Grate the carrots into small pieces using a fine grater.
Add the grated carrots to the cabbage first and mix well by rubbing them together with your h"&amp;"ands. Then add the salt and sugar, followed by the lemon juice. Mix well again, then add the mayonnaise.
")</f>
        <v xml:space="preserve">Wash the cabbage and shred it thinly, then cut the shreds into pieces no larger than 5 mm in diameter.
Grate the carrots into small pieces using a fine grater.
Add the grated carrots to the cabbage first and mix well by rubbing them together with your hands. Then add the salt and sugar, followed by the lemon juice. Mix well again, then add the mayonnaise.
</v>
      </c>
      <c r="U57" s="15" t="str">
        <f ca="1">IFERROR(__xludf.DUMMYFUNCTION("GOOGLETRANSLATE(G57, ""ar"", ""en"")"),"The quantity is enough for 4 people.")</f>
        <v>The quantity is enough for 4 people.</v>
      </c>
      <c r="V57" s="15" t="str">
        <f ca="1">IFERROR(__xludf.DUMMYFUNCTION("GOOGLETRANSLATE(H57, ""ar"", ""en"")"),"Garnish with fresh mint")</f>
        <v>Garnish with fresh mint</v>
      </c>
      <c r="W57" s="15" t="str">
        <f ca="1">IFERROR(__xludf.DUMMYFUNCTION("GOOGLETRANSLATE(I57, ""ar"", ""en"")"),"#VALUE!")</f>
        <v>#VALUE!</v>
      </c>
      <c r="X57" s="15" t="str">
        <f ca="1">IFERROR(__xludf.DUMMYFUNCTION("GOOGLETRANSLATE(J57, ""ar"", ""en"")"),"Images/Salata_Malfouf.jpg")</f>
        <v>Images/Salata_Malfouf.jpg</v>
      </c>
      <c r="Y57" s="15" t="str">
        <f ca="1">IFERROR(__xludf.DUMMYFUNCTION("GOOGLETRANSLATE(K57, ""ar"", ""en"")"),"#VALUE!")</f>
        <v>#VALUE!</v>
      </c>
      <c r="Z57" s="15" t="str">
        <f ca="1">IFERROR(__xludf.DUMMYFUNCTION("GOOGLETRANSLATE(L57, ""ar"", ""en"")"),"#VALUE!")</f>
        <v>#VALUE!</v>
      </c>
      <c r="AA57" s="15" t="str">
        <f ca="1">IFERROR(__xludf.DUMMYFUNCTION("GOOGLETRANSLATE(M57, ""ar"", ""en"")"),"#VALUE!")</f>
        <v>#VALUE!</v>
      </c>
      <c r="AB57" s="15" t="str">
        <f ca="1">IFERROR(__xludf.DUMMYFUNCTION("GOOGLETRANSLATE(N57, ""ar"", ""en"")"),"#VALUE!")</f>
        <v>#VALUE!</v>
      </c>
      <c r="AC57" s="16" t="str">
        <f t="shared" si="1"/>
        <v>56</v>
      </c>
      <c r="AD57" s="17" t="str">
        <f ca="1">IFERROR(__xludf.DUMMYFUNCTION("GOOGLETRANSLATE(P57, ""en"", ""sv"")"),"Myndigheterna")</f>
        <v>Myndigheterna</v>
      </c>
      <c r="AE57" s="17" t="str">
        <f ca="1">IFERROR(__xludf.DUMMYFUNCTION("GOOGLETRANSLATE(Q57, ""en"", ""sv"")"),"Kålsallad")</f>
        <v>Kålsallad</v>
      </c>
      <c r="AF57" s="17" t="str">
        <f ca="1">IFERROR(__xludf.DUMMYFUNCTION("GOOGLETRANSLATE(R57, ""en"", ""sv"")"),"en halvtimme")</f>
        <v>en halvtimme</v>
      </c>
      <c r="AG57" s="17" t="str">
        <f ca="1">IFERROR(__xludf.DUMMYFUNCTION("GOOGLETRANSLATE(S57, ""en"", ""sv"")"),"• Cirka 300 g kål (1/4 av ett medelstort huvud)
• 1/4 riven morot
• 3 msk majonnäs
• 1/4 tsk salt
• 1 msk socker
• Saft av 1/2 citron")</f>
        <v>• Cirka 300 g kål (1/4 av ett medelstort huvud)
• 1/4 riven morot
• 3 msk majonnäs
• 1/4 tsk salt
• 1 msk socker
• Saft av 1/2 citron</v>
      </c>
      <c r="AH57" s="17" t="str">
        <f ca="1">IFERROR(__xludf.DUMMYFUNCTION("GOOGLETRANSLATE(T57, ""en"", ""sv"")"),"Tvätta kålen och strimla den tunt, skär sedan strimlorna i bitar som inte är större än 5 mm i diameter.
Riv morötterna i små bitar med ett fint rivjärn.
Tillsätt de rivna morötterna till kålen först och blanda väl genom att gnugga dem med händerna. Till"&amp;"sätt sedan salt och socker, följt av citronsaften. Blanda väl igen och tillsätt sedan majonnäsen.
")</f>
        <v xml:space="preserve">Tvätta kålen och strimla den tunt, skär sedan strimlorna i bitar som inte är större än 5 mm i diameter.
Riv morötterna i små bitar med ett fint rivjärn.
Tillsätt de rivna morötterna till kålen först och blanda väl genom att gnugga dem med händerna. Tillsätt sedan salt och socker, följt av citronsaften. Blanda väl igen och tillsätt sedan majonnäsen.
</v>
      </c>
      <c r="AI57" s="17" t="str">
        <f ca="1">IFERROR(__xludf.DUMMYFUNCTION("GOOGLETRANSLATE(U57, ""en"", ""sv"")"),"Mängden räcker till 4 personer.")</f>
        <v>Mängden räcker till 4 personer.</v>
      </c>
      <c r="AJ57" s="17" t="str">
        <f ca="1">IFERROR(__xludf.DUMMYFUNCTION("GOOGLETRANSLATE(V57, ""en"", ""sv"")"),"Garnera med färsk mynta")</f>
        <v>Garnera med färsk mynta</v>
      </c>
      <c r="AK57" s="17" t="str">
        <f ca="1">IFERROR(__xludf.DUMMYFUNCTION("GOOGLETRANSLATE(W57, ""en"", ""sv"")"),"#VALUE!")</f>
        <v>#VALUE!</v>
      </c>
      <c r="AL57" s="17" t="str">
        <f ca="1">IFERROR(__xludf.DUMMYFUNCTION("GOOGLETRANSLATE(X57, ""en"", ""sv"")"),"Bilder/Salata_Malfouf.jpg")</f>
        <v>Bilder/Salata_Malfouf.jpg</v>
      </c>
      <c r="AM57" s="17" t="str">
        <f ca="1">IFERROR(__xludf.DUMMYFUNCTION("GOOGLETRANSLATE(Y57, ""en"", ""sv"")"),"#VALUE!")</f>
        <v>#VALUE!</v>
      </c>
      <c r="AN57" s="17" t="str">
        <f ca="1">IFERROR(__xludf.DUMMYFUNCTION("GOOGLETRANSLATE(Z57, ""en"", ""sv"")"),"#VALUE!")</f>
        <v>#VALUE!</v>
      </c>
      <c r="AO57" s="17" t="str">
        <f ca="1">IFERROR(__xludf.DUMMYFUNCTION("GOOGLETRANSLATE(AA57, ""en"", ""sv"")"),"#VALUE!")</f>
        <v>#VALUE!</v>
      </c>
      <c r="AP57" s="17" t="str">
        <f ca="1">IFERROR(__xludf.DUMMYFUNCTION("GOOGLETRANSLATE(AB57, ""en"", ""sv"")"),"#VALUE!")</f>
        <v>#VALUE!</v>
      </c>
      <c r="AQ57" s="17"/>
    </row>
    <row r="58" spans="1:43" ht="14.25" customHeight="1" x14ac:dyDescent="0.3">
      <c r="A58" s="8" t="s">
        <v>448</v>
      </c>
      <c r="B58" s="47" t="s">
        <v>428</v>
      </c>
      <c r="C58" s="39" t="s">
        <v>449</v>
      </c>
      <c r="D58" s="39" t="s">
        <v>450</v>
      </c>
      <c r="E58" s="42" t="s">
        <v>451</v>
      </c>
      <c r="F58" s="35" t="s">
        <v>452</v>
      </c>
      <c r="G58" s="48"/>
      <c r="H58" s="48"/>
      <c r="I58" s="35" t="s">
        <v>453</v>
      </c>
      <c r="J58" s="45" t="s">
        <v>454</v>
      </c>
      <c r="K58" s="41"/>
      <c r="L58" s="41"/>
      <c r="M58" s="41"/>
      <c r="N58" s="41"/>
      <c r="O58" s="14" t="str">
        <f t="shared" si="0"/>
        <v>57</v>
      </c>
      <c r="P58" s="15" t="str">
        <f ca="1">IFERROR(__xludf.DUMMYFUNCTION("GOOGLETRANSLATE(B58, ""ar"", ""en"")"),"Authorities")</f>
        <v>Authorities</v>
      </c>
      <c r="Q58" s="15" t="str">
        <f ca="1">IFERROR(__xludf.DUMMYFUNCTION("GOOGLETRANSLATE(C58, ""ar"", ""en"")"),"mayonnaise")</f>
        <v>mayonnaise</v>
      </c>
      <c r="R58" s="15" t="str">
        <f ca="1">IFERROR(__xludf.DUMMYFUNCTION("GOOGLETRANSLATE(D58, ""ar"", ""en"")"),"quarter of an hour")</f>
        <v>quarter of an hour</v>
      </c>
      <c r="S58" s="15" t="str">
        <f ca="1">IFERROR(__xludf.DUMMYFUNCTION("GOOGLETRANSLATE(E58, ""ar"", ""en"")"),"• 1 cup Mazola corn oil only
• 1 raw egg
• Juice of half a lemon
• A pinch of salt
• A pinch of black pepper
• A pinch of white pepper
• 1 cup Mazola corn oil only
• 1 raw egg
• Juice of half a lemon
• A pinch of salt
• A pinch of black pepper
• A pinch "&amp;"of white pepper
")</f>
        <v xml:space="preserve">• 1 cup Mazola corn oil only
• 1 raw egg
• Juice of half a lemon
• A pinch of salt
• A pinch of black pepper
• A pinch of white pepper
• 1 cup Mazola corn oil only
• 1 raw egg
• Juice of half a lemon
• A pinch of salt
• A pinch of black pepper
• A pinch of white pepper
</v>
      </c>
      <c r="T58" s="15" t="str">
        <f ca="1">IFERROR(__xludf.DUMMYFUNCTION("GOOGLETRANSLATE(F58, ""ar"", ""en"")"),"Hold the hand blender and fix it in the bottom of the cup or container with the oil without moving your hand. Turn it on at a low speed for a full minute. You will notice that the oil has started to solidify at the bottom. At this stage, gradually and slo"&amp;"wly raise your hand upwards until you reach the top of the oil. Then start moving slowly from top to bottom and from bottom to top until the oil has completely solidified. This is how you get healthy homemade mayonnaise without preservatives and fresh for"&amp;" use in coleslaw.")</f>
        <v>Hold the hand blender and fix it in the bottom of the cup or container with the oil without moving your hand. Turn it on at a low speed for a full minute. You will notice that the oil has started to solidify at the bottom. At this stage, gradually and slowly raise your hand upwards until you reach the top of the oil. Then start moving slowly from top to bottom and from bottom to top until the oil has completely solidified. This is how you get healthy homemade mayonnaise without preservatives and fresh for use in coleslaw.</v>
      </c>
      <c r="U58" s="15" t="str">
        <f ca="1">IFERROR(__xludf.DUMMYFUNCTION("GOOGLETRANSLATE(G58, ""ar"", ""en"")"),"#VALUE!")</f>
        <v>#VALUE!</v>
      </c>
      <c r="V58" s="15" t="str">
        <f ca="1">IFERROR(__xludf.DUMMYFUNCTION("GOOGLETRANSLATE(H58, ""ar"", ""en"")"),"#VALUE!")</f>
        <v>#VALUE!</v>
      </c>
      <c r="W58" s="15" t="str">
        <f ca="1">IFERROR(__xludf.DUMMYFUNCTION("GOOGLETRANSLATE(I58, ""ar"", ""en"")"),"Try making mayonnaise at home just once and you won't buy it after that.")</f>
        <v>Try making mayonnaise at home just once and you won't buy it after that.</v>
      </c>
      <c r="X58" s="15" t="str">
        <f ca="1">IFERROR(__xludf.DUMMYFUNCTION("GOOGLETRANSLATE(J58, ""ar"", ""en"")"),"Images/Mayonaise")</f>
        <v>Images/Mayonaise</v>
      </c>
      <c r="Y58" s="15" t="str">
        <f ca="1">IFERROR(__xludf.DUMMYFUNCTION("GOOGLETRANSLATE(K58, ""ar"", ""en"")"),"#VALUE!")</f>
        <v>#VALUE!</v>
      </c>
      <c r="Z58" s="15" t="str">
        <f ca="1">IFERROR(__xludf.DUMMYFUNCTION("GOOGLETRANSLATE(L58, ""ar"", ""en"")"),"#VALUE!")</f>
        <v>#VALUE!</v>
      </c>
      <c r="AA58" s="15" t="str">
        <f ca="1">IFERROR(__xludf.DUMMYFUNCTION("GOOGLETRANSLATE(M58, ""ar"", ""en"")"),"#VALUE!")</f>
        <v>#VALUE!</v>
      </c>
      <c r="AB58" s="15" t="str">
        <f ca="1">IFERROR(__xludf.DUMMYFUNCTION("GOOGLETRANSLATE(N58, ""ar"", ""en"")"),"#VALUE!")</f>
        <v>#VALUE!</v>
      </c>
      <c r="AC58" s="16" t="str">
        <f t="shared" si="1"/>
        <v>57</v>
      </c>
      <c r="AD58" s="17" t="str">
        <f ca="1">IFERROR(__xludf.DUMMYFUNCTION("GOOGLETRANSLATE(P58, ""en"", ""sv"")"),"Myndigheterna")</f>
        <v>Myndigheterna</v>
      </c>
      <c r="AE58" s="17" t="str">
        <f ca="1">IFERROR(__xludf.DUMMYFUNCTION("GOOGLETRANSLATE(Q58, ""en"", ""sv"")"),"majonnäs")</f>
        <v>majonnäs</v>
      </c>
      <c r="AF58" s="17" t="str">
        <f ca="1">IFERROR(__xludf.DUMMYFUNCTION("GOOGLETRANSLATE(R58, ""en"", ""sv"")"),"en kvart")</f>
        <v>en kvart</v>
      </c>
      <c r="AG58" s="17" t="str">
        <f ca="1">IFERROR(__xludf.DUMMYFUNCTION("GOOGLETRANSLATE(S58, ""en"", ""sv"")"),"• 2,5 dl majsolja (endast Mazola)
• 1 rått ägg
• Saften från en halv citron
• En nypa salt
• En nypa svartpeppar
• En nypa vitpeppar
• 2,5 dl majsolja (endast Mazola)
• 1 rått ägg
• Saften från en halv citron
• En nypa salt
• En nypa svartpeppar
• En nyp"&amp;"a vitpeppar
")</f>
        <v xml:space="preserve">• 2,5 dl majsolja (endast Mazola)
• 1 rått ägg
• Saften från en halv citron
• En nypa salt
• En nypa svartpeppar
• En nypa vitpeppar
• 2,5 dl majsolja (endast Mazola)
• 1 rått ägg
• Saften från en halv citron
• En nypa salt
• En nypa svartpeppar
• En nypa vitpeppar
</v>
      </c>
      <c r="AH58" s="17" t="str">
        <f ca="1">IFERROR(__xludf.DUMMYFUNCTION("GOOGLETRANSLATE(T58, ""en"", ""sv"")"),"Håll stavmixern och fixera den i botten av koppen eller behållaren med oljan utan att röra handen. Sätt igång den på låg hastighet i en hel minut. Du kommer att märka att oljan har börjat stelna i botten. Lyft i detta skede gradvis och långsamt handen upp"&amp;"åt tills du når toppen av oljan. Börja sedan röra den långsamt uppifrån och ner och nerifrån och upp tills oljan har stelnat helt. Så här får du hälsosam hemlagad majonnäs utan konserveringsmedel och färsk att använda i coleslaw.")</f>
        <v>Håll stavmixern och fixera den i botten av koppen eller behållaren med oljan utan att röra handen. Sätt igång den på låg hastighet i en hel minut. Du kommer att märka att oljan har börjat stelna i botten. Lyft i detta skede gradvis och långsamt handen uppåt tills du når toppen av oljan. Börja sedan röra den långsamt uppifrån och ner och nerifrån och upp tills oljan har stelnat helt. Så här får du hälsosam hemlagad majonnäs utan konserveringsmedel och färsk att använda i coleslaw.</v>
      </c>
      <c r="AI58" s="17" t="str">
        <f ca="1">IFERROR(__xludf.DUMMYFUNCTION("GOOGLETRANSLATE(U58, ""en"", ""sv"")"),"#VALUE!")</f>
        <v>#VALUE!</v>
      </c>
      <c r="AJ58" s="17" t="str">
        <f ca="1">IFERROR(__xludf.DUMMYFUNCTION("GOOGLETRANSLATE(V58, ""en"", ""sv"")"),"#VALUE!")</f>
        <v>#VALUE!</v>
      </c>
      <c r="AK58" s="17" t="str">
        <f ca="1">IFERROR(__xludf.DUMMYFUNCTION("GOOGLETRANSLATE(W58, ""en"", ""sv"")"),"Försök att göra majonnäs hemma bara en gång, så köper du den inte efter det.")</f>
        <v>Försök att göra majonnäs hemma bara en gång, så köper du den inte efter det.</v>
      </c>
      <c r="AL58" s="17" t="str">
        <f ca="1">IFERROR(__xludf.DUMMYFUNCTION("GOOGLETRANSLATE(X58, ""en"", ""sv"")"),"Bilder/Majonnäs")</f>
        <v>Bilder/Majonnäs</v>
      </c>
      <c r="AM58" s="17" t="str">
        <f ca="1">IFERROR(__xludf.DUMMYFUNCTION("GOOGLETRANSLATE(Y58, ""en"", ""sv"")"),"#VALUE!")</f>
        <v>#VALUE!</v>
      </c>
      <c r="AN58" s="17" t="str">
        <f ca="1">IFERROR(__xludf.DUMMYFUNCTION("GOOGLETRANSLATE(Z58, ""en"", ""sv"")"),"#VALUE!")</f>
        <v>#VALUE!</v>
      </c>
      <c r="AO58" s="17" t="str">
        <f ca="1">IFERROR(__xludf.DUMMYFUNCTION("GOOGLETRANSLATE(AA58, ""en"", ""sv"")"),"#VALUE!")</f>
        <v>#VALUE!</v>
      </c>
      <c r="AP58" s="17" t="str">
        <f ca="1">IFERROR(__xludf.DUMMYFUNCTION("GOOGLETRANSLATE(AB58, ""en"", ""sv"")"),"#VALUE!")</f>
        <v>#VALUE!</v>
      </c>
      <c r="AQ58" s="17"/>
    </row>
    <row r="59" spans="1:43" ht="14.25" customHeight="1" x14ac:dyDescent="0.3">
      <c r="A59" s="8" t="s">
        <v>455</v>
      </c>
      <c r="B59" s="47" t="s">
        <v>428</v>
      </c>
      <c r="C59" s="39" t="s">
        <v>456</v>
      </c>
      <c r="D59" s="39" t="s">
        <v>161</v>
      </c>
      <c r="E59" s="42" t="s">
        <v>457</v>
      </c>
      <c r="F59" s="35" t="s">
        <v>458</v>
      </c>
      <c r="G59" s="35" t="s">
        <v>290</v>
      </c>
      <c r="H59" s="35" t="s">
        <v>459</v>
      </c>
      <c r="I59" s="35" t="s">
        <v>460</v>
      </c>
      <c r="J59" s="45" t="s">
        <v>461</v>
      </c>
      <c r="K59" s="41"/>
      <c r="L59" s="41"/>
      <c r="M59" s="41"/>
      <c r="N59" s="41"/>
      <c r="O59" s="14" t="str">
        <f t="shared" si="0"/>
        <v>58</v>
      </c>
      <c r="P59" s="15" t="str">
        <f ca="1">IFERROR(__xludf.DUMMYFUNCTION("GOOGLETRANSLATE(B59, ""ar"", ""en"")"),"Authorities")</f>
        <v>Authorities</v>
      </c>
      <c r="Q59" s="15" t="str">
        <f ca="1">IFERROR(__xludf.DUMMYFUNCTION("GOOGLETRANSLATE(C59, ""ar"", ""en"")"),"Vegetable salad with mayonnaise")</f>
        <v>Vegetable salad with mayonnaise</v>
      </c>
      <c r="R59" s="15" t="str">
        <f ca="1">IFERROR(__xludf.DUMMYFUNCTION("GOOGLETRANSLATE(D59, ""ar"", ""en"")"),"hour")</f>
        <v>hour</v>
      </c>
      <c r="S59" s="15" t="str">
        <f ca="1">IFERROR(__xludf.DUMMYFUNCTION("GOOGLETRANSLATE(E59, ""ar"", ""en"")"),"• 1 boiled potato
• 1/2 cup boiled peas
• 1/4 carrot, coarsely grated
• 1 green onion, finely chopped
• 3 tablespoons mayonnaise
• A squeeze of lemon juice
• 1/2 teaspoon salt")</f>
        <v>• 1 boiled potato
• 1/2 cup boiled peas
• 1/4 carrot, coarsely grated
• 1 green onion, finely chopped
• 3 tablespoons mayonnaise
• A squeeze of lemon juice
• 1/2 teaspoon salt</v>
      </c>
      <c r="T59" s="15" t="str">
        <f ca="1">IFERROR(__xludf.DUMMYFUNCTION("GOOGLETRANSLATE(F59, ""ar"", ""en"")"),"Cut the boiled potatoes into medium-sized cubes, about 2 cm in diameter, and grate the carrots.
Combine the vegetables together and mix with salt, lemon juice, and mayonnaise.")</f>
        <v>Cut the boiled potatoes into medium-sized cubes, about 2 cm in diameter, and grate the carrots.
Combine the vegetables together and mix with salt, lemon juice, and mayonnaise.</v>
      </c>
      <c r="U59" s="15" t="str">
        <f ca="1">IFERROR(__xludf.DUMMYFUNCTION("GOOGLETRANSLATE(G59, ""ar"", ""en"")"),"The quantity is enough for 4 people.")</f>
        <v>The quantity is enough for 4 people.</v>
      </c>
      <c r="V59" s="15" t="str">
        <f ca="1">IFERROR(__xludf.DUMMYFUNCTION("GOOGLETRANSLATE(H59, ""ar"", ""en"")"),"Garnish with fresh mint and parsley leaves.")</f>
        <v>Garnish with fresh mint and parsley leaves.</v>
      </c>
      <c r="W59" s="15" t="str">
        <f ca="1">IFERROR(__xludf.DUMMYFUNCTION("GOOGLETRANSLATE(I59, ""ar"", ""en"")"),"This is a unique and wonderful salad that you won't find on many family tables. Give it a try!
If you prefer, you can substitute boiled green beans for the peas, or green beans for the peas themselves.")</f>
        <v>This is a unique and wonderful salad that you won't find on many family tables. Give it a try!
If you prefer, you can substitute boiled green beans for the peas, or green beans for the peas themselves.</v>
      </c>
      <c r="X59" s="15" t="str">
        <f ca="1">IFERROR(__xludf.DUMMYFUNCTION("GOOGLETRANSLATE(J59, ""ar"", ""en"")"),"Images/Salata_Khodar.jpg")</f>
        <v>Images/Salata_Khodar.jpg</v>
      </c>
      <c r="Y59" s="15" t="str">
        <f ca="1">IFERROR(__xludf.DUMMYFUNCTION("GOOGLETRANSLATE(K59, ""ar"", ""en"")"),"#VALUE!")</f>
        <v>#VALUE!</v>
      </c>
      <c r="Z59" s="15" t="str">
        <f ca="1">IFERROR(__xludf.DUMMYFUNCTION("GOOGLETRANSLATE(L59, ""ar"", ""en"")"),"#VALUE!")</f>
        <v>#VALUE!</v>
      </c>
      <c r="AA59" s="15" t="str">
        <f ca="1">IFERROR(__xludf.DUMMYFUNCTION("GOOGLETRANSLATE(M59, ""ar"", ""en"")"),"#VALUE!")</f>
        <v>#VALUE!</v>
      </c>
      <c r="AB59" s="15" t="str">
        <f ca="1">IFERROR(__xludf.DUMMYFUNCTION("GOOGLETRANSLATE(N59, ""ar"", ""en"")"),"#VALUE!")</f>
        <v>#VALUE!</v>
      </c>
      <c r="AC59" s="16" t="str">
        <f t="shared" si="1"/>
        <v>58</v>
      </c>
      <c r="AD59" s="17" t="str">
        <f ca="1">IFERROR(__xludf.DUMMYFUNCTION("GOOGLETRANSLATE(P59, ""en"", ""sv"")"),"Myndigheterna")</f>
        <v>Myndigheterna</v>
      </c>
      <c r="AE59" s="17" t="str">
        <f ca="1">IFERROR(__xludf.DUMMYFUNCTION("GOOGLETRANSLATE(Q59, ""en"", ""sv"")"),"Grönsakssallad med majonnäs")</f>
        <v>Grönsakssallad med majonnäs</v>
      </c>
      <c r="AF59" s="17" t="str">
        <f ca="1">IFERROR(__xludf.DUMMYFUNCTION("GOOGLETRANSLATE(R59, ""en"", ""sv"")"),"timme")</f>
        <v>timme</v>
      </c>
      <c r="AG59" s="17" t="str">
        <f ca="1">IFERROR(__xludf.DUMMYFUNCTION("GOOGLETRANSLATE(S59, ""en"", ""sv"")"),"• 1 kokt potatis
• 1/2 dl kokta ärtor
• 1/4 morot, grovriven
• 1 salladslök, finhackad
• 3 msk majonnäs
• En skvätt citronsaft
• 1/2 tsk salt")</f>
        <v>• 1 kokt potatis
• 1/2 dl kokta ärtor
• 1/4 morot, grovriven
• 1 salladslök, finhackad
• 3 msk majonnäs
• En skvätt citronsaft
• 1/2 tsk salt</v>
      </c>
      <c r="AH59" s="17" t="str">
        <f ca="1">IFERROR(__xludf.DUMMYFUNCTION("GOOGLETRANSLATE(T59, ""en"", ""sv"")"),"Skär de kokta potatisarna i medelstora tärningar, cirka 2 cm i diameter, och riv morötterna.
Blanda grönsakerna och blanda med salt, citronsaft och majonnäs.")</f>
        <v>Skär de kokta potatisarna i medelstora tärningar, cirka 2 cm i diameter, och riv morötterna.
Blanda grönsakerna och blanda med salt, citronsaft och majonnäs.</v>
      </c>
      <c r="AI59" s="17" t="str">
        <f ca="1">IFERROR(__xludf.DUMMYFUNCTION("GOOGLETRANSLATE(U59, ""en"", ""sv"")"),"Mängden räcker till 4 personer.")</f>
        <v>Mängden räcker till 4 personer.</v>
      </c>
      <c r="AJ59" s="17" t="str">
        <f ca="1">IFERROR(__xludf.DUMMYFUNCTION("GOOGLETRANSLATE(V59, ""en"", ""sv"")"),"Garnera med färsk mynta och persiljeblad.")</f>
        <v>Garnera med färsk mynta och persiljeblad.</v>
      </c>
      <c r="AK59" s="17" t="str">
        <f ca="1">IFERROR(__xludf.DUMMYFUNCTION("GOOGLETRANSLATE(W59, ""en"", ""sv"")"),"Detta är en unik och underbar sallad som du inte hittar på många familjebord. Prova den!
Om du föredrar kan du ersätta ärtorna med kokta gröna bönor, eller ärtorna själva med gröna bönor.")</f>
        <v>Detta är en unik och underbar sallad som du inte hittar på många familjebord. Prova den!
Om du föredrar kan du ersätta ärtorna med kokta gröna bönor, eller ärtorna själva med gröna bönor.</v>
      </c>
      <c r="AL59" s="17" t="str">
        <f ca="1">IFERROR(__xludf.DUMMYFUNCTION("GOOGLETRANSLATE(X59, ""en"", ""sv"")"),"Bilder/Salata_Khodar.jpg")</f>
        <v>Bilder/Salata_Khodar.jpg</v>
      </c>
      <c r="AM59" s="17" t="str">
        <f ca="1">IFERROR(__xludf.DUMMYFUNCTION("GOOGLETRANSLATE(Y59, ""en"", ""sv"")"),"#VALUE!")</f>
        <v>#VALUE!</v>
      </c>
      <c r="AN59" s="17" t="str">
        <f ca="1">IFERROR(__xludf.DUMMYFUNCTION("GOOGLETRANSLATE(Z59, ""en"", ""sv"")"),"#VALUE!")</f>
        <v>#VALUE!</v>
      </c>
      <c r="AO59" s="17" t="str">
        <f ca="1">IFERROR(__xludf.DUMMYFUNCTION("GOOGLETRANSLATE(AA59, ""en"", ""sv"")"),"#VALUE!")</f>
        <v>#VALUE!</v>
      </c>
      <c r="AP59" s="17" t="str">
        <f ca="1">IFERROR(__xludf.DUMMYFUNCTION("GOOGLETRANSLATE(AB59, ""en"", ""sv"")"),"#VALUE!")</f>
        <v>#VALUE!</v>
      </c>
      <c r="AQ59" s="17"/>
    </row>
    <row r="60" spans="1:43" ht="14.25" customHeight="1" x14ac:dyDescent="0.3">
      <c r="A60" s="8" t="s">
        <v>462</v>
      </c>
      <c r="B60" s="38" t="s">
        <v>463</v>
      </c>
      <c r="C60" s="39" t="s">
        <v>464</v>
      </c>
      <c r="D60" s="39" t="s">
        <v>161</v>
      </c>
      <c r="E60" s="42" t="s">
        <v>465</v>
      </c>
      <c r="F60" s="35" t="s">
        <v>466</v>
      </c>
      <c r="G60" s="35" t="s">
        <v>194</v>
      </c>
      <c r="H60" s="35" t="s">
        <v>467</v>
      </c>
      <c r="I60" s="48"/>
      <c r="J60" s="45" t="s">
        <v>468</v>
      </c>
      <c r="K60" s="41"/>
      <c r="L60" s="41"/>
      <c r="M60" s="41"/>
      <c r="N60" s="41"/>
      <c r="O60" s="14" t="str">
        <f t="shared" si="0"/>
        <v>59</v>
      </c>
      <c r="P60" s="15" t="str">
        <f ca="1">IFERROR(__xludf.DUMMYFUNCTION("GOOGLETRANSLATE(B60, ""ar"", ""en"")"),"Appetizers, Yogurt Dishes")</f>
        <v>Appetizers, Yogurt Dishes</v>
      </c>
      <c r="Q60" s="15" t="str">
        <f ca="1">IFERROR(__xludf.DUMMYFUNCTION("GOOGLETRANSLATE(C60, ""ar"", ""en"")"),"Baba Ghanoush")</f>
        <v>Baba Ghanoush</v>
      </c>
      <c r="R60" s="15" t="str">
        <f ca="1">IFERROR(__xludf.DUMMYFUNCTION("GOOGLETRANSLATE(D60, ""ar"", ""en"")"),"hour")</f>
        <v>hour</v>
      </c>
      <c r="S60" s="15" t="str">
        <f ca="1">IFERROR(__xludf.DUMMYFUNCTION("GOOGLETRANSLATE(E60, ""ar"", ""en"")"),"• 1/2 kg roasted eggplant or 250g can of roasted eggplant.
• 1 medium tomato
• 1 medium onion
• 1 tbsp minced garlic
• 1/2 tsp ground cumin
• 1/2 tsp salt
• Juice of 2 lemons or 1 tsp citric acid
• 1/4 cup pomegranate molasses
• 1/4 tsp dried mint
• 1/4 "&amp;"tsp black pepper
• 1/4 tsp sweet paprika
• 1/4 cup pomegranate seeds")</f>
        <v>• 1/2 kg roasted eggplant or 250g can of roasted eggplant.
• 1 medium tomato
• 1 medium onion
• 1 tbsp minced garlic
• 1/2 tsp ground cumin
• 1/2 tsp salt
• Juice of 2 lemons or 1 tsp citric acid
• 1/4 cup pomegranate molasses
• 1/4 tsp dried mint
• 1/4 tsp black pepper
• 1/4 tsp sweet paprika
• 1/4 cup pomegranate seeds</v>
      </c>
      <c r="T60" s="15" t="str">
        <f ca="1">IFERROR(__xludf.DUMMYFUNCTION("GOOGLETRANSLATE(F60, ""ar"", ""en"")"),"Pound the roasted eggplant in a mortar and pestle until it breaks down into small pieces.
Chop the tomatoes and onions into small cubes, then mix all the ingredients together until well combined.")</f>
        <v>Pound the roasted eggplant in a mortar and pestle until it breaks down into small pieces.
Chop the tomatoes and onions into small cubes, then mix all the ingredients together until well combined.</v>
      </c>
      <c r="U60" s="15" t="str">
        <f ca="1">IFERROR(__xludf.DUMMYFUNCTION("GOOGLETRANSLATE(G60, ""ar"", ""en"")"),"The quantity is enough for 6 people.")</f>
        <v>The quantity is enough for 6 people.</v>
      </c>
      <c r="V60" s="15" t="str">
        <f ca="1">IFERROR(__xludf.DUMMYFUNCTION("GOOGLETRANSLATE(H60, ""ar"", ""en"")"),"Garnish with fresh mint leaves and sour pomegranate seeds.")</f>
        <v>Garnish with fresh mint leaves and sour pomegranate seeds.</v>
      </c>
      <c r="W60" s="15" t="str">
        <f ca="1">IFERROR(__xludf.DUMMYFUNCTION("GOOGLETRANSLATE(I60, ""ar"", ""en"")"),"#VALUE!")</f>
        <v>#VALUE!</v>
      </c>
      <c r="X60" s="15" t="str">
        <f ca="1">IFERROR(__xludf.DUMMYFUNCTION("GOOGLETRANSLATE(J60, ""ar"", ""en"")"),"Images/Baba_Ghannouj.jpg")</f>
        <v>Images/Baba_Ghannouj.jpg</v>
      </c>
      <c r="Y60" s="15" t="str">
        <f ca="1">IFERROR(__xludf.DUMMYFUNCTION("GOOGLETRANSLATE(K60, ""ar"", ""en"")"),"#VALUE!")</f>
        <v>#VALUE!</v>
      </c>
      <c r="Z60" s="15" t="str">
        <f ca="1">IFERROR(__xludf.DUMMYFUNCTION("GOOGLETRANSLATE(L60, ""ar"", ""en"")"),"#VALUE!")</f>
        <v>#VALUE!</v>
      </c>
      <c r="AA60" s="15" t="str">
        <f ca="1">IFERROR(__xludf.DUMMYFUNCTION("GOOGLETRANSLATE(M60, ""ar"", ""en"")"),"#VALUE!")</f>
        <v>#VALUE!</v>
      </c>
      <c r="AB60" s="15" t="str">
        <f ca="1">IFERROR(__xludf.DUMMYFUNCTION("GOOGLETRANSLATE(N60, ""ar"", ""en"")"),"#VALUE!")</f>
        <v>#VALUE!</v>
      </c>
      <c r="AC60" s="16" t="str">
        <f t="shared" si="1"/>
        <v>59</v>
      </c>
      <c r="AD60" s="17" t="str">
        <f ca="1">IFERROR(__xludf.DUMMYFUNCTION("GOOGLETRANSLATE(P60, ""en"", ""sv"")"),"Förrätter, Yoghurträtter")</f>
        <v>Förrätter, Yoghurträtter</v>
      </c>
      <c r="AE60" s="17" t="str">
        <f ca="1">IFERROR(__xludf.DUMMYFUNCTION("GOOGLETRANSLATE(Q60, ""en"", ""sv"")"),"Baba Ghanoush")</f>
        <v>Baba Ghanoush</v>
      </c>
      <c r="AF60" s="17" t="str">
        <f ca="1">IFERROR(__xludf.DUMMYFUNCTION("GOOGLETRANSLATE(R60, ""en"", ""sv"")"),"timme")</f>
        <v>timme</v>
      </c>
      <c r="AG60" s="17" t="str">
        <f ca="1">IFERROR(__xludf.DUMMYFUNCTION("GOOGLETRANSLATE(S60, ""en"", ""sv"")"),"• 1/2 kg rostad aubergine eller 250 g burk rostad aubergine.
• 1 medelstor tomat
• 1 medelstor lök
• 1 msk hackad vitlök
• 1/2 tsk malen spiskummin
• 1/2 tsk salt
• Saft från 2 citroner eller 1 tsk citronsyra
• 1/4 dl granatäpplemelass
• 1/4 tsk torkad m"&amp;"ynta
• 1/4 tsk svartpeppar
• 1/4 tsk söt paprika
• 1/4 dl granatäpplekärnor")</f>
        <v>• 1/2 kg rostad aubergine eller 250 g burk rostad aubergine.
• 1 medelstor tomat
• 1 medelstor lök
• 1 msk hackad vitlök
• 1/2 tsk malen spiskummin
• 1/2 tsk salt
• Saft från 2 citroner eller 1 tsk citronsyra
• 1/4 dl granatäpplemelass
• 1/4 tsk torkad mynta
• 1/4 tsk svartpeppar
• 1/4 tsk söt paprika
• 1/4 dl granatäpplekärnor</v>
      </c>
      <c r="AH60" s="17" t="str">
        <f ca="1">IFERROR(__xludf.DUMMYFUNCTION("GOOGLETRANSLATE(T60, ""en"", ""sv"")"),"Stöt den rostade auberginen i en mortel tills den sönderfaller i små bitar.
Hack tomaterna och löken i små tärningar och blanda sedan alla ingredienser tills de är väl blandade.")</f>
        <v>Stöt den rostade auberginen i en mortel tills den sönderfaller i små bitar.
Hack tomaterna och löken i små tärningar och blanda sedan alla ingredienser tills de är väl blandade.</v>
      </c>
      <c r="AI60" s="17" t="str">
        <f ca="1">IFERROR(__xludf.DUMMYFUNCTION("GOOGLETRANSLATE(U60, ""en"", ""sv"")"),"Mängden räcker till 6 personer.")</f>
        <v>Mängden räcker till 6 personer.</v>
      </c>
      <c r="AJ60" s="17" t="str">
        <f ca="1">IFERROR(__xludf.DUMMYFUNCTION("GOOGLETRANSLATE(V60, ""en"", ""sv"")"),"Garnera med färska myntablad och syrliga granatäpplekärnor.")</f>
        <v>Garnera med färska myntablad och syrliga granatäpplekärnor.</v>
      </c>
      <c r="AK60" s="17" t="str">
        <f ca="1">IFERROR(__xludf.DUMMYFUNCTION("GOOGLETRANSLATE(W60, ""en"", ""sv"")"),"#VALUE!")</f>
        <v>#VALUE!</v>
      </c>
      <c r="AL60" s="17" t="str">
        <f ca="1">IFERROR(__xludf.DUMMYFUNCTION("GOOGLETRANSLATE(X60, ""en"", ""sv"")"),"Bilder/Baba_Ghannouj.jpg")</f>
        <v>Bilder/Baba_Ghannouj.jpg</v>
      </c>
      <c r="AM60" s="17" t="str">
        <f ca="1">IFERROR(__xludf.DUMMYFUNCTION("GOOGLETRANSLATE(Y60, ""en"", ""sv"")"),"#VALUE!")</f>
        <v>#VALUE!</v>
      </c>
      <c r="AN60" s="17" t="str">
        <f ca="1">IFERROR(__xludf.DUMMYFUNCTION("GOOGLETRANSLATE(Z60, ""en"", ""sv"")"),"#VALUE!")</f>
        <v>#VALUE!</v>
      </c>
      <c r="AO60" s="17" t="str">
        <f ca="1">IFERROR(__xludf.DUMMYFUNCTION("GOOGLETRANSLATE(AA60, ""en"", ""sv"")"),"#VALUE!")</f>
        <v>#VALUE!</v>
      </c>
      <c r="AP60" s="17" t="str">
        <f ca="1">IFERROR(__xludf.DUMMYFUNCTION("GOOGLETRANSLATE(AB60, ""en"", ""sv"")"),"#VALUE!")</f>
        <v>#VALUE!</v>
      </c>
      <c r="AQ60" s="17"/>
    </row>
    <row r="61" spans="1:43" ht="14.25" customHeight="1" x14ac:dyDescent="0.3">
      <c r="A61" s="8" t="s">
        <v>469</v>
      </c>
      <c r="B61" s="49" t="s">
        <v>190</v>
      </c>
      <c r="C61" s="39" t="s">
        <v>470</v>
      </c>
      <c r="D61" s="39" t="s">
        <v>161</v>
      </c>
      <c r="E61" s="42" t="s">
        <v>471</v>
      </c>
      <c r="F61" s="35" t="s">
        <v>472</v>
      </c>
      <c r="G61" s="35" t="s">
        <v>194</v>
      </c>
      <c r="H61" s="35" t="s">
        <v>473</v>
      </c>
      <c r="I61" s="48"/>
      <c r="J61" s="45" t="s">
        <v>474</v>
      </c>
      <c r="K61" s="41"/>
      <c r="L61" s="41"/>
      <c r="M61" s="41"/>
      <c r="N61" s="41"/>
      <c r="O61" s="14" t="str">
        <f t="shared" si="0"/>
        <v>60</v>
      </c>
      <c r="P61" s="15" t="str">
        <f ca="1">IFERROR(__xludf.DUMMYFUNCTION("GOOGLETRANSLATE(B61, ""ar"", ""en"")"),"Appetizers")</f>
        <v>Appetizers</v>
      </c>
      <c r="Q61" s="15" t="str">
        <f ca="1">IFERROR(__xludf.DUMMYFUNCTION("GOOGLETRANSLATE(C61, ""ar"", ""en"")"),"spiced")</f>
        <v>spiced</v>
      </c>
      <c r="R61" s="15" t="str">
        <f ca="1">IFERROR(__xludf.DUMMYFUNCTION("GOOGLETRANSLATE(D61, ""ar"", ""en"")"),"hour")</f>
        <v>hour</v>
      </c>
      <c r="S61" s="15" t="str">
        <f ca="1">IFERROR(__xludf.DUMMYFUNCTION("GOOGLETRANSLATE(E61, ""ar"", ""en"")"),"• 1/2 kg roasted eggplant or 250g can of baba ghanoush.
• 100g yogurt
• 100g tahini or 4 tablespoons
• 1 tablespoon minced garlic
• 1 tablespoon ground cumin
• 1/2 teaspoon salt
• 1 teaspoon citric acid
• 1/4 teaspoon dried mint
• 1/4 teaspoon black pepp"&amp;"er
• 1/4 teaspoon sweet paprika")</f>
        <v>• 1/2 kg roasted eggplant or 250g can of baba ghanoush.
• 100g yogurt
• 100g tahini or 4 tablespoons
• 1 tablespoon minced garlic
• 1 tablespoon ground cumin
• 1/2 teaspoon salt
• 1 teaspoon citric acid
• 1/4 teaspoon dried mint
• 1/4 teaspoon black pepper
• 1/4 teaspoon sweet paprika</v>
      </c>
      <c r="T61" s="15" t="str">
        <f ca="1">IFERROR(__xludf.DUMMYFUNCTION("GOOGLETRANSLATE(F61, ""ar"", ""en"")"),"Mash the roasted eggplant until it becomes creamy. Combine all the ingredients except the tahini, mix well, and then taste to adjust the flavor. It should be well blended and homogeneous with the yogurt. Finally, add the tahini and mix thoroughly.
")</f>
        <v xml:space="preserve">Mash the roasted eggplant until it becomes creamy. Combine all the ingredients except the tahini, mix well, and then taste to adjust the flavor. It should be well blended and homogeneous with the yogurt. Finally, add the tahini and mix thoroughly.
</v>
      </c>
      <c r="U61" s="15" t="str">
        <f ca="1">IFERROR(__xludf.DUMMYFUNCTION("GOOGLETRANSLATE(G61, ""ar"", ""en"")"),"The quantity is enough for 6 people.")</f>
        <v>The quantity is enough for 6 people.</v>
      </c>
      <c r="V61" s="15" t="str">
        <f ca="1">IFERROR(__xludf.DUMMYFUNCTION("GOOGLETRANSLATE(H61, ""ar"", ""en"")"),"It is garnished with finely chopped tomatoes and parsley and a rose in the middle, or chopped tomatoes in the middle.")</f>
        <v>It is garnished with finely chopped tomatoes and parsley and a rose in the middle, or chopped tomatoes in the middle.</v>
      </c>
      <c r="W61" s="15" t="str">
        <f ca="1">IFERROR(__xludf.DUMMYFUNCTION("GOOGLETRANSLATE(I61, ""ar"", ""en"")"),"#VALUE!")</f>
        <v>#VALUE!</v>
      </c>
      <c r="X61" s="15" t="str">
        <f ca="1">IFERROR(__xludf.DUMMYFUNCTION("GOOGLETRANSLATE(J61, ""ar"", ""en"")"),"Images/Mutabbal.jpg")</f>
        <v>Images/Mutabbal.jpg</v>
      </c>
      <c r="Y61" s="15" t="str">
        <f ca="1">IFERROR(__xludf.DUMMYFUNCTION("GOOGLETRANSLATE(K61, ""ar"", ""en"")"),"#VALUE!")</f>
        <v>#VALUE!</v>
      </c>
      <c r="Z61" s="15" t="str">
        <f ca="1">IFERROR(__xludf.DUMMYFUNCTION("GOOGLETRANSLATE(L61, ""ar"", ""en"")"),"#VALUE!")</f>
        <v>#VALUE!</v>
      </c>
      <c r="AA61" s="15" t="str">
        <f ca="1">IFERROR(__xludf.DUMMYFUNCTION("GOOGLETRANSLATE(M61, ""ar"", ""en"")"),"#VALUE!")</f>
        <v>#VALUE!</v>
      </c>
      <c r="AB61" s="15" t="str">
        <f ca="1">IFERROR(__xludf.DUMMYFUNCTION("GOOGLETRANSLATE(N61, ""ar"", ""en"")"),"#VALUE!")</f>
        <v>#VALUE!</v>
      </c>
      <c r="AC61" s="16" t="str">
        <f t="shared" si="1"/>
        <v>60</v>
      </c>
      <c r="AD61" s="17" t="str">
        <f ca="1">IFERROR(__xludf.DUMMYFUNCTION("GOOGLETRANSLATE(P61, ""en"", ""sv"")"),"Förrätter")</f>
        <v>Förrätter</v>
      </c>
      <c r="AE61" s="17" t="str">
        <f ca="1">IFERROR(__xludf.DUMMYFUNCTION("GOOGLETRANSLATE(Q61, ""en"", ""sv"")"),"kryddad")</f>
        <v>kryddad</v>
      </c>
      <c r="AF61" s="17" t="str">
        <f ca="1">IFERROR(__xludf.DUMMYFUNCTION("GOOGLETRANSLATE(R61, ""en"", ""sv"")"),"timme")</f>
        <v>timme</v>
      </c>
      <c r="AG61" s="17" t="str">
        <f ca="1">IFERROR(__xludf.DUMMYFUNCTION("GOOGLETRANSLATE(S61, ""en"", ""sv"")"),"• 1/2 kg rostad aubergine eller 250 g baba ghanoush på burk.
• 100 g yoghurt
• 100 g tahini eller 4 matskedar
• 1 matsked hackad vitlök
• 1 matsked malen spiskummin
• 1/2 tsk salt
• 1 tsk citronsyra
• 1/4 tsk torkad mynta
• 1/4 tsk svartpeppar
• 1/4 tsk "&amp;"söt paprika")</f>
        <v>• 1/2 kg rostad aubergine eller 250 g baba ghanoush på burk.
• 100 g yoghurt
• 100 g tahini eller 4 matskedar
• 1 matsked hackad vitlök
• 1 matsked malen spiskummin
• 1/2 tsk salt
• 1 tsk citronsyra
• 1/4 tsk torkad mynta
• 1/4 tsk svartpeppar
• 1/4 tsk söt paprika</v>
      </c>
      <c r="AH61" s="17" t="str">
        <f ca="1">IFERROR(__xludf.DUMMYFUNCTION("GOOGLETRANSLATE(T61, ""en"", ""sv"")"),"Mosa den rostade auberginen tills den blir krämig. Blanda alla ingredienser utom tahinin, blanda väl och smaka sedan av. Den ska vara väl blandad och homogen med yoghurten. Tillsätt slutligen tahinin och blanda noggrant.")</f>
        <v>Mosa den rostade auberginen tills den blir krämig. Blanda alla ingredienser utom tahinin, blanda väl och smaka sedan av. Den ska vara väl blandad och homogen med yoghurten. Tillsätt slutligen tahinin och blanda noggrant.</v>
      </c>
      <c r="AI61" s="17" t="str">
        <f ca="1">IFERROR(__xludf.DUMMYFUNCTION("GOOGLETRANSLATE(U61, ""en"", ""sv"")"),"Mängden räcker till 6 personer.")</f>
        <v>Mängden räcker till 6 personer.</v>
      </c>
      <c r="AJ61" s="17" t="str">
        <f ca="1">IFERROR(__xludf.DUMMYFUNCTION("GOOGLETRANSLATE(V61, ""en"", ""sv"")"),"Den garneras med finhackade tomater och persilja och en ros i mitten, eller hackade tomater i mitten.")</f>
        <v>Den garneras med finhackade tomater och persilja och en ros i mitten, eller hackade tomater i mitten.</v>
      </c>
      <c r="AK61" s="17" t="str">
        <f ca="1">IFERROR(__xludf.DUMMYFUNCTION("GOOGLETRANSLATE(W61, ""en"", ""sv"")"),"#VALUE!")</f>
        <v>#VALUE!</v>
      </c>
      <c r="AL61" s="17" t="str">
        <f ca="1">IFERROR(__xludf.DUMMYFUNCTION("GOOGLETRANSLATE(X61, ""en"", ""sv"")"),"Bilder/Mutabbal.jpg")</f>
        <v>Bilder/Mutabbal.jpg</v>
      </c>
      <c r="AM61" s="17" t="str">
        <f ca="1">IFERROR(__xludf.DUMMYFUNCTION("GOOGLETRANSLATE(Y61, ""en"", ""sv"")"),"#VALUE!")</f>
        <v>#VALUE!</v>
      </c>
      <c r="AN61" s="17" t="str">
        <f ca="1">IFERROR(__xludf.DUMMYFUNCTION("GOOGLETRANSLATE(Z61, ""en"", ""sv"")"),"#VALUE!")</f>
        <v>#VALUE!</v>
      </c>
      <c r="AO61" s="17" t="str">
        <f ca="1">IFERROR(__xludf.DUMMYFUNCTION("GOOGLETRANSLATE(AA61, ""en"", ""sv"")"),"#VALUE!")</f>
        <v>#VALUE!</v>
      </c>
      <c r="AP61" s="17" t="str">
        <f ca="1">IFERROR(__xludf.DUMMYFUNCTION("GOOGLETRANSLATE(AB61, ""en"", ""sv"")"),"#VALUE!")</f>
        <v>#VALUE!</v>
      </c>
      <c r="AQ61" s="17"/>
    </row>
    <row r="62" spans="1:43" ht="14.25" customHeight="1" x14ac:dyDescent="0.3">
      <c r="A62" s="8" t="s">
        <v>475</v>
      </c>
      <c r="B62" s="38" t="s">
        <v>190</v>
      </c>
      <c r="C62" s="39" t="s">
        <v>476</v>
      </c>
      <c r="D62" s="39" t="s">
        <v>450</v>
      </c>
      <c r="E62" s="42" t="s">
        <v>477</v>
      </c>
      <c r="F62" s="35" t="s">
        <v>478</v>
      </c>
      <c r="G62" s="35" t="s">
        <v>194</v>
      </c>
      <c r="H62" s="35" t="s">
        <v>479</v>
      </c>
      <c r="I62" s="35" t="s">
        <v>480</v>
      </c>
      <c r="J62" s="45" t="s">
        <v>481</v>
      </c>
      <c r="K62" s="41"/>
      <c r="L62" s="41"/>
      <c r="M62" s="41"/>
      <c r="N62" s="41"/>
      <c r="O62" s="14" t="str">
        <f t="shared" si="0"/>
        <v>61</v>
      </c>
      <c r="P62" s="15" t="str">
        <f ca="1">IFERROR(__xludf.DUMMYFUNCTION("GOOGLETRANSLATE(B62, ""ar"", ""en"")"),"Appetizers")</f>
        <v>Appetizers</v>
      </c>
      <c r="Q62" s="15" t="str">
        <f ca="1">IFERROR(__xludf.DUMMYFUNCTION("GOOGLETRANSLATE(C62, ""ar"", ""en"")"),"Fava beans with tahini, Aleppo style")</f>
        <v>Fava beans with tahini, Aleppo style</v>
      </c>
      <c r="R62" s="15" t="str">
        <f ca="1">IFERROR(__xludf.DUMMYFUNCTION("GOOGLETRANSLATE(D62, ""ar"", ""en"")"),"quarter of an hour")</f>
        <v>quarter of an hour</v>
      </c>
      <c r="S62" s="15" t="str">
        <f ca="1">IFERROR(__xludf.DUMMYFUNCTION("GOOGLETRANSLATE(E62, ""ar"", ""en"")"),"• You can use canned fava beans; they're not much different from homemade boiled fava beans:
• 2 cans of Chinese fava beans (the best among all ready-made fava bean dishes).
• 1 tablespoon finely minced garlic
• 3 tablespoons tahini
• Juice of 2 lemons "&amp;"or 1/4 teaspoon citric acid
• 1/4 teaspoon cumin
• 1/4 teaspoon dried mint
• 1/4 teaspoon black pepper
• 1/4 teaspoon salt
• 1/4 cup good quality olive oil
• 1 small finely chopped onion
• 1 medium finely chopped tomato
• 1/2 cup finely chopped parsley")</f>
        <v>• You can use canned fava beans; they're not much different from homemade boiled fava beans:
• 2 cans of Chinese fava beans (the best among all ready-made fava bean dishes).
• 1 tablespoon finely minced garlic
• 3 tablespoons tahini
• Juice of 2 lemons or 1/4 teaspoon citric acid
• 1/4 teaspoon cumin
• 1/4 teaspoon dried mint
• 1/4 teaspoon black pepper
• 1/4 teaspoon salt
• 1/4 cup good quality olive oil
• 1 small finely chopped onion
• 1 medium finely chopped tomato
• 1/2 cup finely chopped parsley</v>
      </c>
      <c r="T62" s="15" t="str">
        <f ca="1">IFERROR(__xludf.DUMMYFUNCTION("GOOGLETRANSLATE(F62, ""ar"", ""en"")"),"Heat the fava beans and let them boil for 10 minutes to remove any canned taste. Don't discard the water or rinse the beans. Place them in a plastic blender (a hollow one is best). Add the lemon juice and garlic, and mix well. Then add the spices and salt"&amp;", and mix again. Finally, add the tahini and stir well until it's combined with the lemon juice and the bean water, resulting in a creamy consistency.
Place the fava beans in a serving dish and sprinkle with parsley. Top with chopped onion in the center,"&amp;" then chopped tomatoes. Drizzle the oil evenly over the top and enjoy the most delicious fava bean dish you've ever tasted.")</f>
        <v>Heat the fava beans and let them boil for 10 minutes to remove any canned taste. Don't discard the water or rinse the beans. Place them in a plastic blender (a hollow one is best). Add the lemon juice and garlic, and mix well. Then add the spices and salt, and mix again. Finally, add the tahini and stir well until it's combined with the lemon juice and the bean water, resulting in a creamy consistency.
Place the fava beans in a serving dish and sprinkle with parsley. Top with chopped onion in the center, then chopped tomatoes. Drizzle the oil evenly over the top and enjoy the most delicious fava bean dish you've ever tasted.</v>
      </c>
      <c r="U62" s="15" t="str">
        <f ca="1">IFERROR(__xludf.DUMMYFUNCTION("GOOGLETRANSLATE(G62, ""ar"", ""en"")"),"The quantity is enough for 6 people.")</f>
        <v>The quantity is enough for 6 people.</v>
      </c>
      <c r="V62" s="15" t="str">
        <f ca="1">IFERROR(__xludf.DUMMYFUNCTION("GOOGLETRANSLATE(H62, ""ar"", ""en"")"),"Garnish the dish as I explained with chopped parsley, tomatoes, and finely chopped onions.
Add mint leaves, hot or sweet peppers, radishes, and cucumbers (to serve alongside the fava bean dish).")</f>
        <v>Garnish the dish as I explained with chopped parsley, tomatoes, and finely chopped onions.
Add mint leaves, hot or sweet peppers, radishes, and cucumbers (to serve alongside the fava bean dish).</v>
      </c>
      <c r="W62" s="15" t="str">
        <f ca="1">IFERROR(__xludf.DUMMYFUNCTION("GOOGLETRANSLATE(I62, ""ar"", ""en"")"),"You can easily boil a kilo of fava beans at home; it's much more economical and will yield about 10 cans of the kind you buy, especially if you have a large family and love fava beans as a regular part of your meal. The basic rule for boiling fava beans i"&amp;"s to wash and soak them for 24 hours with a tablespoon of baking soda. Then, rinse them thoroughly the next day to remove all the baking soda. Place them in a deep pot with about four times the amount of water, cover the pot tightly, and bring it to a boi"&amp;"l. Then, reduce the heat to a very low simmer, ensuring it's still boiling.
Let it boil for six hours, and you'll have homemade fava beans. You can add a quarter kilo of red lentils for extra thickness and flavor, or half a kilo of chickpeas if you like "&amp;"to mix fava beans with chickpeas.")</f>
        <v>You can easily boil a kilo of fava beans at home; it's much more economical and will yield about 10 cans of the kind you buy, especially if you have a large family and love fava beans as a regular part of your meal. The basic rule for boiling fava beans is to wash and soak them for 24 hours with a tablespoon of baking soda. Then, rinse them thoroughly the next day to remove all the baking soda. Place them in a deep pot with about four times the amount of water, cover the pot tightly, and bring it to a boil. Then, reduce the heat to a very low simmer, ensuring it's still boiling.
Let it boil for six hours, and you'll have homemade fava beans. You can add a quarter kilo of red lentils for extra thickness and flavor, or half a kilo of chickpeas if you like to mix fava beans with chickpeas.</v>
      </c>
      <c r="X62" s="15" t="str">
        <f ca="1">IFERROR(__xludf.DUMMYFUNCTION("GOOGLETRANSLATE(J62, ""ar"", ""en"")"),"Images/Foul_Mdammas_Bethaineh.jpg")</f>
        <v>Images/Foul_Mdammas_Bethaineh.jpg</v>
      </c>
      <c r="Y62" s="15" t="str">
        <f ca="1">IFERROR(__xludf.DUMMYFUNCTION("GOOGLETRANSLATE(K62, ""ar"", ""en"")"),"#VALUE!")</f>
        <v>#VALUE!</v>
      </c>
      <c r="Z62" s="15" t="str">
        <f ca="1">IFERROR(__xludf.DUMMYFUNCTION("GOOGLETRANSLATE(L62, ""ar"", ""en"")"),"#VALUE!")</f>
        <v>#VALUE!</v>
      </c>
      <c r="AA62" s="15" t="str">
        <f ca="1">IFERROR(__xludf.DUMMYFUNCTION("GOOGLETRANSLATE(M62, ""ar"", ""en"")"),"#VALUE!")</f>
        <v>#VALUE!</v>
      </c>
      <c r="AB62" s="15" t="str">
        <f ca="1">IFERROR(__xludf.DUMMYFUNCTION("GOOGLETRANSLATE(N62, ""ar"", ""en"")"),"#VALUE!")</f>
        <v>#VALUE!</v>
      </c>
      <c r="AC62" s="16" t="str">
        <f t="shared" si="1"/>
        <v>61</v>
      </c>
      <c r="AD62" s="17" t="str">
        <f ca="1">IFERROR(__xludf.DUMMYFUNCTION("GOOGLETRANSLATE(P62, ""en"", ""sv"")"),"Förrätter")</f>
        <v>Förrätter</v>
      </c>
      <c r="AE62" s="17" t="str">
        <f ca="1">IFERROR(__xludf.DUMMYFUNCTION("GOOGLETRANSLATE(Q62, ""en"", ""sv"")"),"Bondbönor med tahini, Aleppo-stil")</f>
        <v>Bondbönor med tahini, Aleppo-stil</v>
      </c>
      <c r="AF62" s="17" t="str">
        <f ca="1">IFERROR(__xludf.DUMMYFUNCTION("GOOGLETRANSLATE(R62, ""en"", ""sv"")"),"en kvart")</f>
        <v>en kvart</v>
      </c>
      <c r="AG62" s="17" t="str">
        <f ca="1">IFERROR(__xludf.DUMMYFUNCTION("GOOGLETRANSLATE(S62, ""en"", ""sv"")"),"• Du kan använda konserverade bondbönor; de skiljer sig inte mycket från hemlagade kokta bondbönor:
• 2 burkar kinesiska bondbönor (den bästa bland alla färdiga bondbönsrätter).
• 1 msk finhackad vitlök
• 3 msk tahini
• Saft från 2 citroner eller 1/4 ts"&amp;"k citronsyra
• 1/4 tsk spiskummin
• 1/4 tsk torkad mynta
• 1/4 tsk svartpeppar
• 1/4 tsk salt
• 1/4 dl olivolja av god kvalitet
• 1 liten finhackad lök
• 1 medelstor finhackad tomat
• 1/2 dl finhackad persilja")</f>
        <v>• Du kan använda konserverade bondbönor; de skiljer sig inte mycket från hemlagade kokta bondbönor:
• 2 burkar kinesiska bondbönor (den bästa bland alla färdiga bondbönsrätter).
• 1 msk finhackad vitlök
• 3 msk tahini
• Saft från 2 citroner eller 1/4 tsk citronsyra
• 1/4 tsk spiskummin
• 1/4 tsk torkad mynta
• 1/4 tsk svartpeppar
• 1/4 tsk salt
• 1/4 dl olivolja av god kvalitet
• 1 liten finhackad lök
• 1 medelstor finhackad tomat
• 1/2 dl finhackad persilja</v>
      </c>
      <c r="AH62" s="17" t="str">
        <f ca="1">IFERROR(__xludf.DUMMYFUNCTION("GOOGLETRANSLATE(T62, ""en"", ""sv"")"),"Värm bondbönorna och låt dem koka i 10 minuter för att ta bort eventuell smak från burken. Häll inte ut vattnet och skölj inte bönorna. Lägg dem i en plastmixer (en ihålig är bäst). Tillsätt citronsaft och vitlök och blanda väl. Tillsätt sedan kryddorna o"&amp;"ch saltet och blanda igen. Tillsätt slutligen tahinin och rör om väl tills den har blandats med citronsaften och bönvattnet, vilket resulterar i en krämig konsistens.
Lägg bondbönorna i en serveringsskål och strö över persilja. Toppa med hackad lök i mit"&amp;"ten och sedan hackade tomater. Ringla oljan jämnt över och njut av den godaste bondbönsrätten du någonsin smakat.")</f>
        <v>Värm bondbönorna och låt dem koka i 10 minuter för att ta bort eventuell smak från burken. Häll inte ut vattnet och skölj inte bönorna. Lägg dem i en plastmixer (en ihålig är bäst). Tillsätt citronsaft och vitlök och blanda väl. Tillsätt sedan kryddorna och saltet och blanda igen. Tillsätt slutligen tahinin och rör om väl tills den har blandats med citronsaften och bönvattnet, vilket resulterar i en krämig konsistens.
Lägg bondbönorna i en serveringsskål och strö över persilja. Toppa med hackad lök i mitten och sedan hackade tomater. Ringla oljan jämnt över och njut av den godaste bondbönsrätten du någonsin smakat.</v>
      </c>
      <c r="AI62" s="17" t="str">
        <f ca="1">IFERROR(__xludf.DUMMYFUNCTION("GOOGLETRANSLATE(U62, ""en"", ""sv"")"),"Mängden räcker till 6 personer.")</f>
        <v>Mängden räcker till 6 personer.</v>
      </c>
      <c r="AJ62" s="17" t="str">
        <f ca="1">IFERROR(__xludf.DUMMYFUNCTION("GOOGLETRANSLATE(V62, ""en"", ""sv"")"),"Garnera rätten som jag förklarade med hackad persilja, tomater och finhackad lök.
Tillsätt myntablad, stark eller söt paprika, rädisor och gurka (att servera tillsammans med bondbönsrätten).")</f>
        <v>Garnera rätten som jag förklarade med hackad persilja, tomater och finhackad lök.
Tillsätt myntablad, stark eller söt paprika, rädisor och gurka (att servera tillsammans med bondbönsrätten).</v>
      </c>
      <c r="AK62" s="17" t="str">
        <f ca="1">IFERROR(__xludf.DUMMYFUNCTION("GOOGLETRANSLATE(W62, ""en"", ""sv"")"),"Du kan enkelt koka ett kilo bondbönor hemma; det är mycket mer ekonomiskt och ger ungefär 10 burkar av den sort du köper, särskilt om du har en stor familj och älskar bondbönor som en regelbunden del av din måltid. Grundregeln för att koka bondbönor är at"&amp;"t tvätta och blötlägga dem i 24 timmar med en matsked bikarbonat. Skölj dem sedan noggrant nästa dag för att ta bort all bikarbonat. Lägg dem i en djup kastrull med ungefär fyra gånger så mycket vatten, täck kastrullen ordentligt och koka upp. Sänk sedan "&amp;"värmen till mycket låg sjudning och se till att det fortfarande kokar.
Låt det koka i sex timmar, så har du hemlagade bondbönor. Du kan tillsätta ett kvarts kilo röda linser för extra tjocklek och smak, eller ett halvt kilo kikärter om du gillar att blan"&amp;"da bondbönor med kikärter.")</f>
        <v>Du kan enkelt koka ett kilo bondbönor hemma; det är mycket mer ekonomiskt och ger ungefär 10 burkar av den sort du köper, särskilt om du har en stor familj och älskar bondbönor som en regelbunden del av din måltid. Grundregeln för att koka bondbönor är att tvätta och blötlägga dem i 24 timmar med en matsked bikarbonat. Skölj dem sedan noggrant nästa dag för att ta bort all bikarbonat. Lägg dem i en djup kastrull med ungefär fyra gånger så mycket vatten, täck kastrullen ordentligt och koka upp. Sänk sedan värmen till mycket låg sjudning och se till att det fortfarande kokar.
Låt det koka i sex timmar, så har du hemlagade bondbönor. Du kan tillsätta ett kvarts kilo röda linser för extra tjocklek och smak, eller ett halvt kilo kikärter om du gillar att blanda bondbönor med kikärter.</v>
      </c>
      <c r="AL62" s="17" t="str">
        <f ca="1">IFERROR(__xludf.DUMMYFUNCTION("GOOGLETRANSLATE(X62, ""en"", ""sv"")"),"Bilder/Foul_Mdammas_Bethaineh.jpg")</f>
        <v>Bilder/Foul_Mdammas_Bethaineh.jpg</v>
      </c>
      <c r="AM62" s="17" t="str">
        <f ca="1">IFERROR(__xludf.DUMMYFUNCTION("GOOGLETRANSLATE(Y62, ""en"", ""sv"")"),"#VALUE!")</f>
        <v>#VALUE!</v>
      </c>
      <c r="AN62" s="17" t="str">
        <f ca="1">IFERROR(__xludf.DUMMYFUNCTION("GOOGLETRANSLATE(Z62, ""en"", ""sv"")"),"#VALUE!")</f>
        <v>#VALUE!</v>
      </c>
      <c r="AO62" s="17" t="str">
        <f ca="1">IFERROR(__xludf.DUMMYFUNCTION("GOOGLETRANSLATE(AA62, ""en"", ""sv"")"),"#VALUE!")</f>
        <v>#VALUE!</v>
      </c>
      <c r="AP62" s="17" t="str">
        <f ca="1">IFERROR(__xludf.DUMMYFUNCTION("GOOGLETRANSLATE(AB62, ""en"", ""sv"")"),"#VALUE!")</f>
        <v>#VALUE!</v>
      </c>
      <c r="AQ62" s="17"/>
    </row>
    <row r="63" spans="1:43" ht="14.25" customHeight="1" x14ac:dyDescent="0.3">
      <c r="A63" s="8" t="s">
        <v>482</v>
      </c>
      <c r="B63" s="38" t="s">
        <v>190</v>
      </c>
      <c r="C63" s="39" t="s">
        <v>483</v>
      </c>
      <c r="D63" s="39" t="s">
        <v>450</v>
      </c>
      <c r="E63" s="42" t="s">
        <v>484</v>
      </c>
      <c r="F63" s="35" t="s">
        <v>485</v>
      </c>
      <c r="G63" s="35" t="s">
        <v>194</v>
      </c>
      <c r="H63" s="35" t="s">
        <v>486</v>
      </c>
      <c r="I63" s="35" t="s">
        <v>487</v>
      </c>
      <c r="J63" s="45" t="s">
        <v>481</v>
      </c>
      <c r="K63" s="41"/>
      <c r="L63" s="41"/>
      <c r="M63" s="41"/>
      <c r="N63" s="41"/>
      <c r="O63" s="14" t="str">
        <f t="shared" si="0"/>
        <v>62</v>
      </c>
      <c r="P63" s="15" t="str">
        <f ca="1">IFERROR(__xludf.DUMMYFUNCTION("GOOGLETRANSLATE(B63, ""ar"", ""en"")"),"Appetizers")</f>
        <v>Appetizers</v>
      </c>
      <c r="Q63" s="15" t="str">
        <f ca="1">IFERROR(__xludf.DUMMYFUNCTION("GOOGLETRANSLATE(C63, ""ar"", ""en"")"),"Fava beans, Levantine style")</f>
        <v>Fava beans, Levantine style</v>
      </c>
      <c r="R63" s="15" t="str">
        <f ca="1">IFERROR(__xludf.DUMMYFUNCTION("GOOGLETRANSLATE(D63, ""ar"", ""en"")"),"quarter of an hour")</f>
        <v>quarter of an hour</v>
      </c>
      <c r="S63" s="15" t="str">
        <f ca="1">IFERROR(__xludf.DUMMYFUNCTION("GOOGLETRANSLATE(E63, ""ar"", ""en"")"),"• You can use canned fava beans; they're not much different from homemade boiled fava beans:
• 2 cans of Chinese fava beans (the best among all ready-made fava bean mixes).
• 1 tablespoon finely minced garlic
• Juice of 3 lemons or ½ teaspoon citric aci"&amp;"d
• ¼ teaspoon cumin
• ¼ teaspoon dried mint
• ¼ teaspoon black pepper
• ¼ teaspoon salt
• ¼ cup good quality olive oil
• 1 small finely chopped onion
• 1 medium finely chopped tomato
• ½ cup finely chopped parsley")</f>
        <v>• You can use canned fava beans; they're not much different from homemade boiled fava beans:
• 2 cans of Chinese fava beans (the best among all ready-made fava bean mixes).
• 1 tablespoon finely minced garlic
• Juice of 3 lemons or ½ teaspoon citric acid
• ¼ teaspoon cumin
• ¼ teaspoon dried mint
• ¼ teaspoon black pepper
• ¼ teaspoon salt
• ¼ cup good quality olive oil
• 1 small finely chopped onion
• 1 medium finely chopped tomato
• ½ cup finely chopped parsley</v>
      </c>
      <c r="T63" s="15" t="str">
        <f ca="1">IFERROR(__xludf.DUMMYFUNCTION("GOOGLETRANSLATE(F63, ""ar"", ""en"")"),"Heat the fava beans and let them boil for 10 minutes to remove any canned taste. Don't discard the water or rinse them. Place them in a plastic mixing bowl (a hollow one is best). Add the lemon juice and garlic, mix well, then add the spices and salt, and"&amp;" mix again thoroughly.
Place the fava beans in a serving dish and sprinkle with parsley. Top with chopped onion in the center, then chopped tomatoes, and drizzle the oil evenly over the top.")</f>
        <v>Heat the fava beans and let them boil for 10 minutes to remove any canned taste. Don't discard the water or rinse them. Place them in a plastic mixing bowl (a hollow one is best). Add the lemon juice and garlic, mix well, then add the spices and salt, and mix again thoroughly.
Place the fava beans in a serving dish and sprinkle with parsley. Top with chopped onion in the center, then chopped tomatoes, and drizzle the oil evenly over the top.</v>
      </c>
      <c r="U63" s="15" t="str">
        <f ca="1">IFERROR(__xludf.DUMMYFUNCTION("GOOGLETRANSLATE(G63, ""ar"", ""en"")"),"The quantity is enough for 6 people.")</f>
        <v>The quantity is enough for 6 people.</v>
      </c>
      <c r="V63" s="15" t="str">
        <f ca="1">IFERROR(__xludf.DUMMYFUNCTION("GOOGLETRANSLATE(H63, ""ar"", ""en"")"),"Garnish the dish as I explained with chopped parsley, tomatoes, and finely chopped onions.
Add mint leaves, hot or sweet peppers, radishes, and cucumbers (to serve alongside the fava bean dish).")</f>
        <v>Garnish the dish as I explained with chopped parsley, tomatoes, and finely chopped onions.
Add mint leaves, hot or sweet peppers, radishes, and cucumbers (to serve alongside the fava bean dish).</v>
      </c>
      <c r="W63" s="15" t="str">
        <f ca="1">IFERROR(__xludf.DUMMYFUNCTION("GOOGLETRANSLATE(I63, ""ar"", ""en"")"),"The Levantine mixture is lighter on the stomach than the Aleppo one because of the lower fat content, and tahini gives the beans a high fat content.")</f>
        <v>The Levantine mixture is lighter on the stomach than the Aleppo one because of the lower fat content, and tahini gives the beans a high fat content.</v>
      </c>
      <c r="X63" s="15" t="str">
        <f ca="1">IFERROR(__xludf.DUMMYFUNCTION("GOOGLETRANSLATE(J63, ""ar"", ""en"")"),"Images/Foul_Mdammas_Bethaineh.jpg")</f>
        <v>Images/Foul_Mdammas_Bethaineh.jpg</v>
      </c>
      <c r="Y63" s="15" t="str">
        <f ca="1">IFERROR(__xludf.DUMMYFUNCTION("GOOGLETRANSLATE(K63, ""ar"", ""en"")"),"#VALUE!")</f>
        <v>#VALUE!</v>
      </c>
      <c r="Z63" s="15" t="str">
        <f ca="1">IFERROR(__xludf.DUMMYFUNCTION("GOOGLETRANSLATE(L63, ""ar"", ""en"")"),"#VALUE!")</f>
        <v>#VALUE!</v>
      </c>
      <c r="AA63" s="15" t="str">
        <f ca="1">IFERROR(__xludf.DUMMYFUNCTION("GOOGLETRANSLATE(M63, ""ar"", ""en"")"),"#VALUE!")</f>
        <v>#VALUE!</v>
      </c>
      <c r="AB63" s="15" t="str">
        <f ca="1">IFERROR(__xludf.DUMMYFUNCTION("GOOGLETRANSLATE(N63, ""ar"", ""en"")"),"#VALUE!")</f>
        <v>#VALUE!</v>
      </c>
      <c r="AC63" s="16" t="str">
        <f t="shared" si="1"/>
        <v>62</v>
      </c>
      <c r="AD63" s="17" t="str">
        <f ca="1">IFERROR(__xludf.DUMMYFUNCTION("GOOGLETRANSLATE(P63, ""en"", ""sv"")"),"Förrätter")</f>
        <v>Förrätter</v>
      </c>
      <c r="AE63" s="17" t="str">
        <f ca="1">IFERROR(__xludf.DUMMYFUNCTION("GOOGLETRANSLATE(Q63, ""en"", ""sv"")"),"Bondbönor, levantinsk stil")</f>
        <v>Bondbönor, levantinsk stil</v>
      </c>
      <c r="AF63" s="17" t="str">
        <f ca="1">IFERROR(__xludf.DUMMYFUNCTION("GOOGLETRANSLATE(R63, ""en"", ""sv"")"),"en kvart")</f>
        <v>en kvart</v>
      </c>
      <c r="AG63" s="17" t="str">
        <f ca="1">IFERROR(__xludf.DUMMYFUNCTION("GOOGLETRANSLATE(S63, ""en"", ""sv"")"),"• Du kan använda konserverade bondbönor; de skiljer sig inte mycket från hemlagade kokta bondbönor:
• 2 burkar kinesiska bondbönor (den bästa bland alla färdiga bondbönsblandningar).
• 1 msk finhackad vitlök
• Saft från 3 citroner eller ½ tsk citronsyra"&amp;"
• ¼ tsk spiskummin
• ¼ tsk torkad mynta
• ¼ tsk svartpeppar
• ¼ tsk salt
• ¼ dl olivolja av god kvalitet
• 1 liten finhackad lök
• 1 medelstor finhackad tomat
• ½ dl finhackad persilja")</f>
        <v>• Du kan använda konserverade bondbönor; de skiljer sig inte mycket från hemlagade kokta bondbönor:
• 2 burkar kinesiska bondbönor (den bästa bland alla färdiga bondbönsblandningar).
• 1 msk finhackad vitlök
• Saft från 3 citroner eller ½ tsk citronsyra
• ¼ tsk spiskummin
• ¼ tsk torkad mynta
• ¼ tsk svartpeppar
• ¼ tsk salt
• ¼ dl olivolja av god kvalitet
• 1 liten finhackad lök
• 1 medelstor finhackad tomat
• ½ dl finhackad persilja</v>
      </c>
      <c r="AH63" s="17" t="str">
        <f ca="1">IFERROR(__xludf.DUMMYFUNCTION("GOOGLETRANSLATE(T63, ""en"", ""sv"")"),"Värm bondbönorna och låt dem koka i 10 minuter för att ta bort eventuell smak från burken. Häll inte ut vattnet eller skölj dem. Lägg dem i en plastskål (en ihålig är bäst). Tillsätt citronsaft och vitlök, blanda väl, tillsätt sedan kryddorna och saltet o"&amp;"ch blanda noggrant igen.
Lägg bondbönorna i en serveringsskål och strö över persilja. Toppa med hackad lök i mitten, sedan hackade tomater och ringla oljan jämnt över.")</f>
        <v>Värm bondbönorna och låt dem koka i 10 minuter för att ta bort eventuell smak från burken. Häll inte ut vattnet eller skölj dem. Lägg dem i en plastskål (en ihålig är bäst). Tillsätt citronsaft och vitlök, blanda väl, tillsätt sedan kryddorna och saltet och blanda noggrant igen.
Lägg bondbönorna i en serveringsskål och strö över persilja. Toppa med hackad lök i mitten, sedan hackade tomater och ringla oljan jämnt över.</v>
      </c>
      <c r="AI63" s="17" t="str">
        <f ca="1">IFERROR(__xludf.DUMMYFUNCTION("GOOGLETRANSLATE(U63, ""en"", ""sv"")"),"Mängden räcker till 6 personer.")</f>
        <v>Mängden räcker till 6 personer.</v>
      </c>
      <c r="AJ63" s="17" t="str">
        <f ca="1">IFERROR(__xludf.DUMMYFUNCTION("GOOGLETRANSLATE(V63, ""en"", ""sv"")"),"Garnera rätten som jag förklarade med hackad persilja, tomater och finhackad lök.
Tillsätt myntablad, stark eller söt paprika, rädisor och gurka (att servera tillsammans med bondbönsrätten).")</f>
        <v>Garnera rätten som jag förklarade med hackad persilja, tomater och finhackad lök.
Tillsätt myntablad, stark eller söt paprika, rädisor och gurka (att servera tillsammans med bondbönsrätten).</v>
      </c>
      <c r="AK63" s="17" t="str">
        <f ca="1">IFERROR(__xludf.DUMMYFUNCTION("GOOGLETRANSLATE(W63, ""en"", ""sv"")"),"Levantinblandningen är lättare i magen än Aleppo-blandningen på grund av den lägre fetthalten, och tahini ger bönorna en hög fetthalt.")</f>
        <v>Levantinblandningen är lättare i magen än Aleppo-blandningen på grund av den lägre fetthalten, och tahini ger bönorna en hög fetthalt.</v>
      </c>
      <c r="AL63" s="17" t="str">
        <f ca="1">IFERROR(__xludf.DUMMYFUNCTION("GOOGLETRANSLATE(X63, ""en"", ""sv"")"),"Bilder/Foul_Mdammas_Bethaineh.jpg")</f>
        <v>Bilder/Foul_Mdammas_Bethaineh.jpg</v>
      </c>
      <c r="AM63" s="17" t="str">
        <f ca="1">IFERROR(__xludf.DUMMYFUNCTION("GOOGLETRANSLATE(Y63, ""en"", ""sv"")"),"#VALUE!")</f>
        <v>#VALUE!</v>
      </c>
      <c r="AN63" s="17" t="str">
        <f ca="1">IFERROR(__xludf.DUMMYFUNCTION("GOOGLETRANSLATE(Z63, ""en"", ""sv"")"),"#VALUE!")</f>
        <v>#VALUE!</v>
      </c>
      <c r="AO63" s="17" t="str">
        <f ca="1">IFERROR(__xludf.DUMMYFUNCTION("GOOGLETRANSLATE(AA63, ""en"", ""sv"")"),"#VALUE!")</f>
        <v>#VALUE!</v>
      </c>
      <c r="AP63" s="17" t="str">
        <f ca="1">IFERROR(__xludf.DUMMYFUNCTION("GOOGLETRANSLATE(AB63, ""en"", ""sv"")"),"#VALUE!")</f>
        <v>#VALUE!</v>
      </c>
      <c r="AQ63" s="17"/>
    </row>
    <row r="64" spans="1:43" ht="14.25" customHeight="1" x14ac:dyDescent="0.3">
      <c r="A64" s="8" t="s">
        <v>488</v>
      </c>
      <c r="B64" s="38" t="s">
        <v>190</v>
      </c>
      <c r="C64" s="39" t="s">
        <v>489</v>
      </c>
      <c r="D64" s="39" t="s">
        <v>450</v>
      </c>
      <c r="E64" s="42" t="s">
        <v>490</v>
      </c>
      <c r="F64" s="35" t="s">
        <v>491</v>
      </c>
      <c r="G64" s="35" t="s">
        <v>194</v>
      </c>
      <c r="H64" s="35" t="s">
        <v>492</v>
      </c>
      <c r="I64" s="35" t="s">
        <v>493</v>
      </c>
      <c r="J64" s="45" t="s">
        <v>494</v>
      </c>
      <c r="K64" s="41"/>
      <c r="L64" s="41"/>
      <c r="M64" s="41"/>
      <c r="N64" s="41"/>
      <c r="O64" s="14" t="str">
        <f t="shared" si="0"/>
        <v>63</v>
      </c>
      <c r="P64" s="15" t="str">
        <f ca="1">IFERROR(__xludf.DUMMYFUNCTION("GOOGLETRANSLATE(B64, ""ar"", ""en"")"),"Appetizers")</f>
        <v>Appetizers</v>
      </c>
      <c r="Q64" s="15" t="str">
        <f ca="1">IFERROR(__xludf.DUMMYFUNCTION("GOOGLETRANSLATE(C64, ""ar"", ""en"")"),"Aleppo Muhammara")</f>
        <v>Aleppo Muhammara</v>
      </c>
      <c r="R64" s="15" t="str">
        <f ca="1">IFERROR(__xludf.DUMMYFUNCTION("GOOGLETRANSLATE(D64, ""ar"", ""en"")"),"quarter of an hour")</f>
        <v>quarter of an hour</v>
      </c>
      <c r="S64" s="15" t="str">
        <f ca="1">IFERROR(__xludf.DUMMYFUNCTION("GOOGLETRANSLATE(E64, ""ar"", ""en"")"),"• 1/4 kg red pepper molasses or purée
• 2 tablespoons toasted sesame seeds
• 1 tablespoon nigella seeds
• 1 teaspoon dried mint
• 1/4 teaspoon black pepper
• 2 tablespoons crushed breadcrumbs
• 3 tablespoons pomegranate molasses
• 1/4 teaspoon salt
• 1/4 "&amp;"teaspoon ground cumin
• 3 tablespoons olive oil
• 1/2 cup water
• Chopped walnuts for garnish")</f>
        <v>• 1/4 kg red pepper molasses or purée
• 2 tablespoons toasted sesame seeds
• 1 tablespoon nigella seeds
• 1 teaspoon dried mint
• 1/4 teaspoon black pepper
• 2 tablespoons crushed breadcrumbs
• 3 tablespoons pomegranate molasses
• 1/4 teaspoon salt
• 1/4 teaspoon ground cumin
• 3 tablespoons olive oil
• 1/2 cup water
• Chopped walnuts for garnish</v>
      </c>
      <c r="T64" s="15" t="str">
        <f ca="1">IFERROR(__xludf.DUMMYFUNCTION("GOOGLETRANSLATE(F64, ""ar"", ""en"")"),"The pepper puree is soaked in water, mixed well, and left in the refrigerator overnight to allow the peppers to soften and regain their fresh flavor. Then, all the other ingredients are added and mixed thoroughly. The mixture is tasted and then covered wi"&amp;"th olive oil.
It is distributed onto a serving dish and shaped with a spoon to create an attractive pattern, as shown in the picture. Finally, it is garnished with chopped walnuts.
")</f>
        <v xml:space="preserve">The pepper puree is soaked in water, mixed well, and left in the refrigerator overnight to allow the peppers to soften and regain their fresh flavor. Then, all the other ingredients are added and mixed thoroughly. The mixture is tasted and then covered with olive oil.
It is distributed onto a serving dish and shaped with a spoon to create an attractive pattern, as shown in the picture. Finally, it is garnished with chopped walnuts.
</v>
      </c>
      <c r="U64" s="15" t="str">
        <f ca="1">IFERROR(__xludf.DUMMYFUNCTION("GOOGLETRANSLATE(G64, ""ar"", ""en"")"),"The quantity is enough for 6 people.")</f>
        <v>The quantity is enough for 6 people.</v>
      </c>
      <c r="V64" s="15" t="str">
        <f ca="1">IFERROR(__xludf.DUMMYFUNCTION("GOOGLETRANSLATE(H64, ""ar"", ""en"")"),"Garnish the muhammara dish with sesame seeds and walnuts.")</f>
        <v>Garnish the muhammara dish with sesame seeds and walnuts.</v>
      </c>
      <c r="W64" s="15" t="str">
        <f ca="1">IFERROR(__xludf.DUMMYFUNCTION("GOOGLETRANSLATE(I64, ""ar"", ""en"")"),"If you want to make pepper paste at home and live in a cold, sunless area, get 5 kg of sweet or hot peppers, depending on your preference. Remove the seeds; don't wash them, just wipe them with a cloth if they're dusty.
Arrange the peppers in several lay"&amp;"ers on a baking tray in the bottom rack of the oven, as many as it can hold. Preheat the oven to its highest temperature for 15 minutes, then reduce it to 70 degrees Celsius (154 degrees Fahrenheit). Place the tray on the bottom rack of the oven and leave"&amp;" it for 3 hours. After that, the peppers will release their juices. Remove the tray and drain the juices from the peppers in a colander. Return the tray to the oven and repeat the process until you have peppers that are almost dry but still soft.
Leave t"&amp;"hem to cool uncovered overnight. Then, grind them in a meat grinder. Add a tablespoon of salt and a cup of olive oil, and knead well. You'll have 1 kg of delicious pepper paste.")</f>
        <v>If you want to make pepper paste at home and live in a cold, sunless area, get 5 kg of sweet or hot peppers, depending on your preference. Remove the seeds; don't wash them, just wipe them with a cloth if they're dusty.
Arrange the peppers in several layers on a baking tray in the bottom rack of the oven, as many as it can hold. Preheat the oven to its highest temperature for 15 minutes, then reduce it to 70 degrees Celsius (154 degrees Fahrenheit). Place the tray on the bottom rack of the oven and leave it for 3 hours. After that, the peppers will release their juices. Remove the tray and drain the juices from the peppers in a colander. Return the tray to the oven and repeat the process until you have peppers that are almost dry but still soft.
Leave them to cool uncovered overnight. Then, grind them in a meat grinder. Add a tablespoon of salt and a cup of olive oil, and knead well. You'll have 1 kg of delicious pepper paste.</v>
      </c>
      <c r="X64" s="15" t="str">
        <f ca="1">IFERROR(__xludf.DUMMYFUNCTION("GOOGLETRANSLATE(J64, ""ar"", ""en"")"),"Images/Muhammara.jpg")</f>
        <v>Images/Muhammara.jpg</v>
      </c>
      <c r="Y64" s="15" t="str">
        <f ca="1">IFERROR(__xludf.DUMMYFUNCTION("GOOGLETRANSLATE(K64, ""ar"", ""en"")"),"#VALUE!")</f>
        <v>#VALUE!</v>
      </c>
      <c r="Z64" s="15" t="str">
        <f ca="1">IFERROR(__xludf.DUMMYFUNCTION("GOOGLETRANSLATE(L64, ""ar"", ""en"")"),"#VALUE!")</f>
        <v>#VALUE!</v>
      </c>
      <c r="AA64" s="15" t="str">
        <f ca="1">IFERROR(__xludf.DUMMYFUNCTION("GOOGLETRANSLATE(M64, ""ar"", ""en"")"),"#VALUE!")</f>
        <v>#VALUE!</v>
      </c>
      <c r="AB64" s="15" t="str">
        <f ca="1">IFERROR(__xludf.DUMMYFUNCTION("GOOGLETRANSLATE(N64, ""ar"", ""en"")"),"#VALUE!")</f>
        <v>#VALUE!</v>
      </c>
      <c r="AC64" s="16" t="str">
        <f t="shared" si="1"/>
        <v>63</v>
      </c>
      <c r="AD64" s="17" t="str">
        <f ca="1">IFERROR(__xludf.DUMMYFUNCTION("GOOGLETRANSLATE(P64, ""en"", ""sv"")"),"Förrätter")</f>
        <v>Förrätter</v>
      </c>
      <c r="AE64" s="17" t="str">
        <f ca="1">IFERROR(__xludf.DUMMYFUNCTION("GOOGLETRANSLATE(Q64, ""en"", ""sv"")"),"Aleppo Muhammara")</f>
        <v>Aleppo Muhammara</v>
      </c>
      <c r="AF64" s="17" t="str">
        <f ca="1">IFERROR(__xludf.DUMMYFUNCTION("GOOGLETRANSLATE(R64, ""en"", ""sv"")"),"en kvart")</f>
        <v>en kvart</v>
      </c>
      <c r="AG64" s="17" t="str">
        <f ca="1">IFERROR(__xludf.DUMMYFUNCTION("GOOGLETRANSLATE(S64, ""en"", ""sv"")"),"• 1/4 kg röd paprikasirap eller puré
• 2 msk rostade sesamfrön
• 1 msk nigellafrön
• 1 tsk torkad mynta
• 1/4 tsk svartpeppar
• 2 msk krossade ströbröd
• 3 msk granatäppelsirap
• 1/4 tsk salt
• 1/4 tsk malen spiskummin
• 3 msk olivolja
• 1/2 dl vatten
• H"&amp;"ackade valnötter till garnering")</f>
        <v>• 1/4 kg röd paprikasirap eller puré
• 2 msk rostade sesamfrön
• 1 msk nigellafrön
• 1 tsk torkad mynta
• 1/4 tsk svartpeppar
• 2 msk krossade ströbröd
• 3 msk granatäppelsirap
• 1/4 tsk salt
• 1/4 tsk malen spiskummin
• 3 msk olivolja
• 1/2 dl vatten
• Hackade valnötter till garnering</v>
      </c>
      <c r="AH64" s="17" t="str">
        <f ca="1">IFERROR(__xludf.DUMMYFUNCTION("GOOGLETRANSLATE(T64, ""en"", ""sv"")"),"Paprikapurén blötläggs i vatten, blandas väl och lämnas i kylskåpet över natten för att paprikorna ska mjukna och återfå sin fräscha smak. Sedan tillsätts alla andra ingredienser och blandas noggrant. Blandningen smakas av och täcks sedan med olivolja.
D"&amp;"en fördelas på en serveringsskål och formas med en sked för att skapa ett attraktivt mönster, som visas på bilden. Slutligen garneras den med hackade valnötter.
")</f>
        <v xml:space="preserve">Paprikapurén blötläggs i vatten, blandas väl och lämnas i kylskåpet över natten för att paprikorna ska mjukna och återfå sin fräscha smak. Sedan tillsätts alla andra ingredienser och blandas noggrant. Blandningen smakas av och täcks sedan med olivolja.
Den fördelas på en serveringsskål och formas med en sked för att skapa ett attraktivt mönster, som visas på bilden. Slutligen garneras den med hackade valnötter.
</v>
      </c>
      <c r="AI64" s="17" t="str">
        <f ca="1">IFERROR(__xludf.DUMMYFUNCTION("GOOGLETRANSLATE(U64, ""en"", ""sv"")"),"Mängden räcker till 6 personer.")</f>
        <v>Mängden räcker till 6 personer.</v>
      </c>
      <c r="AJ64" s="17" t="str">
        <f ca="1">IFERROR(__xludf.DUMMYFUNCTION("GOOGLETRANSLATE(V64, ""en"", ""sv"")"),"Garnera muhammara-rätten med sesamfrön och valnötter.")</f>
        <v>Garnera muhammara-rätten med sesamfrön och valnötter.</v>
      </c>
      <c r="AK64" s="17" t="str">
        <f ca="1">IFERROR(__xludf.DUMMYFUNCTION("GOOGLETRANSLATE(W64, ""en"", ""sv"")"),"Om du vill göra pepparpasta hemma och bor i ett kallt, solfritt område, skaffa 5 kg söt eller stark paprika, beroende på vad du föredrar. Ta bort kärnorna; tvätta dem inte, torka bara av dem med en trasa om de är dammiga.
Lägg paprikorna i flera lager på"&amp;" en bakplåt i ugnens nedre galler, så många som den rymmer. Värm ugnen till högsta temperatur i 15 minuter, sänk sedan temperaturen till 70 grader Celsius (154 grader Fahrenheit). Placera plåten i ugnens nedre galler och låt den stå i 3 timmar. Därefter k"&amp;"ommer paprikorna att släppa ut sin saft. Ta ut plåten och häll av saften från paprikorna i ett durkslag. Sätt tillbaka plåten i ugnen och upprepa processen tills du har paprikor som är nästan torra men fortfarande mjuka.
Låt dem svalna utan lock över nat"&amp;"ten. Mal dem sedan i en köttkvarn. Tillsätt en matsked salt och en kopp olivolja och knåda väl. Du har 1 kg läcker pepparpasta.")</f>
        <v>Om du vill göra pepparpasta hemma och bor i ett kallt, solfritt område, skaffa 5 kg söt eller stark paprika, beroende på vad du föredrar. Ta bort kärnorna; tvätta dem inte, torka bara av dem med en trasa om de är dammiga.
Lägg paprikorna i flera lager på en bakplåt i ugnens nedre galler, så många som den rymmer. Värm ugnen till högsta temperatur i 15 minuter, sänk sedan temperaturen till 70 grader Celsius (154 grader Fahrenheit). Placera plåten i ugnens nedre galler och låt den stå i 3 timmar. Därefter kommer paprikorna att släppa ut sin saft. Ta ut plåten och häll av saften från paprikorna i ett durkslag. Sätt tillbaka plåten i ugnen och upprepa processen tills du har paprikor som är nästan torra men fortfarande mjuka.
Låt dem svalna utan lock över natten. Mal dem sedan i en köttkvarn. Tillsätt en matsked salt och en kopp olivolja och knåda väl. Du har 1 kg läcker pepparpasta.</v>
      </c>
      <c r="AL64" s="17" t="str">
        <f ca="1">IFERROR(__xludf.DUMMYFUNCTION("GOOGLETRANSLATE(X64, ""en"", ""sv"")"),"Bilder/Muhammara.jpg")</f>
        <v>Bilder/Muhammara.jpg</v>
      </c>
      <c r="AM64" s="17" t="str">
        <f ca="1">IFERROR(__xludf.DUMMYFUNCTION("GOOGLETRANSLATE(Y64, ""en"", ""sv"")"),"#VALUE!")</f>
        <v>#VALUE!</v>
      </c>
      <c r="AN64" s="17" t="str">
        <f ca="1">IFERROR(__xludf.DUMMYFUNCTION("GOOGLETRANSLATE(Z64, ""en"", ""sv"")"),"#VALUE!")</f>
        <v>#VALUE!</v>
      </c>
      <c r="AO64" s="17" t="str">
        <f ca="1">IFERROR(__xludf.DUMMYFUNCTION("GOOGLETRANSLATE(AA64, ""en"", ""sv"")"),"#VALUE!")</f>
        <v>#VALUE!</v>
      </c>
      <c r="AP64" s="17" t="str">
        <f ca="1">IFERROR(__xludf.DUMMYFUNCTION("GOOGLETRANSLATE(AB64, ""en"", ""sv"")"),"#VALUE!")</f>
        <v>#VALUE!</v>
      </c>
      <c r="AQ64" s="17"/>
    </row>
    <row r="65" spans="1:43" ht="14.25" customHeight="1" x14ac:dyDescent="0.3">
      <c r="A65" s="8" t="s">
        <v>495</v>
      </c>
      <c r="B65" s="38" t="s">
        <v>428</v>
      </c>
      <c r="C65" s="39" t="s">
        <v>496</v>
      </c>
      <c r="D65" s="46"/>
      <c r="E65" s="42" t="s">
        <v>497</v>
      </c>
      <c r="F65" s="35" t="s">
        <v>498</v>
      </c>
      <c r="G65" s="35" t="s">
        <v>290</v>
      </c>
      <c r="H65" s="35" t="s">
        <v>499</v>
      </c>
      <c r="I65" s="48"/>
      <c r="J65" s="45" t="s">
        <v>500</v>
      </c>
      <c r="K65" s="41"/>
      <c r="L65" s="41"/>
      <c r="M65" s="41"/>
      <c r="N65" s="41"/>
      <c r="O65" s="14" t="str">
        <f t="shared" si="0"/>
        <v>64</v>
      </c>
      <c r="P65" s="15" t="str">
        <f ca="1">IFERROR(__xludf.DUMMYFUNCTION("GOOGLETRANSLATE(B65, ""ar"", ""en"")"),"Authorities")</f>
        <v>Authorities</v>
      </c>
      <c r="Q65" s="15" t="str">
        <f ca="1">IFERROR(__xludf.DUMMYFUNCTION("GOOGLETRANSLATE(C65, ""ar"", ""en"")"),"Cucumber salad with yogurt")</f>
        <v>Cucumber salad with yogurt</v>
      </c>
      <c r="R65" s="15" t="str">
        <f ca="1">IFERROR(__xludf.DUMMYFUNCTION("GOOGLETRANSLATE(D65, ""ar"", ""en"")"),"#VALUE!")</f>
        <v>#VALUE!</v>
      </c>
      <c r="S65" s="15" t="str">
        <f ca="1">IFERROR(__xludf.DUMMYFUNCTION("GOOGLETRANSLATE(E65, ""ar"", ""en"")"),"• 250 grams of milk
• 1/4 cup of water
• 1 large cucumber
• 1/4 teaspoon of dried mint
• 1/4 teaspoon of salt
• 1/2 tablespoon of finely minced garlic
")</f>
        <v xml:space="preserve">• 250 grams of milk
• 1/4 cup of water
• 1 large cucumber
• 1/4 teaspoon of dried mint
• 1/4 teaspoon of salt
• 1/2 tablespoon of finely minced garlic
</v>
      </c>
      <c r="T65" s="15" t="str">
        <f ca="1">IFERROR(__xludf.DUMMYFUNCTION("GOOGLETRANSLATE(F65, ""ar"", ""en"")"),"Whisk the milk well, adding a little water, then mix in the garlic and mint thoroughly along with the remaining ingredients.
Garnish with dried mint on top.")</f>
        <v>Whisk the milk well, adding a little water, then mix in the garlic and mint thoroughly along with the remaining ingredients.
Garnish with dried mint on top.</v>
      </c>
      <c r="U65" s="15" t="str">
        <f ca="1">IFERROR(__xludf.DUMMYFUNCTION("GOOGLETRANSLATE(G65, ""ar"", ""en"")"),"The quantity is enough for 4 people.")</f>
        <v>The quantity is enough for 4 people.</v>
      </c>
      <c r="V65" s="15" t="str">
        <f ca="1">IFERROR(__xludf.DUMMYFUNCTION("GOOGLETRANSLATE(H65, ""ar"", ""en"")"),"Dried mint and cucumber slices")</f>
        <v>Dried mint and cucumber slices</v>
      </c>
      <c r="W65" s="15" t="str">
        <f ca="1">IFERROR(__xludf.DUMMYFUNCTION("GOOGLETRANSLATE(I65, ""ar"", ""en"")"),"#VALUE!")</f>
        <v>#VALUE!</v>
      </c>
      <c r="X65" s="15" t="str">
        <f ca="1">IFERROR(__xludf.DUMMYFUNCTION("GOOGLETRANSLATE(J65, ""ar"", ""en"")"),"Images/Salata_Kheyar_Blaban.jpg")</f>
        <v>Images/Salata_Kheyar_Blaban.jpg</v>
      </c>
      <c r="Y65" s="15" t="str">
        <f ca="1">IFERROR(__xludf.DUMMYFUNCTION("GOOGLETRANSLATE(K65, ""ar"", ""en"")"),"#VALUE!")</f>
        <v>#VALUE!</v>
      </c>
      <c r="Z65" s="15" t="str">
        <f ca="1">IFERROR(__xludf.DUMMYFUNCTION("GOOGLETRANSLATE(L65, ""ar"", ""en"")"),"#VALUE!")</f>
        <v>#VALUE!</v>
      </c>
      <c r="AA65" s="15" t="str">
        <f ca="1">IFERROR(__xludf.DUMMYFUNCTION("GOOGLETRANSLATE(M65, ""ar"", ""en"")"),"#VALUE!")</f>
        <v>#VALUE!</v>
      </c>
      <c r="AB65" s="15" t="str">
        <f ca="1">IFERROR(__xludf.DUMMYFUNCTION("GOOGLETRANSLATE(N65, ""ar"", ""en"")"),"#VALUE!")</f>
        <v>#VALUE!</v>
      </c>
      <c r="AC65" s="16" t="str">
        <f t="shared" si="1"/>
        <v>64</v>
      </c>
      <c r="AD65" s="17" t="str">
        <f ca="1">IFERROR(__xludf.DUMMYFUNCTION("GOOGLETRANSLATE(P65, ""en"", ""sv"")"),"Myndigheterna")</f>
        <v>Myndigheterna</v>
      </c>
      <c r="AE65" s="17" t="str">
        <f ca="1">IFERROR(__xludf.DUMMYFUNCTION("GOOGLETRANSLATE(Q65, ""en"", ""sv"")"),"Gurksallad med yoghurt")</f>
        <v>Gurksallad med yoghurt</v>
      </c>
      <c r="AF65" s="17" t="str">
        <f ca="1">IFERROR(__xludf.DUMMYFUNCTION("GOOGLETRANSLATE(R65, ""en"", ""sv"")"),"#VALUE!")</f>
        <v>#VALUE!</v>
      </c>
      <c r="AG65" s="17" t="str">
        <f ca="1">IFERROR(__xludf.DUMMYFUNCTION("GOOGLETRANSLATE(S65, ""en"", ""sv"")"),"• 250 gram mjölk
• 1/4 kopp vatten
• 1 stor gurka
• 1/4 tesked torkad mynta
• 1/4 tesked salt
• 1/2 matsked finhackad vitlök
")</f>
        <v xml:space="preserve">• 250 gram mjölk
• 1/4 kopp vatten
• 1 stor gurka
• 1/4 tesked torkad mynta
• 1/4 tesked salt
• 1/2 matsked finhackad vitlök
</v>
      </c>
      <c r="AH65" s="17" t="str">
        <f ca="1">IFERROR(__xludf.DUMMYFUNCTION("GOOGLETRANSLATE(T65, ""en"", ""sv"")"),"Vispa mjölken väl, tillsätt lite vatten och blanda sedan ner vitlök och mynta noggrant tillsammans med resten av ingredienserna.
Garnera med torkad mynta ovanpå.")</f>
        <v>Vispa mjölken väl, tillsätt lite vatten och blanda sedan ner vitlök och mynta noggrant tillsammans med resten av ingredienserna.
Garnera med torkad mynta ovanpå.</v>
      </c>
      <c r="AI65" s="17" t="str">
        <f ca="1">IFERROR(__xludf.DUMMYFUNCTION("GOOGLETRANSLATE(U65, ""en"", ""sv"")"),"Mängden räcker till 4 personer.")</f>
        <v>Mängden räcker till 4 personer.</v>
      </c>
      <c r="AJ65" s="17" t="str">
        <f ca="1">IFERROR(__xludf.DUMMYFUNCTION("GOOGLETRANSLATE(V65, ""en"", ""sv"")"),"Torkad mynta och gurkaskivor")</f>
        <v>Torkad mynta och gurkaskivor</v>
      </c>
      <c r="AK65" s="17" t="str">
        <f ca="1">IFERROR(__xludf.DUMMYFUNCTION("GOOGLETRANSLATE(W65, ""en"", ""sv"")"),"#VALUE!")</f>
        <v>#VALUE!</v>
      </c>
      <c r="AL65" s="17" t="str">
        <f ca="1">IFERROR(__xludf.DUMMYFUNCTION("GOOGLETRANSLATE(X65, ""en"", ""sv"")"),"Bilder/Salata_Kheyar_Blaban.jpg")</f>
        <v>Bilder/Salata_Kheyar_Blaban.jpg</v>
      </c>
      <c r="AM65" s="17" t="str">
        <f ca="1">IFERROR(__xludf.DUMMYFUNCTION("GOOGLETRANSLATE(Y65, ""en"", ""sv"")"),"#VALUE!")</f>
        <v>#VALUE!</v>
      </c>
      <c r="AN65" s="17" t="str">
        <f ca="1">IFERROR(__xludf.DUMMYFUNCTION("GOOGLETRANSLATE(Z65, ""en"", ""sv"")"),"#VALUE!")</f>
        <v>#VALUE!</v>
      </c>
      <c r="AO65" s="17" t="str">
        <f ca="1">IFERROR(__xludf.DUMMYFUNCTION("GOOGLETRANSLATE(AA65, ""en"", ""sv"")"),"#VALUE!")</f>
        <v>#VALUE!</v>
      </c>
      <c r="AP65" s="17" t="str">
        <f ca="1">IFERROR(__xludf.DUMMYFUNCTION("GOOGLETRANSLATE(AB65, ""en"", ""sv"")"),"#VALUE!")</f>
        <v>#VALUE!</v>
      </c>
      <c r="AQ65" s="17"/>
    </row>
    <row r="66" spans="1:43" ht="14.25" customHeight="1" x14ac:dyDescent="0.3">
      <c r="A66" s="8" t="s">
        <v>501</v>
      </c>
      <c r="B66" s="38" t="s">
        <v>502</v>
      </c>
      <c r="C66" s="39" t="s">
        <v>503</v>
      </c>
      <c r="D66" s="46"/>
      <c r="E66" s="42" t="s">
        <v>504</v>
      </c>
      <c r="F66" s="35" t="s">
        <v>505</v>
      </c>
      <c r="G66" s="35" t="s">
        <v>290</v>
      </c>
      <c r="H66" s="35" t="s">
        <v>506</v>
      </c>
      <c r="I66" s="48"/>
      <c r="J66" s="45" t="s">
        <v>507</v>
      </c>
      <c r="K66" s="41"/>
      <c r="L66" s="41"/>
      <c r="M66" s="41"/>
      <c r="N66" s="41"/>
      <c r="O66" s="14" t="str">
        <f t="shared" si="0"/>
        <v>65</v>
      </c>
      <c r="P66" s="15" t="str">
        <f ca="1">IFERROR(__xludf.DUMMYFUNCTION("GOOGLETRANSLATE(B66, ""ar"", ""en"")"),"Various dishes, dishes with yogurt")</f>
        <v>Various dishes, dishes with yogurt</v>
      </c>
      <c r="Q66" s="15" t="str">
        <f ca="1">IFERROR(__xludf.DUMMYFUNCTION("GOOGLETRANSLATE(C66, ""ar"", ""en"")"),"Hummus Fatteh")</f>
        <v>Hummus Fatteh</v>
      </c>
      <c r="R66" s="15" t="str">
        <f ca="1">IFERROR(__xludf.DUMMYFUNCTION("GOOGLETRANSLATE(D66, ""ar"", ""en"")"),"#VALUE!")</f>
        <v>#VALUE!</v>
      </c>
      <c r="S66" s="15" t="str">
        <f ca="1">IFERROR(__xludf.DUMMYFUNCTION("GOOGLETRANSLATE(E66, ""ar"", ""en"")"),"• 2 cups cooked chickpeas, thoroughly reheated and covered with water.
• 2 loaves of bread, cut into squares and toasted.
• 3 tablespoons tahini
• 3 tablespoons yogurt
• Juice of 2 lemons
• 1 teaspoon cumin
• 1/4 teaspoon black pepper
• Chopped parsley
"&amp;"• Chopped tomatoes
• Toasted almonds, cashews, or pine nuts (optional)
• Sour pomegranate seeds
")</f>
        <v xml:space="preserve">• 2 cups cooked chickpeas, thoroughly reheated and covered with water.
• 2 loaves of bread, cut into squares and toasted.
• 3 tablespoons tahini
• 3 tablespoons yogurt
• Juice of 2 lemons
• 1 teaspoon cumin
• 1/4 teaspoon black pepper
• Chopped parsley
• Chopped tomatoes
• Toasted almonds, cashews, or pine nuts (optional)
• Sour pomegranate seeds
</v>
      </c>
      <c r="T66" s="15" t="str">
        <f ca="1">IFERROR(__xludf.DUMMYFUNCTION("GOOGLETRANSLATE(F66, ""ar"", ""en"")"),"If you have a hand blender, use it to mix the tahini, yogurt, lemon juice, garlic, and spices to achieve a creamy consistency for the special ""badoura"" (a type of tomato paste) for fattah. If you don't have a blender, you can mix the ingredients with a "&amp;"hand whisk. If the mixture is too thick, add a little hot chickpea water; this will make it wonderfully creamy.
Boil the chickpeas and set them aside. In a serving dish, place the toasted bread at the bottom, then add a little of the hot chickpea water t"&amp;"o moisten it. Add half the chickpeas and mix well.
Spread the tahini or badoura mixture over the bread, smoothing it out to completely cover it. Then, scatter the remaining chickpeas (without the water) on top.
Toast the pine nuts in clarified butter (a"&amp;"nimal ghee is preferable to vegetable ghee) and pour it hot over the fattah.
")</f>
        <v xml:space="preserve">If you have a hand blender, use it to mix the tahini, yogurt, lemon juice, garlic, and spices to achieve a creamy consistency for the special "badoura" (a type of tomato paste) for fattah. If you don't have a blender, you can mix the ingredients with a hand whisk. If the mixture is too thick, add a little hot chickpea water; this will make it wonderfully creamy.
Boil the chickpeas and set them aside. In a serving dish, place the toasted bread at the bottom, then add a little of the hot chickpea water to moisten it. Add half the chickpeas and mix well.
Spread the tahini or badoura mixture over the bread, smoothing it out to completely cover it. Then, scatter the remaining chickpeas (without the water) on top.
Toast the pine nuts in clarified butter (animal ghee is preferable to vegetable ghee) and pour it hot over the fattah.
</v>
      </c>
      <c r="U66" s="15" t="str">
        <f ca="1">IFERROR(__xludf.DUMMYFUNCTION("GOOGLETRANSLATE(G66, ""ar"", ""en"")"),"The quantity is enough for 4 people.")</f>
        <v>The quantity is enough for 4 people.</v>
      </c>
      <c r="V66" s="15" t="str">
        <f ca="1">IFERROR(__xludf.DUMMYFUNCTION("GOOGLETRANSLATE(H66, ""ar"", ""en"")"),"Garnish with tomatoes, parsley, pine nuts, and pomegranate seeds.")</f>
        <v>Garnish with tomatoes, parsley, pine nuts, and pomegranate seeds.</v>
      </c>
      <c r="W66" s="15" t="str">
        <f ca="1">IFERROR(__xludf.DUMMYFUNCTION("GOOGLETRANSLATE(I66, ""ar"", ""en"")"),"#VALUE!")</f>
        <v>#VALUE!</v>
      </c>
      <c r="X66" s="15" t="str">
        <f ca="1">IFERROR(__xludf.DUMMYFUNCTION("GOOGLETRANSLATE(J66, ""ar"", ""en"")"),"Images/Fatteh.jpg")</f>
        <v>Images/Fatteh.jpg</v>
      </c>
      <c r="Y66" s="15" t="str">
        <f ca="1">IFERROR(__xludf.DUMMYFUNCTION("GOOGLETRANSLATE(K66, ""ar"", ""en"")"),"#VALUE!")</f>
        <v>#VALUE!</v>
      </c>
      <c r="Z66" s="15" t="str">
        <f ca="1">IFERROR(__xludf.DUMMYFUNCTION("GOOGLETRANSLATE(L66, ""ar"", ""en"")"),"#VALUE!")</f>
        <v>#VALUE!</v>
      </c>
      <c r="AA66" s="15" t="str">
        <f ca="1">IFERROR(__xludf.DUMMYFUNCTION("GOOGLETRANSLATE(M66, ""ar"", ""en"")"),"#VALUE!")</f>
        <v>#VALUE!</v>
      </c>
      <c r="AB66" s="15" t="str">
        <f ca="1">IFERROR(__xludf.DUMMYFUNCTION("GOOGLETRANSLATE(N66, ""ar"", ""en"")"),"#VALUE!")</f>
        <v>#VALUE!</v>
      </c>
      <c r="AC66" s="16" t="str">
        <f t="shared" si="1"/>
        <v>65</v>
      </c>
      <c r="AD66" s="17" t="str">
        <f ca="1">IFERROR(__xludf.DUMMYFUNCTION("GOOGLETRANSLATE(P66, ""en"", ""sv"")"),"Olika rätter, rätter med yoghurt")</f>
        <v>Olika rätter, rätter med yoghurt</v>
      </c>
      <c r="AE66" s="17" t="str">
        <f ca="1">IFERROR(__xludf.DUMMYFUNCTION("GOOGLETRANSLATE(Q66, ""en"", ""sv"")"),"Hummus Fatteh")</f>
        <v>Hummus Fatteh</v>
      </c>
      <c r="AF66" s="17" t="str">
        <f ca="1">IFERROR(__xludf.DUMMYFUNCTION("GOOGLETRANSLATE(R66, ""en"", ""sv"")"),"#VALUE!")</f>
        <v>#VALUE!</v>
      </c>
      <c r="AG66" s="17" t="str">
        <f ca="1">IFERROR(__xludf.DUMMYFUNCTION("GOOGLETRANSLATE(S66, ""en"", ""sv"")"),"• 2 koppar kokta kikärter, ordentligt uppvärmda och täckta med vatten.
• 2 brödlimpor, skurna i fyrkanter och rostade.
• 3 msk tahini
• 3 msk yoghurt
• Saft från 2 citroner
• 1 tsk spiskummin
• 1/4 tsk svartpeppar
• Hackad persilja
• Hackade tomater
• R"&amp;"ostade mandlar, cashewnötter eller pinjenötter (valfritt)
• Sura granatäpplekärnor
")</f>
        <v xml:space="preserve">• 2 koppar kokta kikärter, ordentligt uppvärmda och täckta med vatten.
• 2 brödlimpor, skurna i fyrkanter och rostade.
• 3 msk tahini
• 3 msk yoghurt
• Saft från 2 citroner
• 1 tsk spiskummin
• 1/4 tsk svartpeppar
• Hackad persilja
• Hackade tomater
• Rostade mandlar, cashewnötter eller pinjenötter (valfritt)
• Sura granatäpplekärnor
</v>
      </c>
      <c r="AH66" s="17" t="str">
        <f ca="1">IFERROR(__xludf.DUMMYFUNCTION("GOOGLETRANSLATE(T66, ""en"", ""sv"")"),"Om du har en stavmixer kan du använda den för att blanda tahini, yoghurt, citronsaft, vitlök och kryddor för att uppnå en krämig konsistens för den speciella ""badouran"" (en typ av tomatpuré) för fatta. Om du inte har en mixer kan du blanda ingrediensern"&amp;"a med en handvisp. Om blandningen är för tjock kan du tillsätta lite varmt kikärtsvatten; detta gör den underbart krämig.
Koka upp kikärterna och ställ dem åt sidan. Lägg det rostade brödet längst ner i en serveringsskål och tillsätt sedan lite av det va"&amp;"rma kikärtsvattnet för att fukta det. Tillsätt hälften av kikärterna och blanda väl.
Bred ut tahini- eller badourablandningen över brödet och jämna ut den så att den täcker det helt. Strö sedan över de återstående kikärterna (utan vatten) ovanpå.
Rosta "&amp;"pinjenötterna i skirat smör (animalisk ghee är att föredra framför vegetabilisk ghee) och häll det varmt över fattahen.
")</f>
        <v xml:space="preserve">Om du har en stavmixer kan du använda den för att blanda tahini, yoghurt, citronsaft, vitlök och kryddor för att uppnå en krämig konsistens för den speciella "badouran" (en typ av tomatpuré) för fatta. Om du inte har en mixer kan du blanda ingredienserna med en handvisp. Om blandningen är för tjock kan du tillsätta lite varmt kikärtsvatten; detta gör den underbart krämig.
Koka upp kikärterna och ställ dem åt sidan. Lägg det rostade brödet längst ner i en serveringsskål och tillsätt sedan lite av det varma kikärtsvattnet för att fukta det. Tillsätt hälften av kikärterna och blanda väl.
Bred ut tahini- eller badourablandningen över brödet och jämna ut den så att den täcker det helt. Strö sedan över de återstående kikärterna (utan vatten) ovanpå.
Rosta pinjenötterna i skirat smör (animalisk ghee är att föredra framför vegetabilisk ghee) och häll det varmt över fattahen.
</v>
      </c>
      <c r="AI66" s="17" t="str">
        <f ca="1">IFERROR(__xludf.DUMMYFUNCTION("GOOGLETRANSLATE(U66, ""en"", ""sv"")"),"Mängden räcker till 4 personer.")</f>
        <v>Mängden räcker till 4 personer.</v>
      </c>
      <c r="AJ66" s="17" t="str">
        <f ca="1">IFERROR(__xludf.DUMMYFUNCTION("GOOGLETRANSLATE(V66, ""en"", ""sv"")"),"Garnera med tomater, persilja, pinjenötter och granatäpplekärnor.")</f>
        <v>Garnera med tomater, persilja, pinjenötter och granatäpplekärnor.</v>
      </c>
      <c r="AK66" s="17" t="str">
        <f ca="1">IFERROR(__xludf.DUMMYFUNCTION("GOOGLETRANSLATE(W66, ""en"", ""sv"")"),"#VALUE!")</f>
        <v>#VALUE!</v>
      </c>
      <c r="AL66" s="17" t="str">
        <f ca="1">IFERROR(__xludf.DUMMYFUNCTION("GOOGLETRANSLATE(X66, ""en"", ""sv"")"),"Bilder/Fatteh.jpg")</f>
        <v>Bilder/Fatteh.jpg</v>
      </c>
      <c r="AM66" s="17" t="str">
        <f ca="1">IFERROR(__xludf.DUMMYFUNCTION("GOOGLETRANSLATE(Y66, ""en"", ""sv"")"),"#VALUE!")</f>
        <v>#VALUE!</v>
      </c>
      <c r="AN66" s="17" t="str">
        <f ca="1">IFERROR(__xludf.DUMMYFUNCTION("GOOGLETRANSLATE(Z66, ""en"", ""sv"")"),"#VALUE!")</f>
        <v>#VALUE!</v>
      </c>
      <c r="AO66" s="17" t="str">
        <f ca="1">IFERROR(__xludf.DUMMYFUNCTION("GOOGLETRANSLATE(AA66, ""en"", ""sv"")"),"#VALUE!")</f>
        <v>#VALUE!</v>
      </c>
      <c r="AP66" s="17" t="str">
        <f ca="1">IFERROR(__xludf.DUMMYFUNCTION("GOOGLETRANSLATE(AB66, ""en"", ""sv"")"),"#VALUE!")</f>
        <v>#VALUE!</v>
      </c>
      <c r="AQ66" s="17"/>
    </row>
    <row r="67" spans="1:43" ht="14.25" customHeight="1" x14ac:dyDescent="0.3">
      <c r="A67" s="8" t="s">
        <v>508</v>
      </c>
      <c r="B67" s="38" t="s">
        <v>111</v>
      </c>
      <c r="C67" s="39" t="s">
        <v>509</v>
      </c>
      <c r="D67" s="39" t="s">
        <v>161</v>
      </c>
      <c r="E67" s="42" t="s">
        <v>510</v>
      </c>
      <c r="F67" s="35" t="s">
        <v>511</v>
      </c>
      <c r="G67" s="35" t="s">
        <v>194</v>
      </c>
      <c r="H67" s="35" t="s">
        <v>512</v>
      </c>
      <c r="I67" s="48"/>
      <c r="J67" s="45" t="s">
        <v>513</v>
      </c>
      <c r="K67" s="41"/>
      <c r="L67" s="41"/>
      <c r="M67" s="41"/>
      <c r="N67" s="41"/>
      <c r="O67" s="14" t="str">
        <f t="shared" si="0"/>
        <v>66</v>
      </c>
      <c r="P67" s="15" t="str">
        <f ca="1">IFERROR(__xludf.DUMMYFUNCTION("GOOGLETRANSLATE(B67, ""ar"", ""en"")"),"vegetables")</f>
        <v>vegetables</v>
      </c>
      <c r="Q67" s="15" t="str">
        <f ca="1">IFERROR(__xludf.DUMMYFUNCTION("GOOGLETRANSLATE(C67, ""ar"", ""en"")"),"Smooth Aleppo molokhia")</f>
        <v>Smooth Aleppo molokhia</v>
      </c>
      <c r="R67" s="15" t="str">
        <f ca="1">IFERROR(__xludf.DUMMYFUNCTION("GOOGLETRANSLATE(D67, ""ar"", ""en"")"),"hour")</f>
        <v>hour</v>
      </c>
      <c r="S67" s="15" t="str">
        <f ca="1">IFERROR(__xludf.DUMMYFUNCTION("GOOGLETRANSLATE(E67, ""ar"", ""en"")"),"Molokhia Ingredients:
• 400g bag of dried molokhia leaves, rubbed through a coarse sieve to break them into small pieces.
• 5 tablespoons ghee
• 3 tablespoons finely minced garlic
• 2 tablespoons ground coriander
• 1 tablespoon salt
• 4 cups beef or chic"&amp;"ken broth
• 1 teaspoon ground black pepper
• Pine nuts (if available)
Chicken Ingredients:
1/4 cup white vinegar with 1 tablespoon salt for marinating
• 1 kg chicken breasts and 1/2 kg chicken thighs with skin on
• 3 medium onions (approximately 400g)
•"&amp;" 5 bay leaves
• 10 whole cardamom pods
• 5 whole cloves
• 3 medium cinnamon sticks
• 1 tablespoon salt")</f>
        <v>Molokhia Ingredients:
• 400g bag of dried molokhia leaves, rubbed through a coarse sieve to break them into small pieces.
• 5 tablespoons ghee
• 3 tablespoons finely minced garlic
• 2 tablespoons ground coriander
• 1 tablespoon salt
• 4 cups beef or chicken broth
• 1 teaspoon ground black pepper
• Pine nuts (if available)
Chicken Ingredients:
1/4 cup white vinegar with 1 tablespoon salt for marinating
• 1 kg chicken breasts and 1/2 kg chicken thighs with skin on
• 3 medium onions (approximately 400g)
• 5 bay leaves
• 10 whole cardamom pods
• 5 whole cloves
• 3 medium cinnamon sticks
• 1 tablespoon salt</v>
      </c>
      <c r="T67" s="15" t="str">
        <f ca="1">IFERROR(__xludf.DUMMYFUNCTION("GOOGLETRANSLATE(F67, ""ar"", ""en"")"),"Boiling Chicken:
Soak the chicken in vinegar and salt, then cover it with water and let it soak for an hour if it's fresh. If it's frozen, let it thaw, then rinse it and place it in a colander to drain all the water, blood, and any unwanted liquids.
How "&amp;"to Boil Chicken:
Peel the onion and slice it into large wedges. Heat a little oil in a pot and add the coarse spices. Sauté for two minutes to release the aroma of the spices into the kitchen. Cut the thighs in half at the joint, as blood tends to pool at"&amp;" this point. Cut the breast lengthwise in half at the point where the breast muscles meet.
Place the thighs skin-side down to drain the juices. Boil them for 5 minutes over high heat, then turn them over and cook for another 4 minutes. This process helps"&amp;" the chicken absorb the juices and develops a delicious flavor.
Pour two liters of boiling water over it and let it cook for an hour and a half. Then remove it from the broth and set it aside. Remove the bones if you prefer boneless chicken.
How to cook"&amp;" Molokhia:
I don't recommend washing the molokhia with a fine cloth because it will be very difficult to drain and you will lose a large amount of water. Heat the ghee in a cooking pot, and once it's boiling, add the garlic and sauté briefly until it turn"&amp;"s golden. Then add the dried coriander and sauté until it's lightly browned, no more than two minutes. After that, add the molokhia and stir continuously for 10 minutes over medium heat, stirring from the bottom up. Stir with a spoon to prevent burning. T"&amp;"oast the pine nuts with the molokhia if you're adding them to the dish.
Add meat or chicken broth to the molokhia, about 4 cups of water (approximately 1 liter). Cover and let it simmer for at least 3 hours over very low heat after boiling to allow the t"&amp;"rue flavor of the molokhia to develop.")</f>
        <v>Boiling Chicken:
Soak the chicken in vinegar and salt, then cover it with water and let it soak for an hour if it's fresh. If it's frozen, let it thaw, then rinse it and place it in a colander to drain all the water, blood, and any unwanted liquids.
How to Boil Chicken:
Peel the onion and slice it into large wedges. Heat a little oil in a pot and add the coarse spices. Sauté for two minutes to release the aroma of the spices into the kitchen. Cut the thighs in half at the joint, as blood tends to pool at this point. Cut the breast lengthwise in half at the point where the breast muscles meet.
Place the thighs skin-side down to drain the juices. Boil them for 5 minutes over high heat, then turn them over and cook for another 4 minutes. This process helps the chicken absorb the juices and develops a delicious flavor.
Pour two liters of boiling water over it and let it cook for an hour and a half. Then remove it from the broth and set it aside. Remove the bones if you prefer boneless chicken.
How to cook Molokhia:
I don't recommend washing the molokhia with a fine cloth because it will be very difficult to drain and you will lose a large amount of water. Heat the ghee in a cooking pot, and once it's boiling, add the garlic and sauté briefly until it turns golden. Then add the dried coriander and sauté until it's lightly browned, no more than two minutes. After that, add the molokhia and stir continuously for 10 minutes over medium heat, stirring from the bottom up. Stir with a spoon to prevent burning. Toast the pine nuts with the molokhia if you're adding them to the dish.
Add meat or chicken broth to the molokhia, about 4 cups of water (approximately 1 liter). Cover and let it simmer for at least 3 hours over very low heat after boiling to allow the true flavor of the molokhia to develop.</v>
      </c>
      <c r="U67" s="15" t="str">
        <f ca="1">IFERROR(__xludf.DUMMYFUNCTION("GOOGLETRANSLATE(G67, ""ar"", ""en"")"),"The quantity is enough for 6 people.")</f>
        <v>The quantity is enough for 6 people.</v>
      </c>
      <c r="V67" s="15" t="str">
        <f ca="1">IFERROR(__xludf.DUMMYFUNCTION("GOOGLETRANSLATE(H67, ""ar"", ""en"")"),"Garnish the molokhia dish with lemon slices.
Serve with white rice.")</f>
        <v>Garnish the molokhia dish with lemon slices.
Serve with white rice.</v>
      </c>
      <c r="W67" s="15" t="str">
        <f ca="1">IFERROR(__xludf.DUMMYFUNCTION("GOOGLETRANSLATE(I67, ""ar"", ""en"")"),"#VALUE!")</f>
        <v>#VALUE!</v>
      </c>
      <c r="X67" s="15" t="str">
        <f ca="1">IFERROR(__xludf.DUMMYFUNCTION("GOOGLETRANSLATE(J67, ""ar"", ""en"")"),"Images/Moloukheieh.jpg")</f>
        <v>Images/Moloukheieh.jpg</v>
      </c>
      <c r="Y67" s="15" t="str">
        <f ca="1">IFERROR(__xludf.DUMMYFUNCTION("GOOGLETRANSLATE(K67, ""ar"", ""en"")"),"#VALUE!")</f>
        <v>#VALUE!</v>
      </c>
      <c r="Z67" s="15" t="str">
        <f ca="1">IFERROR(__xludf.DUMMYFUNCTION("GOOGLETRANSLATE(L67, ""ar"", ""en"")"),"#VALUE!")</f>
        <v>#VALUE!</v>
      </c>
      <c r="AA67" s="15" t="str">
        <f ca="1">IFERROR(__xludf.DUMMYFUNCTION("GOOGLETRANSLATE(M67, ""ar"", ""en"")"),"#VALUE!")</f>
        <v>#VALUE!</v>
      </c>
      <c r="AB67" s="15" t="str">
        <f ca="1">IFERROR(__xludf.DUMMYFUNCTION("GOOGLETRANSLATE(N67, ""ar"", ""en"")"),"#VALUE!")</f>
        <v>#VALUE!</v>
      </c>
      <c r="AC67" s="16" t="str">
        <f t="shared" si="1"/>
        <v>66</v>
      </c>
      <c r="AD67" s="17" t="str">
        <f ca="1">IFERROR(__xludf.DUMMYFUNCTION("GOOGLETRANSLATE(P67, ""en"", ""sv"")"),"grönsaker")</f>
        <v>grönsaker</v>
      </c>
      <c r="AE67" s="17" t="str">
        <f ca="1">IFERROR(__xludf.DUMMYFUNCTION("GOOGLETRANSLATE(Q67, ""en"", ""sv"")"),"Slät Aleppo-molokhia")</f>
        <v>Slät Aleppo-molokhia</v>
      </c>
      <c r="AF67" s="17" t="str">
        <f ca="1">IFERROR(__xludf.DUMMYFUNCTION("GOOGLETRANSLATE(R67, ""en"", ""sv"")"),"timme")</f>
        <v>timme</v>
      </c>
      <c r="AG67" s="17" t="str">
        <f ca="1">IFERROR(__xludf.DUMMYFUNCTION("GOOGLETRANSLATE(S67, ""en"", ""sv"")"),"Ingredienser till molokhia:
• 400 g påse torkade molokhiablad, gnuggade genom en grov sil för att dela dem i små bitar.
• 5 msk ghee
• 3 msk finhackad vitlök
• 2 msk malen koriander
• 1 msk salt
• 4 dl nöt- eller kycklingbuljong
• 1 tsk malen svartpeppar"&amp;"
• Pinjenötter (om sådana finns)
Ingredienser till kyckling:
1/4 dl vit vinäger med 1 msk salt för marinering
• 1 kg kycklingbröst och 1/2 kg kycklinglår med skinn
• 3 medelstora lökar (cirka 400 g)
• 5 lagerblad
• 10 hela kardemummakapslar
• 5 hela kry"&amp;"ddnejlikor
• 3 medelstora kanelstänger
• 1 msk salt")</f>
        <v>Ingredienser till molokhia:
• 400 g påse torkade molokhiablad, gnuggade genom en grov sil för att dela dem i små bitar.
• 5 msk ghee
• 3 msk finhackad vitlök
• 2 msk malen koriander
• 1 msk salt
• 4 dl nöt- eller kycklingbuljong
• 1 tsk malen svartpeppar
• Pinjenötter (om sådana finns)
Ingredienser till kyckling:
1/4 dl vit vinäger med 1 msk salt för marinering
• 1 kg kycklingbröst och 1/2 kg kycklinglår med skinn
• 3 medelstora lökar (cirka 400 g)
• 5 lagerblad
• 10 hela kardemummakapslar
• 5 hela kryddnejlikor
• 3 medelstora kanelstänger
• 1 msk salt</v>
      </c>
      <c r="AH67" s="17" t="str">
        <f ca="1">IFERROR(__xludf.DUMMYFUNCTION("GOOGLETRANSLATE(T67, ""en"", ""sv"")"),"Kokning av kyckling:
Blötlägg kycklingen i vinäger och salt, täck den sedan med vatten och låt den dra i en timme om den är färsk. Om den är fryst, låt den tina, skölj den sedan och lägg den i ett durkslag för att rinna av allt vatten, blod och oönskade v"&amp;"ätskor.
Hur man kokar kyckling:
Skala löken och skiva den i stora klyftor. Värm lite olja i en kastrull och tillsätt de grova kryddorna. Fräs i två minuter för att släppa ut kryddornas arom i köket. Dela låren på mitten vid leden, eftersom blod tenderar "&amp;"att samlas vid denna punkt. Dela bröstet på längden på mitten där bröstmusklerna möts.
Lägg låren med skinnsidan nedåt för att rinna av saften. Koka dem i 5 minuter på hög värme, vänd dem sedan och koka i ytterligare 4 minuter. Denna process hjälper kyck"&amp;"lingen att absorbera saften och utveckla en utsökt smak.
Häll två liter kokande vatten över den och låt den koka i en och en halv timme. Ta sedan upp den ur buljongen och ställ den åt sidan. Ta bort benen om du föredrar benfri kyckling.
Hur man lagar mo"&amp;"lokhia:
Jag rekommenderar inte att man tvättar molokhian med en fin trasa eftersom det blir mycket svårt att rinna av den och man förlorar en stor mängd vatten. Värm gheen i en kastrull och när den kokar, tillsätt vitlöken och fräs kort tills den blir gyl"&amp;"lenbrun. Tillsätt sedan den torkade koriandern och fräs tills den är lätt brynt, högst två minuter. Tillsätt sedan molokhian och rör om kontinuerligt i 10 minuter på medelvärme, rör om nerifrån och upp. Rör om med en sked för att förhindra att den bränns "&amp;"vid. Rosta pinjenötterna med molokhian om du lägger till dem i rätten.
Tillsätt kött- eller kycklingbuljong till molokhian, cirka 4 koppar vatten (ungefär 1 liter). Täck över och låt det sjuda i minst 3 timmar på mycket låg värme efter kokning för att lå"&amp;"ta molokhians sanna smak utvecklas.")</f>
        <v>Kokning av kyckling:
Blötlägg kycklingen i vinäger och salt, täck den sedan med vatten och låt den dra i en timme om den är färsk. Om den är fryst, låt den tina, skölj den sedan och lägg den i ett durkslag för att rinna av allt vatten, blod och oönskade vätskor.
Hur man kokar kyckling:
Skala löken och skiva den i stora klyftor. Värm lite olja i en kastrull och tillsätt de grova kryddorna. Fräs i två minuter för att släppa ut kryddornas arom i köket. Dela låren på mitten vid leden, eftersom blod tenderar att samlas vid denna punkt. Dela bröstet på längden på mitten där bröstmusklerna möts.
Lägg låren med skinnsidan nedåt för att rinna av saften. Koka dem i 5 minuter på hög värme, vänd dem sedan och koka i ytterligare 4 minuter. Denna process hjälper kycklingen att absorbera saften och utveckla en utsökt smak.
Häll två liter kokande vatten över den och låt den koka i en och en halv timme. Ta sedan upp den ur buljongen och ställ den åt sidan. Ta bort benen om du föredrar benfri kyckling.
Hur man lagar molokhia:
Jag rekommenderar inte att man tvättar molokhian med en fin trasa eftersom det blir mycket svårt att rinna av den och man förlorar en stor mängd vatten. Värm gheen i en kastrull och när den kokar, tillsätt vitlöken och fräs kort tills den blir gyllenbrun. Tillsätt sedan den torkade koriandern och fräs tills den är lätt brynt, högst två minuter. Tillsätt sedan molokhian och rör om kontinuerligt i 10 minuter på medelvärme, rör om nerifrån och upp. Rör om med en sked för att förhindra att den bränns vid. Rosta pinjenötterna med molokhian om du lägger till dem i rätten.
Tillsätt kött- eller kycklingbuljong till molokhian, cirka 4 koppar vatten (ungefär 1 liter). Täck över och låt det sjuda i minst 3 timmar på mycket låg värme efter kokning för att låta molokhians sanna smak utvecklas.</v>
      </c>
      <c r="AI67" s="17" t="str">
        <f ca="1">IFERROR(__xludf.DUMMYFUNCTION("GOOGLETRANSLATE(U67, ""en"", ""sv"")"),"Mängden räcker till 6 personer.")</f>
        <v>Mängden räcker till 6 personer.</v>
      </c>
      <c r="AJ67" s="17" t="str">
        <f ca="1">IFERROR(__xludf.DUMMYFUNCTION("GOOGLETRANSLATE(V67, ""en"", ""sv"")"),"Garnera molokhiarätten med citronskivor.
Servera med vitt ris.")</f>
        <v>Garnera molokhiarätten med citronskivor.
Servera med vitt ris.</v>
      </c>
      <c r="AK67" s="17" t="str">
        <f ca="1">IFERROR(__xludf.DUMMYFUNCTION("GOOGLETRANSLATE(W67, ""en"", ""sv"")"),"#VALUE!")</f>
        <v>#VALUE!</v>
      </c>
      <c r="AL67" s="17" t="str">
        <f ca="1">IFERROR(__xludf.DUMMYFUNCTION("GOOGLETRANSLATE(X67, ""en"", ""sv"")"),"Bilder/Moloukheieh.jpg")</f>
        <v>Bilder/Moloukheieh.jpg</v>
      </c>
      <c r="AM67" s="17" t="str">
        <f ca="1">IFERROR(__xludf.DUMMYFUNCTION("GOOGLETRANSLATE(Y67, ""en"", ""sv"")"),"#VALUE!")</f>
        <v>#VALUE!</v>
      </c>
      <c r="AN67" s="17" t="str">
        <f ca="1">IFERROR(__xludf.DUMMYFUNCTION("GOOGLETRANSLATE(Z67, ""en"", ""sv"")"),"#VALUE!")</f>
        <v>#VALUE!</v>
      </c>
      <c r="AO67" s="17" t="str">
        <f ca="1">IFERROR(__xludf.DUMMYFUNCTION("GOOGLETRANSLATE(AA67, ""en"", ""sv"")"),"#VALUE!")</f>
        <v>#VALUE!</v>
      </c>
      <c r="AP67" s="17" t="str">
        <f ca="1">IFERROR(__xludf.DUMMYFUNCTION("GOOGLETRANSLATE(AB67, ""en"", ""sv"")"),"#VALUE!")</f>
        <v>#VALUE!</v>
      </c>
      <c r="AQ67" s="17"/>
    </row>
    <row r="68" spans="1:43" ht="14.25" customHeight="1" x14ac:dyDescent="0.3">
      <c r="A68" s="8" t="s">
        <v>514</v>
      </c>
      <c r="B68" s="38" t="s">
        <v>286</v>
      </c>
      <c r="C68" s="39" t="s">
        <v>515</v>
      </c>
      <c r="D68" s="39" t="s">
        <v>376</v>
      </c>
      <c r="E68" s="42" t="s">
        <v>516</v>
      </c>
      <c r="F68" s="35" t="s">
        <v>517</v>
      </c>
      <c r="G68" s="35" t="s">
        <v>290</v>
      </c>
      <c r="H68" s="35" t="s">
        <v>518</v>
      </c>
      <c r="I68" s="35" t="s">
        <v>519</v>
      </c>
      <c r="J68" s="45" t="s">
        <v>520</v>
      </c>
      <c r="K68" s="41"/>
      <c r="L68" s="41"/>
      <c r="M68" s="41"/>
      <c r="N68" s="41"/>
      <c r="O68" s="14" t="str">
        <f t="shared" si="0"/>
        <v>67</v>
      </c>
      <c r="P68" s="15" t="str">
        <f ca="1">IFERROR(__xludf.DUMMYFUNCTION("GOOGLETRANSLATE(B68, ""ar"", ""en"")"),"Grain foods")</f>
        <v>Grain foods</v>
      </c>
      <c r="Q68" s="15" t="str">
        <f ca="1">IFERROR(__xludf.DUMMYFUNCTION("GOOGLETRANSLATE(C68, ""ar"", ""en"")"),"Rice with vermicelli")</f>
        <v>Rice with vermicelli</v>
      </c>
      <c r="R68" s="15" t="str">
        <f ca="1">IFERROR(__xludf.DUMMYFUNCTION("GOOGLETRANSLATE(D68, ""ar"", ""en"")"),"half an hour")</f>
        <v>half an hour</v>
      </c>
      <c r="S68" s="15" t="str">
        <f ca="1">IFERROR(__xludf.DUMMYFUNCTION("GOOGLETRANSLATE(E68, ""ar"", ""en"")"),"• 2 cups basmati rice
• 2 cups water
• 1/2 cup vermicelli
• 2 tablespoons ghee
• 1 Maggi chicken bouillon cube
• 2 cups water
• 1/2 teaspoon salt")</f>
        <v>• 2 cups basmati rice
• 2 cups water
• 1/2 cup vermicelli
• 2 tablespoons ghee
• 1 Maggi chicken bouillon cube
• 2 cups water
• 1/2 teaspoon salt</v>
      </c>
      <c r="T68" s="15" t="str">
        <f ca="1">IFERROR(__xludf.DUMMYFUNCTION("GOOGLETRANSLATE(F68, ""ar"", ""en"")"),"Soak the rice for at least one hour.
Heat the ghee slightly, then add the vermicelli and sauté until golden brown. Add the water, salt, and bouillon cube, and bring to a boil until the bouillon cube is completely dissolved. Drain the rice and add it to t"&amp;"he boiling water. Stir several times until the water level is just below the rice. Reduce the heat to low, cover the pot, and cook for 3 minutes. Gently stir the rice from the edge of the pot to the bottom, without stirring. Reduce the heat to the lowest "&amp;"possible setting and cook for 5 minutes.
")</f>
        <v xml:space="preserve">Soak the rice for at least one hour.
Heat the ghee slightly, then add the vermicelli and sauté until golden brown. Add the water, salt, and bouillon cube, and bring to a boil until the bouillon cube is completely dissolved. Drain the rice and add it to the boiling water. Stir several times until the water level is just below the rice. Reduce the heat to low, cover the pot, and cook for 3 minutes. Gently stir the rice from the edge of the pot to the bottom, without stirring. Reduce the heat to the lowest possible setting and cook for 5 minutes.
</v>
      </c>
      <c r="U68" s="15" t="str">
        <f ca="1">IFERROR(__xludf.DUMMYFUNCTION("GOOGLETRANSLATE(G68, ""ar"", ""en"")"),"The quantity is enough for 4 people.")</f>
        <v>The quantity is enough for 4 people.</v>
      </c>
      <c r="V68" s="15" t="str">
        <f ca="1">IFERROR(__xludf.DUMMYFUNCTION("GOOGLETRANSLATE(H68, ""ar"", ""en"")"),"The rice dish cooked with vermicelli is garnished with black pepper and chopped parsley, giving it a stunning white and green color.")</f>
        <v>The rice dish cooked with vermicelli is garnished with black pepper and chopped parsley, giving it a stunning white and green color.</v>
      </c>
      <c r="W68" s="15" t="str">
        <f ca="1">IFERROR(__xludf.DUMMYFUNCTION("GOOGLETRANSLATE(I68, ""ar"", ""en"")"),"My advice is that rice should be soaked for at least half an hour. The basic rule with any grains, whatever their type, is to soak, because rice that is not soaked to get it cooked and melted will stick together. So follow the soaking rule with all types "&amp;"of grains except for lentils for porridge and lentils for mujaddara.")</f>
        <v>My advice is that rice should be soaked for at least half an hour. The basic rule with any grains, whatever their type, is to soak, because rice that is not soaked to get it cooked and melted will stick together. So follow the soaking rule with all types of grains except for lentils for porridge and lentils for mujaddara.</v>
      </c>
      <c r="X68" s="15" t="str">
        <f ca="1">IFERROR(__xludf.DUMMYFUNCTION("GOOGLETRANSLATE(J68, ""ar"", ""en"")"),"Images/Rez_Besheirieh.jpg")</f>
        <v>Images/Rez_Besheirieh.jpg</v>
      </c>
      <c r="Y68" s="15" t="str">
        <f ca="1">IFERROR(__xludf.DUMMYFUNCTION("GOOGLETRANSLATE(K68, ""ar"", ""en"")"),"#VALUE!")</f>
        <v>#VALUE!</v>
      </c>
      <c r="Z68" s="15" t="str">
        <f ca="1">IFERROR(__xludf.DUMMYFUNCTION("GOOGLETRANSLATE(L68, ""ar"", ""en"")"),"#VALUE!")</f>
        <v>#VALUE!</v>
      </c>
      <c r="AA68" s="15" t="str">
        <f ca="1">IFERROR(__xludf.DUMMYFUNCTION("GOOGLETRANSLATE(M68, ""ar"", ""en"")"),"#VALUE!")</f>
        <v>#VALUE!</v>
      </c>
      <c r="AB68" s="15" t="str">
        <f ca="1">IFERROR(__xludf.DUMMYFUNCTION("GOOGLETRANSLATE(N68, ""ar"", ""en"")"),"#VALUE!")</f>
        <v>#VALUE!</v>
      </c>
      <c r="AC68" s="16" t="str">
        <f t="shared" si="1"/>
        <v>67</v>
      </c>
      <c r="AD68" s="17" t="str">
        <f ca="1">IFERROR(__xludf.DUMMYFUNCTION("GOOGLETRANSLATE(P68, ""en"", ""sv"")"),"Spannmålsprodukter")</f>
        <v>Spannmålsprodukter</v>
      </c>
      <c r="AE68" s="17" t="str">
        <f ca="1">IFERROR(__xludf.DUMMYFUNCTION("GOOGLETRANSLATE(Q68, ""en"", ""sv"")"),"Ris med vermicelli")</f>
        <v>Ris med vermicelli</v>
      </c>
      <c r="AF68" s="17" t="str">
        <f ca="1">IFERROR(__xludf.DUMMYFUNCTION("GOOGLETRANSLATE(R68, ""en"", ""sv"")"),"en halvtimme")</f>
        <v>en halvtimme</v>
      </c>
      <c r="AG68" s="17" t="str">
        <f ca="1">IFERROR(__xludf.DUMMYFUNCTION("GOOGLETRANSLATE(S68, ""en"", ""sv"")"),"• 2 koppar basmatiris
• 2 koppar vatten
• 1/2 kopp vermicelli
• 2 matskedar ghee
• 1 Maggi kycklingbuljongtärning
• 2 koppar vatten
• 1/2 tesked salt")</f>
        <v>• 2 koppar basmatiris
• 2 koppar vatten
• 1/2 kopp vermicelli
• 2 matskedar ghee
• 1 Maggi kycklingbuljongtärning
• 2 koppar vatten
• 1/2 tesked salt</v>
      </c>
      <c r="AH68" s="17" t="str">
        <f ca="1">IFERROR(__xludf.DUMMYFUNCTION("GOOGLETRANSLATE(T68, ""en"", ""sv"")"),"Blötlägg riset i minst en timme.
Värm gheen lätt, tillsätt sedan vermicellin och fräs tills den är gyllenbrun. Tillsätt vatten, salt och buljongtärning och koka upp tills buljongtärningen är helt upplöst. Häll av riset och tillsätt det i det kokande vatt"&amp;"net. Rör om flera gånger tills vattennivån är strax under riset. Sänk värmen till låg, täck över grytan och koka i 3 minuter. Rör försiktigt om riset från grytans kant till botten, utan att röra om. Sänk värmen till lägsta möjliga nivå och koka i 5 minute"&amp;"r.
")</f>
        <v xml:space="preserve">Blötlägg riset i minst en timme.
Värm gheen lätt, tillsätt sedan vermicellin och fräs tills den är gyllenbrun. Tillsätt vatten, salt och buljongtärning och koka upp tills buljongtärningen är helt upplöst. Häll av riset och tillsätt det i det kokande vattnet. Rör om flera gånger tills vattennivån är strax under riset. Sänk värmen till låg, täck över grytan och koka i 3 minuter. Rör försiktigt om riset från grytans kant till botten, utan att röra om. Sänk värmen till lägsta möjliga nivå och koka i 5 minuter.
</v>
      </c>
      <c r="AI68" s="17" t="str">
        <f ca="1">IFERROR(__xludf.DUMMYFUNCTION("GOOGLETRANSLATE(U68, ""en"", ""sv"")"),"Mängden räcker till 4 personer.")</f>
        <v>Mängden räcker till 4 personer.</v>
      </c>
      <c r="AJ68" s="17" t="str">
        <f ca="1">IFERROR(__xludf.DUMMYFUNCTION("GOOGLETRANSLATE(V68, ""en"", ""sv"")"),"Risrätten tillagad med vermicelli garneras med svartpeppar och hackad persilja, vilket ger den en fantastisk vit och grön färg.")</f>
        <v>Risrätten tillagad med vermicelli garneras med svartpeppar och hackad persilja, vilket ger den en fantastisk vit och grön färg.</v>
      </c>
      <c r="AK68" s="17" t="str">
        <f ca="1">IFERROR(__xludf.DUMMYFUNCTION("GOOGLETRANSLATE(W68, ""en"", ""sv"")"),"Mitt råd är att ris bör blötläggas i minst en halvtimme. Grundregeln för alla typer av spannmål, oavsett typ, är att blötlägga, eftersom ris som inte blötläggs för att kokas och smältas kommer att klibba ihop. Så följ blötläggningsregeln för alla typer av"&amp;" spannmål förutom linser till gröt och linser till mujaddara.")</f>
        <v>Mitt råd är att ris bör blötläggas i minst en halvtimme. Grundregeln för alla typer av spannmål, oavsett typ, är att blötlägga, eftersom ris som inte blötläggs för att kokas och smältas kommer att klibba ihop. Så följ blötläggningsregeln för alla typer av spannmål förutom linser till gröt och linser till mujaddara.</v>
      </c>
      <c r="AL68" s="17" t="str">
        <f ca="1">IFERROR(__xludf.DUMMYFUNCTION("GOOGLETRANSLATE(X68, ""en"", ""sv"")"),"Bilder/Rez_Besheirieh.jpg")</f>
        <v>Bilder/Rez_Besheirieh.jpg</v>
      </c>
      <c r="AM68" s="17" t="str">
        <f ca="1">IFERROR(__xludf.DUMMYFUNCTION("GOOGLETRANSLATE(Y68, ""en"", ""sv"")"),"#VALUE!")</f>
        <v>#VALUE!</v>
      </c>
      <c r="AN68" s="17" t="str">
        <f ca="1">IFERROR(__xludf.DUMMYFUNCTION("GOOGLETRANSLATE(Z68, ""en"", ""sv"")"),"#VALUE!")</f>
        <v>#VALUE!</v>
      </c>
      <c r="AO68" s="17" t="str">
        <f ca="1">IFERROR(__xludf.DUMMYFUNCTION("GOOGLETRANSLATE(AA68, ""en"", ""sv"")"),"#VALUE!")</f>
        <v>#VALUE!</v>
      </c>
      <c r="AP68" s="17" t="str">
        <f ca="1">IFERROR(__xludf.DUMMYFUNCTION("GOOGLETRANSLATE(AB68, ""en"", ""sv"")"),"#VALUE!")</f>
        <v>#VALUE!</v>
      </c>
      <c r="AQ68" s="17"/>
    </row>
    <row r="69" spans="1:43" ht="14.25" customHeight="1" x14ac:dyDescent="0.3">
      <c r="A69" s="8" t="s">
        <v>521</v>
      </c>
      <c r="B69" s="38" t="s">
        <v>286</v>
      </c>
      <c r="C69" s="39" t="s">
        <v>522</v>
      </c>
      <c r="D69" s="39" t="s">
        <v>113</v>
      </c>
      <c r="E69" s="42" t="s">
        <v>523</v>
      </c>
      <c r="F69" s="35" t="s">
        <v>524</v>
      </c>
      <c r="G69" s="35" t="s">
        <v>194</v>
      </c>
      <c r="H69" s="35" t="s">
        <v>525</v>
      </c>
      <c r="I69" s="48"/>
      <c r="J69" s="45" t="s">
        <v>526</v>
      </c>
      <c r="K69" s="41"/>
      <c r="L69" s="41"/>
      <c r="M69" s="41"/>
      <c r="N69" s="41"/>
      <c r="O69" s="14" t="str">
        <f t="shared" si="0"/>
        <v>68</v>
      </c>
      <c r="P69" s="15" t="str">
        <f ca="1">IFERROR(__xludf.DUMMYFUNCTION("GOOGLETRANSLATE(B69, ""ar"", ""en"")"),"Grain foods")</f>
        <v>Grain foods</v>
      </c>
      <c r="Q69" s="15" t="str">
        <f ca="1">IFERROR(__xludf.DUMMYFUNCTION("GOOGLETRANSLATE(C69, ""ar"", ""en"")"),"white beans")</f>
        <v>white beans</v>
      </c>
      <c r="R69" s="15" t="str">
        <f ca="1">IFERROR(__xludf.DUMMYFUNCTION("GOOGLETRANSLATE(D69, ""ar"", ""en"")"),"an hour and a half")</f>
        <v>an hour and a half</v>
      </c>
      <c r="S69" s="15" t="str">
        <f ca="1">IFERROR(__xludf.DUMMYFUNCTION("GOOGLETRANSLATE(E69, ""ar"", ""en"")"),"• 1/2 kg beans
• 1 kg minced meat or lamb pieces with bone (recommended; if unavailable, ground beef can be used)
• 2 large onions (400 g)
• 2 tomatoes, blended
• 3 tablespoons ghee
• 1/2 teaspoon salt
• 1 teaspoon black pepper
• 3 tablespoons toma"&amp;"to paste
• 4 medium tomatoes, blended
• 3 cups boiling water")</f>
        <v>• 1/2 kg beans
• 1 kg minced meat or lamb pieces with bone (recommended; if unavailable, ground beef can be used)
• 2 large onions (400 g)
• 2 tomatoes, blended
• 3 tablespoons ghee
• 1/2 teaspoon salt
• 1 teaspoon black pepper
• 3 tablespoons tomato paste
• 4 medium tomatoes, blended
• 3 cups boiling water</v>
      </c>
      <c r="T69" s="15" t="str">
        <f ca="1">IFERROR(__xludf.DUMMYFUNCTION("GOOGLETRANSLATE(F69, ""ar"", ""en"")"),"Boiling the beans:
Soak the beans in a teaspoon of baking soda overnight. The next day, rinse them well and place them in a suitable pot. Cover them with water and bring to a boil over high heat. Then reduce the heat and simmer for about half an hour. Che"&amp;"ck them to ensure they are fully cooked and free of any hardened bits.
Note: Do not overcook white beans, as they will become mushy and fall apart.
Preparing the minced meat:
Finely chop the onion and sauté it in hot ghee with the minced meat until it t"&amp;"urns golden and releases its juices. Cover and cook until the meat is cooked through and the liquid has evaporated. Add the tomatoes, tomato sauce, and water, and simmer for about 15 minutes over low heat until thickened. Finally, add the boiled and drain"&amp;"ed beans, along with salt and black pepper. Simmer for another 15 minutes to allow the beans to absorb the tomato flavor.
Preparing the meat pieces: Peel and finely chop the onion. Heat ghee in a pan and sauté the onion until golden brown. Add the meat a"&amp;"nd cook, stirring occasionally, for about 10 minutes. Sprinkle the meat with black pepper, then add the tomatoes, tomato sauce, and water. Simmer over low heat until the meat is fully cooked.
Add the cooked and drained beans, along with salt and black pe"&amp;"pper. Boil for 15 minutes to allow the beans to absorb the tomato flavor.
Prepare the meat for 15 minutes.")</f>
        <v>Boiling the beans:
Soak the beans in a teaspoon of baking soda overnight. The next day, rinse them well and place them in a suitable pot. Cover them with water and bring to a boil over high heat. Then reduce the heat and simmer for about half an hour. Check them to ensure they are fully cooked and free of any hardened bits.
Note: Do not overcook white beans, as they will become mushy and fall apart.
Preparing the minced meat:
Finely chop the onion and sauté it in hot ghee with the minced meat until it turns golden and releases its juices. Cover and cook until the meat is cooked through and the liquid has evaporated. Add the tomatoes, tomato sauce, and water, and simmer for about 15 minutes over low heat until thickened. Finally, add the boiled and drained beans, along with salt and black pepper. Simmer for another 15 minutes to allow the beans to absorb the tomato flavor.
Preparing the meat pieces: Peel and finely chop the onion. Heat ghee in a pan and sauté the onion until golden brown. Add the meat and cook, stirring occasionally, for about 10 minutes. Sprinkle the meat with black pepper, then add the tomatoes, tomato sauce, and water. Simmer over low heat until the meat is fully cooked.
Add the cooked and drained beans, along with salt and black pepper. Boil for 15 minutes to allow the beans to absorb the tomato flavor.
Prepare the meat for 15 minutes.</v>
      </c>
      <c r="U69" s="15" t="str">
        <f ca="1">IFERROR(__xludf.DUMMYFUNCTION("GOOGLETRANSLATE(G69, ""ar"", ""en"")"),"The quantity is enough for 6 people.")</f>
        <v>The quantity is enough for 6 people.</v>
      </c>
      <c r="V69" s="15" t="str">
        <f ca="1">IFERROR(__xludf.DUMMYFUNCTION("GOOGLETRANSLATE(H69, ""ar"", ""en"")"),"Sprinkle black pepper on top of the bean dish, prepare a rice and vermicelli dish, and enjoy the most delicious meal in the world.")</f>
        <v>Sprinkle black pepper on top of the bean dish, prepare a rice and vermicelli dish, and enjoy the most delicious meal in the world.</v>
      </c>
      <c r="W69" s="15" t="str">
        <f ca="1">IFERROR(__xludf.DUMMYFUNCTION("GOOGLETRANSLATE(I69, ""ar"", ""en"")"),"#VALUE!")</f>
        <v>#VALUE!</v>
      </c>
      <c r="X69" s="15" t="str">
        <f ca="1">IFERROR(__xludf.DUMMYFUNCTION("GOOGLETRANSLATE(J69, ""ar"", ""en"")"),"images/Fasoulia_Beida.jpg")</f>
        <v>images/Fasoulia_Beida.jpg</v>
      </c>
      <c r="Y69" s="15" t="str">
        <f ca="1">IFERROR(__xludf.DUMMYFUNCTION("GOOGLETRANSLATE(K69, ""ar"", ""en"")"),"#VALUE!")</f>
        <v>#VALUE!</v>
      </c>
      <c r="Z69" s="15" t="str">
        <f ca="1">IFERROR(__xludf.DUMMYFUNCTION("GOOGLETRANSLATE(L69, ""ar"", ""en"")"),"#VALUE!")</f>
        <v>#VALUE!</v>
      </c>
      <c r="AA69" s="15" t="str">
        <f ca="1">IFERROR(__xludf.DUMMYFUNCTION("GOOGLETRANSLATE(M69, ""ar"", ""en"")"),"#VALUE!")</f>
        <v>#VALUE!</v>
      </c>
      <c r="AB69" s="15" t="str">
        <f ca="1">IFERROR(__xludf.DUMMYFUNCTION("GOOGLETRANSLATE(N69, ""ar"", ""en"")"),"#VALUE!")</f>
        <v>#VALUE!</v>
      </c>
      <c r="AC69" s="16" t="str">
        <f t="shared" si="1"/>
        <v>68</v>
      </c>
      <c r="AD69" s="17" t="str">
        <f ca="1">IFERROR(__xludf.DUMMYFUNCTION("GOOGLETRANSLATE(P69, ""en"", ""sv"")"),"Spannmålsprodukter")</f>
        <v>Spannmålsprodukter</v>
      </c>
      <c r="AE69" s="17" t="str">
        <f ca="1">IFERROR(__xludf.DUMMYFUNCTION("GOOGLETRANSLATE(Q69, ""en"", ""sv"")"),"vita bönor")</f>
        <v>vita bönor</v>
      </c>
      <c r="AF69" s="17" t="str">
        <f ca="1">IFERROR(__xludf.DUMMYFUNCTION("GOOGLETRANSLATE(R69, ""en"", ""sv"")"),"en och en halv timme")</f>
        <v>en och en halv timme</v>
      </c>
      <c r="AG69" s="17" t="str">
        <f ca="1">IFERROR(__xludf.DUMMYFUNCTION("GOOGLETRANSLATE(S69, ""en"", ""sv"")"),"• 1/2 kg bönor
• 1 kg köttfärs eller lammbitar med ben (rekommenderas; om det inte finns tillgängligt kan nötfärs användas)
• 2 stora lökar (400 g)
• 2 tomater, mixade
• 3 msk ghee
• 1/2 tsk salt
• 1 tsk svartpeppar
• 3 msk tomatpuré
• 4 medelstor"&amp;"a tomater, mixade
• 3 koppar kokande vatten")</f>
        <v>• 1/2 kg bönor
• 1 kg köttfärs eller lammbitar med ben (rekommenderas; om det inte finns tillgängligt kan nötfärs användas)
• 2 stora lökar (400 g)
• 2 tomater, mixade
• 3 msk ghee
• 1/2 tsk salt
• 1 tsk svartpeppar
• 3 msk tomatpuré
• 4 medelstora tomater, mixade
• 3 koppar kokande vatten</v>
      </c>
      <c r="AH69" s="17" t="str">
        <f ca="1">IFERROR(__xludf.DUMMYFUNCTION("GOOGLETRANSLATE(T69, ""en"", ""sv"")"),"Kokning av bönorna:
Blötlägg bönorna i en tesked bikarbonat över natten. Nästa dag, skölj dem väl och lägg dem i en lämplig kastrull. Täck dem med vatten och koka upp på hög värme. Sänk sedan värmen och låt sjuda i ungefär en halvtimme. Kontrollera att de"&amp;" är helt kokta och fria från hårda bitar.
Obs: Överkoka inte vita bönor, då blir de mosiga och faller isär.
Förberedelse av köttfärsen:
Finthacka löken och fräs den i varm ghee med köttfärsen tills den blir gyllenbrun och släpper ut sin saft. Täck över "&amp;"och koka tills köttet är genomkokt och vätskan har avdunstat. Tillsätt tomater, tomatsås och vatten och låt sjuda i cirka 15 minuter på låg värme tills det tjocknar. Tillsätt slutligen de kokta och avrunna bönorna, tillsammans med salt och svartpeppar. Lå"&amp;"t sjuda i ytterligare 15 minuter så att bönorna absorberar tomatsmaken.
Förberedelse av köttbitarna: Skala och finhacka löken. Värm ghee i en panna och fräs löken tills den är gyllenbrun. Tillsätt köttet och tillaga under omrörning i cirka 10 minuter. St"&amp;"rö över svartpeppar över köttet och tillsätt sedan tomaterna, tomatsåsen och vattnet. Låt sjuda på låg värme tills köttet är helt genomkokt.
Tillsätt de kokta och avrunna bönorna, tillsammans med salt och svartpeppar. Koka i 15 minuter så att bönorna abs"&amp;"orberar tomatsmaken.
Förbered köttet i 15 minuter.")</f>
        <v>Kokning av bönorna:
Blötlägg bönorna i en tesked bikarbonat över natten. Nästa dag, skölj dem väl och lägg dem i en lämplig kastrull. Täck dem med vatten och koka upp på hög värme. Sänk sedan värmen och låt sjuda i ungefär en halvtimme. Kontrollera att de är helt kokta och fria från hårda bitar.
Obs: Överkoka inte vita bönor, då blir de mosiga och faller isär.
Förberedelse av köttfärsen:
Finthacka löken och fräs den i varm ghee med köttfärsen tills den blir gyllenbrun och släpper ut sin saft. Täck över och koka tills köttet är genomkokt och vätskan har avdunstat. Tillsätt tomater, tomatsås och vatten och låt sjuda i cirka 15 minuter på låg värme tills det tjocknar. Tillsätt slutligen de kokta och avrunna bönorna, tillsammans med salt och svartpeppar. Låt sjuda i ytterligare 15 minuter så att bönorna absorberar tomatsmaken.
Förberedelse av köttbitarna: Skala och finhacka löken. Värm ghee i en panna och fräs löken tills den är gyllenbrun. Tillsätt köttet och tillaga under omrörning i cirka 10 minuter. Strö över svartpeppar över köttet och tillsätt sedan tomaterna, tomatsåsen och vattnet. Låt sjuda på låg värme tills köttet är helt genomkokt.
Tillsätt de kokta och avrunna bönorna, tillsammans med salt och svartpeppar. Koka i 15 minuter så att bönorna absorberar tomatsmaken.
Förbered köttet i 15 minuter.</v>
      </c>
      <c r="AI69" s="17" t="str">
        <f ca="1">IFERROR(__xludf.DUMMYFUNCTION("GOOGLETRANSLATE(U69, ""en"", ""sv"")"),"Mängden räcker till 6 personer.")</f>
        <v>Mängden räcker till 6 personer.</v>
      </c>
      <c r="AJ69" s="17" t="str">
        <f ca="1">IFERROR(__xludf.DUMMYFUNCTION("GOOGLETRANSLATE(V69, ""en"", ""sv"")"),"Strö svartpeppar över bönrätten, förbered en ris- och vermicellirätt och njut av världens godaste måltid.")</f>
        <v>Strö svartpeppar över bönrätten, förbered en ris- och vermicellirätt och njut av världens godaste måltid.</v>
      </c>
      <c r="AK69" s="17" t="str">
        <f ca="1">IFERROR(__xludf.DUMMYFUNCTION("GOOGLETRANSLATE(W69, ""en"", ""sv"")"),"#VALUE!")</f>
        <v>#VALUE!</v>
      </c>
      <c r="AL69" s="17" t="str">
        <f ca="1">IFERROR(__xludf.DUMMYFUNCTION("GOOGLETRANSLATE(X69, ""en"", ""sv"")"),"bilder/Fasoulia_Beida.jpg")</f>
        <v>bilder/Fasoulia_Beida.jpg</v>
      </c>
      <c r="AM69" s="17" t="str">
        <f ca="1">IFERROR(__xludf.DUMMYFUNCTION("GOOGLETRANSLATE(Y69, ""en"", ""sv"")"),"#VALUE!")</f>
        <v>#VALUE!</v>
      </c>
      <c r="AN69" s="17" t="str">
        <f ca="1">IFERROR(__xludf.DUMMYFUNCTION("GOOGLETRANSLATE(Z69, ""en"", ""sv"")"),"#VALUE!")</f>
        <v>#VALUE!</v>
      </c>
      <c r="AO69" s="17" t="str">
        <f ca="1">IFERROR(__xludf.DUMMYFUNCTION("GOOGLETRANSLATE(AA69, ""en"", ""sv"")"),"#VALUE!")</f>
        <v>#VALUE!</v>
      </c>
      <c r="AP69" s="17" t="str">
        <f ca="1">IFERROR(__xludf.DUMMYFUNCTION("GOOGLETRANSLATE(AB69, ""en"", ""sv"")"),"#VALUE!")</f>
        <v>#VALUE!</v>
      </c>
      <c r="AQ69" s="17"/>
    </row>
    <row r="70" spans="1:43" ht="14.25" customHeight="1" x14ac:dyDescent="0.3">
      <c r="A70" s="8" t="s">
        <v>527</v>
      </c>
      <c r="B70" s="38" t="s">
        <v>140</v>
      </c>
      <c r="C70" s="39" t="s">
        <v>528</v>
      </c>
      <c r="D70" s="39" t="s">
        <v>406</v>
      </c>
      <c r="E70" s="42" t="s">
        <v>529</v>
      </c>
      <c r="F70" s="35" t="s">
        <v>530</v>
      </c>
      <c r="G70" s="35" t="s">
        <v>531</v>
      </c>
      <c r="H70" s="35" t="s">
        <v>532</v>
      </c>
      <c r="I70" s="35" t="s">
        <v>533</v>
      </c>
      <c r="J70" s="45" t="s">
        <v>534</v>
      </c>
      <c r="K70" s="41"/>
      <c r="L70" s="41"/>
      <c r="M70" s="41"/>
      <c r="N70" s="41"/>
      <c r="O70" s="14" t="str">
        <f t="shared" si="0"/>
        <v>69</v>
      </c>
      <c r="P70" s="15" t="str">
        <f ca="1">IFERROR(__xludf.DUMMYFUNCTION("GOOGLETRANSLATE(B70, ""ar"", ""en"")"),"meat")</f>
        <v>meat</v>
      </c>
      <c r="Q70" s="15" t="str">
        <f ca="1">IFERROR(__xludf.DUMMYFUNCTION("GOOGLETRANSLATE(C70, ""ar"", ""en"")"),"Fried liver in olive oil")</f>
        <v>Fried liver in olive oil</v>
      </c>
      <c r="R70" s="15" t="str">
        <f ca="1">IFERROR(__xludf.DUMMYFUNCTION("GOOGLETRANSLATE(D70, ""ar"", ""en"")"),"half an hour")</f>
        <v>half an hour</v>
      </c>
      <c r="S70" s="15" t="str">
        <f ca="1">IFERROR(__xludf.DUMMYFUNCTION("GOOGLETRANSLATE(E70, ""ar"", ""en"")"),"• 1/2 kg liver, cut into medium cubes
• 5 cloves garlic, chopped and sliced
• 1/2 tablespoon minced garlic
• 1/2 teaspoon black pepper
• 1/2 teaspoon ground coriander
• Juice of 1 lemon
• 1/4 cup olive oil")</f>
        <v>• 1/2 kg liver, cut into medium cubes
• 5 cloves garlic, chopped and sliced
• 1/2 tablespoon minced garlic
• 1/2 teaspoon black pepper
• 1/2 teaspoon ground coriander
• Juice of 1 lemon
• 1/4 cup olive oil</v>
      </c>
      <c r="T70" s="15" t="str">
        <f ca="1">IFERROR(__xludf.DUMMYFUNCTION("GOOGLETRANSLATE(F70, ""ar"", ""en"")"),"Heat the oil in a pan, add the garlic and stir until golden brown. Then add the liver and stir over high heat until it browns slightly. Cover the liver for 10 minutes to cook through. At the end, add the lemon and leave it on the heat for a minute. Then p"&amp;"lace it in a serving dish.")</f>
        <v>Heat the oil in a pan, add the garlic and stir until golden brown. Then add the liver and stir over high heat until it browns slightly. Cover the liver for 10 minutes to cook through. At the end, add the lemon and leave it on the heat for a minute. Then place it in a serving dish.</v>
      </c>
      <c r="U70" s="15" t="str">
        <f ca="1">IFERROR(__xludf.DUMMYFUNCTION("GOOGLETRANSLATE(G70, ""ar"", ""en"")"),"The quantity is enough for two people.")</f>
        <v>The quantity is enough for two people.</v>
      </c>
      <c r="V70" s="15" t="str">
        <f ca="1">IFERROR(__xludf.DUMMYFUNCTION("GOOGLETRANSLATE(H70, ""ar"", ""en"")"),"Garnish the liver with lemon slices and pickles.")</f>
        <v>Garnish the liver with lemon slices and pickles.</v>
      </c>
      <c r="W70" s="15" t="str">
        <f ca="1">IFERROR(__xludf.DUMMYFUNCTION("GOOGLETRANSLATE(I70, ""ar"", ""en"")"),"Never wash the liver, and thaw it if it is frozen.")</f>
        <v>Never wash the liver, and thaw it if it is frozen.</v>
      </c>
      <c r="X70" s="15" t="str">
        <f ca="1">IFERROR(__xludf.DUMMYFUNCTION("GOOGLETRANSLATE(J70, ""ar"", ""en"")"),"Images/Kebdeh.jpg")</f>
        <v>Images/Kebdeh.jpg</v>
      </c>
      <c r="Y70" s="15" t="str">
        <f ca="1">IFERROR(__xludf.DUMMYFUNCTION("GOOGLETRANSLATE(K70, ""ar"", ""en"")"),"#VALUE!")</f>
        <v>#VALUE!</v>
      </c>
      <c r="Z70" s="15" t="str">
        <f ca="1">IFERROR(__xludf.DUMMYFUNCTION("GOOGLETRANSLATE(L70, ""ar"", ""en"")"),"#VALUE!")</f>
        <v>#VALUE!</v>
      </c>
      <c r="AA70" s="15" t="str">
        <f ca="1">IFERROR(__xludf.DUMMYFUNCTION("GOOGLETRANSLATE(M70, ""ar"", ""en"")"),"#VALUE!")</f>
        <v>#VALUE!</v>
      </c>
      <c r="AB70" s="15" t="str">
        <f ca="1">IFERROR(__xludf.DUMMYFUNCTION("GOOGLETRANSLATE(N70, ""ar"", ""en"")"),"#VALUE!")</f>
        <v>#VALUE!</v>
      </c>
      <c r="AC70" s="16" t="str">
        <f t="shared" si="1"/>
        <v>69</v>
      </c>
      <c r="AD70" s="17" t="str">
        <f ca="1">IFERROR(__xludf.DUMMYFUNCTION("GOOGLETRANSLATE(P70, ""en"", ""sv"")"),"kött")</f>
        <v>kött</v>
      </c>
      <c r="AE70" s="17" t="str">
        <f ca="1">IFERROR(__xludf.DUMMYFUNCTION("GOOGLETRANSLATE(Q70, ""en"", ""sv"")"),"Stekt lever i olivolja")</f>
        <v>Stekt lever i olivolja</v>
      </c>
      <c r="AF70" s="17" t="str">
        <f ca="1">IFERROR(__xludf.DUMMYFUNCTION("GOOGLETRANSLATE(R70, ""en"", ""sv"")"),"en halvtimme")</f>
        <v>en halvtimme</v>
      </c>
      <c r="AG70" s="17" t="str">
        <f ca="1">IFERROR(__xludf.DUMMYFUNCTION("GOOGLETRANSLATE(S70, ""en"", ""sv"")"),"• 1/2 kg lever, skuren i medelstora tärningar
• 5 vitlöksklyftor, hackade och skivade
• 1/2 msk finhackad vitlök
• 1/2 tsk svartpeppar
• 1/2 tsk malen koriander
• Saften av 1 citron
• 1/4 dl olivolja")</f>
        <v>• 1/2 kg lever, skuren i medelstora tärningar
• 5 vitlöksklyftor, hackade och skivade
• 1/2 msk finhackad vitlök
• 1/2 tsk svartpeppar
• 1/2 tsk malen koriander
• Saften av 1 citron
• 1/4 dl olivolja</v>
      </c>
      <c r="AH70" s="17" t="str">
        <f ca="1">IFERROR(__xludf.DUMMYFUNCTION("GOOGLETRANSLATE(T70, ""en"", ""sv"")"),"Värm oljan i en stekpanna, tillsätt vitlöken och rör om tills den är gyllenbrun. Tillsätt sedan levern och rör om på hög värme tills den fått lite färg. Täck över levern i 10 minuter så att den kan tillagas genom. Till sist, tillsätt citronen och låt den "&amp;"stå på värmen i en minut. Lägg sedan den i en serveringsskål.")</f>
        <v>Värm oljan i en stekpanna, tillsätt vitlöken och rör om tills den är gyllenbrun. Tillsätt sedan levern och rör om på hög värme tills den fått lite färg. Täck över levern i 10 minuter så att den kan tillagas genom. Till sist, tillsätt citronen och låt den stå på värmen i en minut. Lägg sedan den i en serveringsskål.</v>
      </c>
      <c r="AI70" s="17" t="str">
        <f ca="1">IFERROR(__xludf.DUMMYFUNCTION("GOOGLETRANSLATE(U70, ""en"", ""sv"")"),"Mängden räcker till två personer.")</f>
        <v>Mängden räcker till två personer.</v>
      </c>
      <c r="AJ70" s="17" t="str">
        <f ca="1">IFERROR(__xludf.DUMMYFUNCTION("GOOGLETRANSLATE(V70, ""en"", ""sv"")"),"Garnera levern med citronskivor och pickles.")</f>
        <v>Garnera levern med citronskivor och pickles.</v>
      </c>
      <c r="AK70" s="17" t="str">
        <f ca="1">IFERROR(__xludf.DUMMYFUNCTION("GOOGLETRANSLATE(W70, ""en"", ""sv"")"),"Tvätta aldrig levern, och tina den om den är fryst.")</f>
        <v>Tvätta aldrig levern, och tina den om den är fryst.</v>
      </c>
      <c r="AL70" s="17" t="str">
        <f ca="1">IFERROR(__xludf.DUMMYFUNCTION("GOOGLETRANSLATE(X70, ""en"", ""sv"")"),"Bilder/Kebdeh.jpg")</f>
        <v>Bilder/Kebdeh.jpg</v>
      </c>
      <c r="AM70" s="17" t="str">
        <f ca="1">IFERROR(__xludf.DUMMYFUNCTION("GOOGLETRANSLATE(Y70, ""en"", ""sv"")"),"#VALUE!")</f>
        <v>#VALUE!</v>
      </c>
      <c r="AN70" s="17" t="str">
        <f ca="1">IFERROR(__xludf.DUMMYFUNCTION("GOOGLETRANSLATE(Z70, ""en"", ""sv"")"),"#VALUE!")</f>
        <v>#VALUE!</v>
      </c>
      <c r="AO70" s="17" t="str">
        <f ca="1">IFERROR(__xludf.DUMMYFUNCTION("GOOGLETRANSLATE(AA70, ""en"", ""sv"")"),"#VALUE!")</f>
        <v>#VALUE!</v>
      </c>
      <c r="AP70" s="17" t="str">
        <f ca="1">IFERROR(__xludf.DUMMYFUNCTION("GOOGLETRANSLATE(AB70, ""en"", ""sv"")"),"#VALUE!")</f>
        <v>#VALUE!</v>
      </c>
      <c r="AQ70" s="17"/>
    </row>
    <row r="71" spans="1:43" ht="14.25" customHeight="1" x14ac:dyDescent="0.3">
      <c r="A71" s="8" t="s">
        <v>535</v>
      </c>
      <c r="B71" s="38" t="s">
        <v>536</v>
      </c>
      <c r="C71" s="39" t="s">
        <v>537</v>
      </c>
      <c r="D71" s="39" t="s">
        <v>406</v>
      </c>
      <c r="E71" s="42" t="s">
        <v>538</v>
      </c>
      <c r="F71" s="35" t="s">
        <v>539</v>
      </c>
      <c r="G71" s="35" t="s">
        <v>540</v>
      </c>
      <c r="H71" s="35" t="s">
        <v>541</v>
      </c>
      <c r="I71" s="48"/>
      <c r="J71" s="45" t="s">
        <v>542</v>
      </c>
      <c r="K71" s="41"/>
      <c r="L71" s="41"/>
      <c r="M71" s="41"/>
      <c r="N71" s="41"/>
      <c r="O71" s="14" t="str">
        <f t="shared" si="0"/>
        <v>70</v>
      </c>
      <c r="P71" s="15" t="str">
        <f ca="1">IFERROR(__xludf.DUMMYFUNCTION("GOOGLETRANSLATE(B71, ""ar"", ""en"")"),"Yogurt-based dishes")</f>
        <v>Yogurt-based dishes</v>
      </c>
      <c r="Q71" s="15" t="str">
        <f ca="1">IFERROR(__xludf.DUMMYFUNCTION("GOOGLETRANSLATE(C71, ""ar"", ""en"")"),"Shishbarak with yogurt")</f>
        <v>Shishbarak with yogurt</v>
      </c>
      <c r="R71" s="15" t="str">
        <f ca="1">IFERROR(__xludf.DUMMYFUNCTION("GOOGLETRANSLATE(D71, ""ar"", ""en"")"),"half an hour")</f>
        <v>half an hour</v>
      </c>
      <c r="S71" s="15" t="str">
        <f ca="1">IFERROR(__xludf.DUMMYFUNCTION("GOOGLETRANSLATE(E71, ""ar"", ""en"")"),"Dough Ingredients:
• 2 cups all-purpose flour
• 1/4 teaspoon salt
• 1 teaspoon sugar
• 2 tablespoons yogurt
• 1 cup warm water
• 1 kg yogurt
• 1/2 kg stuffed shishbarak
• 1 tablespoon garlic
• 1 tablespoon ground coriander
• 2 tablespoons ghee
• 2 1/2 cup"&amp;"s beef or chicken broth (or 2 Maggi cubes if unavailable)")</f>
        <v>Dough Ingredients:
• 2 cups all-purpose flour
• 1/4 teaspoon salt
• 1 teaspoon sugar
• 2 tablespoons yogurt
• 1 cup warm water
• 1 kg yogurt
• 1/2 kg stuffed shishbarak
• 1 tablespoon garlic
• 1 tablespoon ground coriander
• 2 tablespoons ghee
• 2 1/2 cups beef or chicken broth (or 2 Maggi cubes if unavailable)</v>
      </c>
      <c r="T71" s="15" t="str">
        <f ca="1">IFERROR(__xludf.DUMMYFUNCTION("GOOGLETRANSLATE(F71, ""ar"", ""en"")"),"How to prepare the filling:
Use the same method as for fried kibbeh filling (ground meat, finely chopped onion, black pepper, seven spices, and salt).
How to prepare the shishbarak dough:
The day before cooking the shishbarak, put the yogurt, salt, sugar"&amp;", and warm water in a suitable plastic bowl and mix well. Then, start with one cup of flour and mix well, gradually adding the remaining cup. If you notice that the dough is soft and still sticky, sprinkle it with a little more flour. If it's stiff, sprin"&amp;"kle it with a little warm water.
Place it in a plastic bag and cover it with a towel at room temperature overnight.
Divide the dough into 4 portions and let them rest for 1-2 minutes to help you roll them out. Roll each portion into a large circle and c"&amp;"ut it into small pieces using either a round metal cutter (if available) or a Turkish coffee cup.
Take half a teaspoon of the filling while it's still cold and place it in the center of a small circle. Seal it well with your fingers, then join the ends t"&amp;"ogether to form shishbarak pieces. Arrange them on a baking sheet. Place them in the freezer for an hour so they're easier to add to the yogurt.
Place the yogurt in a clean, dry pot and stir slowly in one direction over high heat, stirring constantly unt"&amp;"il it boils. Add water and meat broth or bouillon cubes to the yogurt and bring it back to a boil. Then add the shishbarak. Immediately afterward, fry the garlic in oil until golden, then add the dried coriander and sauté until lightly browned. Add this m"&amp;"ixture to the yogurt.
Let it simmer over low heat for 10 minutes.")</f>
        <v>How to prepare the filling:
Use the same method as for fried kibbeh filling (ground meat, finely chopped onion, black pepper, seven spices, and salt).
How to prepare the shishbarak dough:
The day before cooking the shishbarak, put the yogurt, salt, sugar, and warm water in a suitable plastic bowl and mix well. Then, start with one cup of flour and mix well, gradually adding the remaining cup. If you notice that the dough is soft and still sticky, sprinkle it with a little more flour. If it's stiff, sprinkle it with a little warm water.
Place it in a plastic bag and cover it with a towel at room temperature overnight.
Divide the dough into 4 portions and let them rest for 1-2 minutes to help you roll them out. Roll each portion into a large circle and cut it into small pieces using either a round metal cutter (if available) or a Turkish coffee cup.
Take half a teaspoon of the filling while it's still cold and place it in the center of a small circle. Seal it well with your fingers, then join the ends together to form shishbarak pieces. Arrange them on a baking sheet. Place them in the freezer for an hour so they're easier to add to the yogurt.
Place the yogurt in a clean, dry pot and stir slowly in one direction over high heat, stirring constantly until it boils. Add water and meat broth or bouillon cubes to the yogurt and bring it back to a boil. Then add the shishbarak. Immediately afterward, fry the garlic in oil until golden, then add the dried coriander and sauté until lightly browned. Add this mixture to the yogurt.
Let it simmer over low heat for 10 minutes.</v>
      </c>
      <c r="U71" s="15" t="str">
        <f ca="1">IFERROR(__xludf.DUMMYFUNCTION("GOOGLETRANSLATE(G71, ""ar"", ""en"")"),"The quantity is enough for 3 people.")</f>
        <v>The quantity is enough for 3 people.</v>
      </c>
      <c r="V71" s="15" t="str">
        <f ca="1">IFERROR(__xludf.DUMMYFUNCTION("GOOGLETRANSLATE(H71, ""ar"", ""en"")"),"Garnish the shishbarak with mint leaves or sprinkle with a little black pepper.")</f>
        <v>Garnish the shishbarak with mint leaves or sprinkle with a little black pepper.</v>
      </c>
      <c r="W71" s="15" t="str">
        <f ca="1">IFERROR(__xludf.DUMMYFUNCTION("GOOGLETRANSLATE(I71, ""ar"", ""en"")"),"#VALUE!")</f>
        <v>#VALUE!</v>
      </c>
      <c r="X71" s="15" t="str">
        <f ca="1">IFERROR(__xludf.DUMMYFUNCTION("GOOGLETRANSLATE(J71, ""ar"", ""en"")"),"Images/Shishbarak.jpg")</f>
        <v>Images/Shishbarak.jpg</v>
      </c>
      <c r="Y71" s="15" t="str">
        <f ca="1">IFERROR(__xludf.DUMMYFUNCTION("GOOGLETRANSLATE(K71, ""ar"", ""en"")"),"#VALUE!")</f>
        <v>#VALUE!</v>
      </c>
      <c r="Z71" s="15" t="str">
        <f ca="1">IFERROR(__xludf.DUMMYFUNCTION("GOOGLETRANSLATE(L71, ""ar"", ""en"")"),"#VALUE!")</f>
        <v>#VALUE!</v>
      </c>
      <c r="AA71" s="15" t="str">
        <f ca="1">IFERROR(__xludf.DUMMYFUNCTION("GOOGLETRANSLATE(M71, ""ar"", ""en"")"),"#VALUE!")</f>
        <v>#VALUE!</v>
      </c>
      <c r="AB71" s="15" t="str">
        <f ca="1">IFERROR(__xludf.DUMMYFUNCTION("GOOGLETRANSLATE(N71, ""ar"", ""en"")"),"#VALUE!")</f>
        <v>#VALUE!</v>
      </c>
      <c r="AC71" s="16" t="str">
        <f t="shared" si="1"/>
        <v>70</v>
      </c>
      <c r="AD71" s="17" t="str">
        <f ca="1">IFERROR(__xludf.DUMMYFUNCTION("GOOGLETRANSLATE(P71, ""en"", ""sv"")"),"Yoghurtbaserade rätter")</f>
        <v>Yoghurtbaserade rätter</v>
      </c>
      <c r="AE71" s="17" t="str">
        <f ca="1">IFERROR(__xludf.DUMMYFUNCTION("GOOGLETRANSLATE(Q71, ""en"", ""sv"")"),"Shishbarak med yoghurt")</f>
        <v>Shishbarak med yoghurt</v>
      </c>
      <c r="AF71" s="17" t="str">
        <f ca="1">IFERROR(__xludf.DUMMYFUNCTION("GOOGLETRANSLATE(R71, ""en"", ""sv"")"),"en halvtimme")</f>
        <v>en halvtimme</v>
      </c>
      <c r="AG71" s="17" t="str">
        <f ca="1">IFERROR(__xludf.DUMMYFUNCTION("GOOGLETRANSLATE(S71, ""en"", ""sv"")"),"Ingredienser till deg:
• 5 dl vetemjöl
• 0,6 dl salt
• 1 tsk socker
• 2 msk yoghurt
• 2,5 dl varmt vatten
• 1 kg yoghurt
• 1,5 kg fylld shishbarak
• 1 msk vitlök
• 1 msk malen koriander
• 2 msk ghee
• 5,5 dl nöt- eller kycklingbuljong (eller 2 Maggi-tärni"&amp;"ngar om det inte finns)")</f>
        <v>Ingredienser till deg:
• 5 dl vetemjöl
• 0,6 dl salt
• 1 tsk socker
• 2 msk yoghurt
• 2,5 dl varmt vatten
• 1 kg yoghurt
• 1,5 kg fylld shishbarak
• 1 msk vitlök
• 1 msk malen koriander
• 2 msk ghee
• 5,5 dl nöt- eller kycklingbuljong (eller 2 Maggi-tärningar om det inte finns)</v>
      </c>
      <c r="AH71" s="17" t="str">
        <f ca="1">IFERROR(__xludf.DUMMYFUNCTION("GOOGLETRANSLATE(T71, ""en"", ""sv"")"),"Så här förbereder du fyllningen:
Använd samma metod som för stekt kibbeh-fyllning (färs, finhackad lök, svartpeppar, sju kryddor och salt).
Så här förbereder du shishbarak-degen:
Dagen innan du tillagar shishbaraken, lägg yoghurt, salt, socker och varmt "&amp;"vatten i en lämplig plastskål och blanda väl. Börja sedan med en kopp mjöl och blanda väl, tillsätt gradvis den återstående koppen. Om du märker att degen är mjuk och fortfarande klibbig, strö den med lite mer mjöl. Om den är stel, strö den med lite varmt"&amp;" vatten.
Lägg den i en plastpåse och täck den med en handduk i rumstemperatur över natten.
Dela degen i fyra delar och låt dem vila i 1-2 minuter för att hjälpa dig att kavla ut dem. Kavla varje del till en stor cirkel och skär den i små bitar med antin"&amp;"gen en rund metallutstickare (om sådan finns) eller en turkisk kaffekopp.
Ta en halv tesked av fyllningen medan den fortfarande är kall och placera den i mitten av en liten cirkel. Förslut den väl med fingrarna och sammanfoga sedan ändarna till shishbara"&amp;"kbitar. Lägg dem på en bakplåt. Ställ in dem i frysen i en timme så att de är lättare att tillsätta i yoghurten.
Häll yoghurten i en ren, torr kastrull och rör långsamt i en riktning på hög värme under ständig omrörning tills det kokar. Tillsätt vatten o"&amp;"ch köttbuljong eller buljongtärningar till yoghurten och låt det koka upp igen. Tillsätt sedan shishbaraken. Stek vitlöken i olja tills den är gyllenbrun direkt därefter, tillsätt sedan den torkade koriandern och fräs tills den är lätt brynt. Tillsätt bla"&amp;"ndningen till yoghurten.
Låt det sjuda på låg värme i 10 minuter.")</f>
        <v>Så här förbereder du fyllningen:
Använd samma metod som för stekt kibbeh-fyllning (färs, finhackad lök, svartpeppar, sju kryddor och salt).
Så här förbereder du shishbarak-degen:
Dagen innan du tillagar shishbaraken, lägg yoghurt, salt, socker och varmt vatten i en lämplig plastskål och blanda väl. Börja sedan med en kopp mjöl och blanda väl, tillsätt gradvis den återstående koppen. Om du märker att degen är mjuk och fortfarande klibbig, strö den med lite mer mjöl. Om den är stel, strö den med lite varmt vatten.
Lägg den i en plastpåse och täck den med en handduk i rumstemperatur över natten.
Dela degen i fyra delar och låt dem vila i 1-2 minuter för att hjälpa dig att kavla ut dem. Kavla varje del till en stor cirkel och skär den i små bitar med antingen en rund metallutstickare (om sådan finns) eller en turkisk kaffekopp.
Ta en halv tesked av fyllningen medan den fortfarande är kall och placera den i mitten av en liten cirkel. Förslut den väl med fingrarna och sammanfoga sedan ändarna till shishbarakbitar. Lägg dem på en bakplåt. Ställ in dem i frysen i en timme så att de är lättare att tillsätta i yoghurten.
Häll yoghurten i en ren, torr kastrull och rör långsamt i en riktning på hög värme under ständig omrörning tills det kokar. Tillsätt vatten och köttbuljong eller buljongtärningar till yoghurten och låt det koka upp igen. Tillsätt sedan shishbaraken. Stek vitlöken i olja tills den är gyllenbrun direkt därefter, tillsätt sedan den torkade koriandern och fräs tills den är lätt brynt. Tillsätt blandningen till yoghurten.
Låt det sjuda på låg värme i 10 minuter.</v>
      </c>
      <c r="AI71" s="17" t="str">
        <f ca="1">IFERROR(__xludf.DUMMYFUNCTION("GOOGLETRANSLATE(U71, ""en"", ""sv"")"),"Mängden räcker till 3 personer.")</f>
        <v>Mängden räcker till 3 personer.</v>
      </c>
      <c r="AJ71" s="17" t="str">
        <f ca="1">IFERROR(__xludf.DUMMYFUNCTION("GOOGLETRANSLATE(V71, ""en"", ""sv"")"),"Garnera shishbaraken med myntablad eller strö över lite svartpeppar.")</f>
        <v>Garnera shishbaraken med myntablad eller strö över lite svartpeppar.</v>
      </c>
      <c r="AK71" s="17" t="str">
        <f ca="1">IFERROR(__xludf.DUMMYFUNCTION("GOOGLETRANSLATE(W71, ""en"", ""sv"")"),"#VALUE!")</f>
        <v>#VALUE!</v>
      </c>
      <c r="AL71" s="17" t="str">
        <f ca="1">IFERROR(__xludf.DUMMYFUNCTION("GOOGLETRANSLATE(X71, ""en"", ""sv"")"),"Bilder/Shishbarak.jpg")</f>
        <v>Bilder/Shishbarak.jpg</v>
      </c>
      <c r="AM71" s="17" t="str">
        <f ca="1">IFERROR(__xludf.DUMMYFUNCTION("GOOGLETRANSLATE(Y71, ""en"", ""sv"")"),"#VALUE!")</f>
        <v>#VALUE!</v>
      </c>
      <c r="AN71" s="17" t="str">
        <f ca="1">IFERROR(__xludf.DUMMYFUNCTION("GOOGLETRANSLATE(Z71, ""en"", ""sv"")"),"#VALUE!")</f>
        <v>#VALUE!</v>
      </c>
      <c r="AO71" s="17" t="str">
        <f ca="1">IFERROR(__xludf.DUMMYFUNCTION("GOOGLETRANSLATE(AA71, ""en"", ""sv"")"),"#VALUE!")</f>
        <v>#VALUE!</v>
      </c>
      <c r="AP71" s="17" t="str">
        <f ca="1">IFERROR(__xludf.DUMMYFUNCTION("GOOGLETRANSLATE(AB71, ""en"", ""sv"")"),"#VALUE!")</f>
        <v>#VALUE!</v>
      </c>
      <c r="AQ71" s="17"/>
    </row>
    <row r="72" spans="1:43" ht="14.25" customHeight="1" x14ac:dyDescent="0.3">
      <c r="A72" s="8" t="s">
        <v>543</v>
      </c>
      <c r="B72" s="38" t="s">
        <v>286</v>
      </c>
      <c r="C72" s="39" t="s">
        <v>544</v>
      </c>
      <c r="D72" s="39" t="s">
        <v>48</v>
      </c>
      <c r="E72" s="42" t="s">
        <v>545</v>
      </c>
      <c r="F72" s="35" t="s">
        <v>546</v>
      </c>
      <c r="G72" s="35" t="s">
        <v>194</v>
      </c>
      <c r="H72" s="35" t="s">
        <v>547</v>
      </c>
      <c r="I72" s="48"/>
      <c r="J72" s="45" t="s">
        <v>548</v>
      </c>
      <c r="K72" s="41"/>
      <c r="L72" s="41"/>
      <c r="M72" s="41"/>
      <c r="N72" s="41"/>
      <c r="O72" s="14" t="str">
        <f t="shared" si="0"/>
        <v>71</v>
      </c>
      <c r="P72" s="15" t="str">
        <f ca="1">IFERROR(__xludf.DUMMYFUNCTION("GOOGLETRANSLATE(B72, ""ar"", ""en"")"),"Grain foods")</f>
        <v>Grain foods</v>
      </c>
      <c r="Q72" s="15" t="str">
        <f ca="1">IFERROR(__xludf.DUMMYFUNCTION("GOOGLETRANSLATE(C72, ""ar"", ""en"")"),"Gulf-style Kabsa")</f>
        <v>Gulf-style Kabsa</v>
      </c>
      <c r="R72" s="15" t="str">
        <f ca="1">IFERROR(__xludf.DUMMYFUNCTION("GOOGLETRANSLATE(D72, ""ar"", ""en"")"),"two hours")</f>
        <v>two hours</v>
      </c>
      <c r="S72" s="15" t="str">
        <f ca="1">IFERROR(__xludf.DUMMYFUNCTION("GOOGLETRANSLATE(E72, ""ar"", ""en"")"),"• 1 kg basmati rice
• 2 medium tomatoes
• 1/2 green bell pepper
• 1 red bell pepper
• 2 tablespoons tomato paste
• 1/2 cup frying oil
• 1/2 kg onions or 2 large onions
• 2 tablespoons Kabsa spice mix
• 1 tablespoon turmeric
• 10 cardamom pods
• 10 cloves
"&amp;"• 4 cinnamon sticks
• 1/4 teaspoon saffron (if available)
• 4 cups beef or chicken broth
")</f>
        <v xml:space="preserve">• 1 kg basmati rice
• 2 medium tomatoes
• 1/2 green bell pepper
• 1 red bell pepper
• 2 tablespoons tomato paste
• 1/2 cup frying oil
• 1/2 kg onions or 2 large onions
• 2 tablespoons Kabsa spice mix
• 1 tablespoon turmeric
• 10 cardamom pods
• 10 cloves
• 4 cinnamon sticks
• 1/4 teaspoon saffron (if available)
• 4 cups beef or chicken broth
</v>
      </c>
      <c r="T72" s="15" t="str">
        <f ca="1">IFERROR(__xludf.DUMMYFUNCTION("GOOGLETRANSLATE(F72, ""ar"", ""en"")"),"Soak the basmati rice thoroughly beforehand.
Finely chop the onion and sauté it in oil until golden. Add the green and red bell peppers and cook until softened. Add all the spices, then the finely chopped tomatoes. Sauté for five minutes, then add a cup "&amp;"of beef or chicken broth. Let it simmer for 10 minutes over low heat until all the ingredients are well combined.
Cook the rice before mixing it with the vegetables: In a large pot of boiling water, drain the rice and add it to the boiling water along wi"&amp;"th salt and a little oil. Stir well and cover until almost cooked. Then mix it thoroughly with the vegetables so that the flavors are evenly distributed. Reduce the heat to low and cook for 10 minutes, covering the pot with a towel or kitchen towel.
Boil"&amp;"ing meat or chicken:
As I explained earlier, there are two ways to boil meat or chicken in Kabsa. Some prefer to mix the meat or chicken with vegetables and then mix them with the rice, while others prefer to brown it in the oven after brushing it with l"&amp;"emon and olive oil.
Boiling meat or chicken in Kabsa is one method.")</f>
        <v>Soak the basmati rice thoroughly beforehand.
Finely chop the onion and sauté it in oil until golden. Add the green and red bell peppers and cook until softened. Add all the spices, then the finely chopped tomatoes. Sauté for five minutes, then add a cup of beef or chicken broth. Let it simmer for 10 minutes over low heat until all the ingredients are well combined.
Cook the rice before mixing it with the vegetables: In a large pot of boiling water, drain the rice and add it to the boiling water along with salt and a little oil. Stir well and cover until almost cooked. Then mix it thoroughly with the vegetables so that the flavors are evenly distributed. Reduce the heat to low and cook for 10 minutes, covering the pot with a towel or kitchen towel.
Boiling meat or chicken:
As I explained earlier, there are two ways to boil meat or chicken in Kabsa. Some prefer to mix the meat or chicken with vegetables and then mix them with the rice, while others prefer to brown it in the oven after brushing it with lemon and olive oil.
Boiling meat or chicken in Kabsa is one method.</v>
      </c>
      <c r="U72" s="15" t="str">
        <f ca="1">IFERROR(__xludf.DUMMYFUNCTION("GOOGLETRANSLATE(G72, ""ar"", ""en"")"),"The quantity is enough for 6 people.")</f>
        <v>The quantity is enough for 6 people.</v>
      </c>
      <c r="V72" s="15" t="str">
        <f ca="1">IFERROR(__xludf.DUMMYFUNCTION("GOOGLETRANSLATE(H72, ""ar"", ""en"")"),"Garnish with slices of green and red pepper and cucumber pieces.")</f>
        <v>Garnish with slices of green and red pepper and cucumber pieces.</v>
      </c>
      <c r="W72" s="15" t="str">
        <f ca="1">IFERROR(__xludf.DUMMYFUNCTION("GOOGLETRANSLATE(I72, ""ar"", ""en"")"),"#VALUE!")</f>
        <v>#VALUE!</v>
      </c>
      <c r="X72" s="15" t="str">
        <f ca="1">IFERROR(__xludf.DUMMYFUNCTION("GOOGLETRANSLATE(J72, ""ar"", ""en"")"),"Images/Kabseh.jpg")</f>
        <v>Images/Kabseh.jpg</v>
      </c>
      <c r="Y72" s="15" t="str">
        <f ca="1">IFERROR(__xludf.DUMMYFUNCTION("GOOGLETRANSLATE(K72, ""ar"", ""en"")"),"#VALUE!")</f>
        <v>#VALUE!</v>
      </c>
      <c r="Z72" s="15" t="str">
        <f ca="1">IFERROR(__xludf.DUMMYFUNCTION("GOOGLETRANSLATE(L72, ""ar"", ""en"")"),"#VALUE!")</f>
        <v>#VALUE!</v>
      </c>
      <c r="AA72" s="15" t="str">
        <f ca="1">IFERROR(__xludf.DUMMYFUNCTION("GOOGLETRANSLATE(M72, ""ar"", ""en"")"),"#VALUE!")</f>
        <v>#VALUE!</v>
      </c>
      <c r="AB72" s="15" t="str">
        <f ca="1">IFERROR(__xludf.DUMMYFUNCTION("GOOGLETRANSLATE(N72, ""ar"", ""en"")"),"#VALUE!")</f>
        <v>#VALUE!</v>
      </c>
      <c r="AC72" s="16" t="str">
        <f t="shared" si="1"/>
        <v>71</v>
      </c>
      <c r="AD72" s="17" t="str">
        <f ca="1">IFERROR(__xludf.DUMMYFUNCTION("GOOGLETRANSLATE(P72, ""en"", ""sv"")"),"Spannmålsprodukter")</f>
        <v>Spannmålsprodukter</v>
      </c>
      <c r="AE72" s="17" t="str">
        <f ca="1">IFERROR(__xludf.DUMMYFUNCTION("GOOGLETRANSLATE(Q72, ""en"", ""sv"")"),"Kabsa i golfstil")</f>
        <v>Kabsa i golfstil</v>
      </c>
      <c r="AF72" s="17" t="str">
        <f ca="1">IFERROR(__xludf.DUMMYFUNCTION("GOOGLETRANSLATE(R72, ""en"", ""sv"")"),"två timmar")</f>
        <v>två timmar</v>
      </c>
      <c r="AG72" s="17" t="str">
        <f ca="1">IFERROR(__xludf.DUMMYFUNCTION("GOOGLETRANSLATE(S72, ""en"", ""sv"")"),"• 1 kg basmatiris
• 2 medelstora tomater
• 1/2 grön paprika
• 1 röd paprika
• 2 msk tomatpuré
• 1/2 dl stekolja
• 1/2 kg lök eller 2 stora lökar
• 2 msk Kabsa kryddblandning
• 1 msk gurkmeja
• 10 kardemummakapslar
• 10 kryddnejlikor
• 4 kanelstänger
• 1/4"&amp;" tsk saffran (om tillgängligt)
• 4 dl nöt- eller kycklingbuljong
")</f>
        <v xml:space="preserve">• 1 kg basmatiris
• 2 medelstora tomater
• 1/2 grön paprika
• 1 röd paprika
• 2 msk tomatpuré
• 1/2 dl stekolja
• 1/2 kg lök eller 2 stora lökar
• 2 msk Kabsa kryddblandning
• 1 msk gurkmeja
• 10 kardemummakapslar
• 10 kryddnejlikor
• 4 kanelstänger
• 1/4 tsk saffran (om tillgängligt)
• 4 dl nöt- eller kycklingbuljong
</v>
      </c>
      <c r="AH72" s="17" t="str">
        <f ca="1">IFERROR(__xludf.DUMMYFUNCTION("GOOGLETRANSLATE(T72, ""en"", ""sv"")"),"Blötlägg basmatiriset noggrant innan.
Finhacka löken och fräs den i olja tills den är gyllenbrun. Tillsätt de gröna och röda paprikorna och tillaga tills de mjuknat. Tillsätt alla kryddor och sedan de finhackade tomaterna. Fräs i fem minuter och tillsätt"&amp;" sedan en kopp nöt- eller kycklingbuljong. Låt det sjuda i 10 minuter på låg värme tills alla ingredienser är väl blandade.
Koka riset innan du blandar det med grönsakerna: Häll av riset i en stor kastrull med kokande vatten och tillsätt det i det kokand"&amp;"e vattnet tillsammans med salt och lite olja. Rör om väl och täck över tills det nästan är kokt. Blanda det sedan noggrant med grönsakerna så att smakerna fördelas jämnt. Sänk värmen till låg och tillaga i 10 minuter, täck över kastrullen med en handduk e"&amp;"ller kökshandduk.
Koka kött eller kyckling:
Som jag förklarade tidigare finns det två sätt att koka kött eller kyckling i Kabsa. Vissa föredrar att blanda köttet eller kycklingen med grönsaker och sedan blanda dem med riset, medan andra föredrar att bry"&amp;"na det i ugnen efter att ha penslat det med citron och olivolja.
Att koka kött eller kyckling i Kabsa är en metod.")</f>
        <v>Blötlägg basmatiriset noggrant innan.
Finhacka löken och fräs den i olja tills den är gyllenbrun. Tillsätt de gröna och röda paprikorna och tillaga tills de mjuknat. Tillsätt alla kryddor och sedan de finhackade tomaterna. Fräs i fem minuter och tillsätt sedan en kopp nöt- eller kycklingbuljong. Låt det sjuda i 10 minuter på låg värme tills alla ingredienser är väl blandade.
Koka riset innan du blandar det med grönsakerna: Häll av riset i en stor kastrull med kokande vatten och tillsätt det i det kokande vattnet tillsammans med salt och lite olja. Rör om väl och täck över tills det nästan är kokt. Blanda det sedan noggrant med grönsakerna så att smakerna fördelas jämnt. Sänk värmen till låg och tillaga i 10 minuter, täck över kastrullen med en handduk eller kökshandduk.
Koka kött eller kyckling:
Som jag förklarade tidigare finns det två sätt att koka kött eller kyckling i Kabsa. Vissa föredrar att blanda köttet eller kycklingen med grönsaker och sedan blanda dem med riset, medan andra föredrar att bryna det i ugnen efter att ha penslat det med citron och olivolja.
Att koka kött eller kyckling i Kabsa är en metod.</v>
      </c>
      <c r="AI72" s="17" t="str">
        <f ca="1">IFERROR(__xludf.DUMMYFUNCTION("GOOGLETRANSLATE(U72, ""en"", ""sv"")"),"Mängden räcker till 6 personer.")</f>
        <v>Mängden räcker till 6 personer.</v>
      </c>
      <c r="AJ72" s="17" t="str">
        <f ca="1">IFERROR(__xludf.DUMMYFUNCTION("GOOGLETRANSLATE(V72, ""en"", ""sv"")"),"Garnera med skivor av grön och röd paprika och gurka i bitar.")</f>
        <v>Garnera med skivor av grön och röd paprika och gurka i bitar.</v>
      </c>
      <c r="AK72" s="17" t="str">
        <f ca="1">IFERROR(__xludf.DUMMYFUNCTION("GOOGLETRANSLATE(W72, ""en"", ""sv"")"),"#VALUE!")</f>
        <v>#VALUE!</v>
      </c>
      <c r="AL72" s="17" t="str">
        <f ca="1">IFERROR(__xludf.DUMMYFUNCTION("GOOGLETRANSLATE(X72, ""en"", ""sv"")"),"Bilder/Kabseh.jpg")</f>
        <v>Bilder/Kabseh.jpg</v>
      </c>
      <c r="AM72" s="17" t="str">
        <f ca="1">IFERROR(__xludf.DUMMYFUNCTION("GOOGLETRANSLATE(Y72, ""en"", ""sv"")"),"#VALUE!")</f>
        <v>#VALUE!</v>
      </c>
      <c r="AN72" s="17" t="str">
        <f ca="1">IFERROR(__xludf.DUMMYFUNCTION("GOOGLETRANSLATE(Z72, ""en"", ""sv"")"),"#VALUE!")</f>
        <v>#VALUE!</v>
      </c>
      <c r="AO72" s="17" t="str">
        <f ca="1">IFERROR(__xludf.DUMMYFUNCTION("GOOGLETRANSLATE(AA72, ""en"", ""sv"")"),"#VALUE!")</f>
        <v>#VALUE!</v>
      </c>
      <c r="AP72" s="17" t="str">
        <f ca="1">IFERROR(__xludf.DUMMYFUNCTION("GOOGLETRANSLATE(AB72, ""en"", ""sv"")"),"#VALUE!")</f>
        <v>#VALUE!</v>
      </c>
      <c r="AQ72" s="17"/>
    </row>
    <row r="73" spans="1:43" ht="14.25" customHeight="1" x14ac:dyDescent="0.3">
      <c r="A73" s="8" t="s">
        <v>549</v>
      </c>
      <c r="B73" s="38" t="s">
        <v>286</v>
      </c>
      <c r="C73" s="39" t="s">
        <v>550</v>
      </c>
      <c r="D73" s="39" t="s">
        <v>48</v>
      </c>
      <c r="E73" s="42" t="s">
        <v>551</v>
      </c>
      <c r="F73" s="35" t="s">
        <v>552</v>
      </c>
      <c r="G73" s="35" t="s">
        <v>194</v>
      </c>
      <c r="H73" s="35" t="s">
        <v>553</v>
      </c>
      <c r="I73" s="48"/>
      <c r="J73" s="45" t="s">
        <v>554</v>
      </c>
      <c r="K73" s="41"/>
      <c r="L73" s="41"/>
      <c r="M73" s="41"/>
      <c r="N73" s="41"/>
      <c r="O73" s="14" t="str">
        <f t="shared" si="0"/>
        <v>72</v>
      </c>
      <c r="P73" s="15" t="str">
        <f ca="1">IFERROR(__xludf.DUMMYFUNCTION("GOOGLETRANSLATE(B73, ""ar"", ""en"")"),"Grain foods")</f>
        <v>Grain foods</v>
      </c>
      <c r="Q73" s="15" t="str">
        <f ca="1">IFERROR(__xludf.DUMMYFUNCTION("GOOGLETRANSLATE(C73, ""ar"", ""en"")"),"Ouzi bundles")</f>
        <v>Ouzi bundles</v>
      </c>
      <c r="R73" s="15" t="str">
        <f ca="1">IFERROR(__xludf.DUMMYFUNCTION("GOOGLETRANSLATE(D73, ""ar"", ""en"")"),"two hours")</f>
        <v>two hours</v>
      </c>
      <c r="S73" s="15" t="str">
        <f ca="1">IFERROR(__xludf.DUMMYFUNCTION("GOOGLETRANSLATE(E73, ""ar"", ""en"")"),"• 1 kg diced beef
1 kg basmati rice, pre-soaked
• 250 g cooked green peas
• 200 g diced carrots
• 500 g diced cooked beef
• 4 tablespoons ghee
• 1 teaspoon black pepper
• 1/2 tablespoon salt
• 4 large onions (approximately 800 g)
• 2 Maggi cubes
•"&amp;" 1 cup beef broth
• 3 cups boiling water
• Roasted almonds and cashews")</f>
        <v>• 1 kg diced beef
1 kg basmati rice, pre-soaked
• 250 g cooked green peas
• 200 g diced carrots
• 500 g diced cooked beef
• 4 tablespoons ghee
• 1 teaspoon black pepper
• 1/2 tablespoon salt
• 4 large onions (approximately 800 g)
• 2 Maggi cubes
• 1 cup beef broth
• 3 cups boiling water
• Roasted almonds and cashews</v>
      </c>
      <c r="T73" s="15" t="str">
        <f ca="1">IFERROR(__xludf.DUMMYFUNCTION("GOOGLETRANSLATE(F73, ""ar"", ""en"")"),"Boil the meat cubes with the onions and spices until fully cooked, then set aside.
Finely chop the onion and heat the ghee in a pan. Add the onion and sauté, then cover and cook until the onion is fully cooked and the liquid has almost evaporated. Add th"&amp;"e peas and carrots, stir, and cover for 5 minutes. Then add the meat broth and boiling water, and let the mixture simmer for another 5 minutes.
Add the pre-soaked and drained rice, stir well with the other ingredients, and let it cook, covered, for 5 min"&amp;"utes. When the water level has reduced by half, reduce the heat to low for 2 minutes, then reduce it to the lowest setting. Cook until the rice is tender and the liquid is absorbed, then turn off the heat.
Preparing the Bundles:
You can use large spring "&amp;"roll wrappers for the Ouzi or ready-made pastry, as they give a more attractive appearance and a golden color.
In a suitable-sized bowl, place a sheet of dough, then several cubes of meat, a few cashews and toasted almonds, and top with the rice mixed wi"&amp;"th peas and carrots. Roll the dough tightly around the filling and place it in a greased baking dish to prevent sticking.
Once you have used all the dough, place it in the oven on the top rack at the highest temperature setting and wait until it turns go"&amp;"lden brown.")</f>
        <v>Boil the meat cubes with the onions and spices until fully cooked, then set aside.
Finely chop the onion and heat the ghee in a pan. Add the onion and sauté, then cover and cook until the onion is fully cooked and the liquid has almost evaporated. Add the peas and carrots, stir, and cover for 5 minutes. Then add the meat broth and boiling water, and let the mixture simmer for another 5 minutes.
Add the pre-soaked and drained rice, stir well with the other ingredients, and let it cook, covered, for 5 minutes. When the water level has reduced by half, reduce the heat to low for 2 minutes, then reduce it to the lowest setting. Cook until the rice is tender and the liquid is absorbed, then turn off the heat.
Preparing the Bundles:
You can use large spring roll wrappers for the Ouzi or ready-made pastry, as they give a more attractive appearance and a golden color.
In a suitable-sized bowl, place a sheet of dough, then several cubes of meat, a few cashews and toasted almonds, and top with the rice mixed with peas and carrots. Roll the dough tightly around the filling and place it in a greased baking dish to prevent sticking.
Once you have used all the dough, place it in the oven on the top rack at the highest temperature setting and wait until it turns golden brown.</v>
      </c>
      <c r="U73" s="15" t="str">
        <f ca="1">IFERROR(__xludf.DUMMYFUNCTION("GOOGLETRANSLATE(G73, ""ar"", ""en"")"),"The quantity is enough for 6 people.")</f>
        <v>The quantity is enough for 6 people.</v>
      </c>
      <c r="V73" s="15" t="str">
        <f ca="1">IFERROR(__xludf.DUMMYFUNCTION("GOOGLETRANSLATE(H73, ""ar"", ""en"")"),"Garnish the Ouzi dish with lettuce leaves, tomato slices, and cucumber.")</f>
        <v>Garnish the Ouzi dish with lettuce leaves, tomato slices, and cucumber.</v>
      </c>
      <c r="W73" s="15" t="str">
        <f ca="1">IFERROR(__xludf.DUMMYFUNCTION("GOOGLETRANSLATE(I73, ""ar"", ""en"")"),"#VALUE!")</f>
        <v>#VALUE!</v>
      </c>
      <c r="X73" s="15" t="str">
        <f ca="1">IFERROR(__xludf.DUMMYFUNCTION("GOOGLETRANSLATE(J73, ""ar"", ""en"")"),"Images/Sorar_Ouzi.jpg")</f>
        <v>Images/Sorar_Ouzi.jpg</v>
      </c>
      <c r="Y73" s="15" t="str">
        <f ca="1">IFERROR(__xludf.DUMMYFUNCTION("GOOGLETRANSLATE(K73, ""ar"", ""en"")"),"#VALUE!")</f>
        <v>#VALUE!</v>
      </c>
      <c r="Z73" s="15" t="str">
        <f ca="1">IFERROR(__xludf.DUMMYFUNCTION("GOOGLETRANSLATE(L73, ""ar"", ""en"")"),"#VALUE!")</f>
        <v>#VALUE!</v>
      </c>
      <c r="AA73" s="15" t="str">
        <f ca="1">IFERROR(__xludf.DUMMYFUNCTION("GOOGLETRANSLATE(M73, ""ar"", ""en"")"),"#VALUE!")</f>
        <v>#VALUE!</v>
      </c>
      <c r="AB73" s="15" t="str">
        <f ca="1">IFERROR(__xludf.DUMMYFUNCTION("GOOGLETRANSLATE(N73, ""ar"", ""en"")"),"#VALUE!")</f>
        <v>#VALUE!</v>
      </c>
      <c r="AC73" s="16" t="str">
        <f t="shared" si="1"/>
        <v>72</v>
      </c>
      <c r="AD73" s="17" t="str">
        <f ca="1">IFERROR(__xludf.DUMMYFUNCTION("GOOGLETRANSLATE(P73, ""en"", ""sv"")"),"Spannmålsprodukter")</f>
        <v>Spannmålsprodukter</v>
      </c>
      <c r="AE73" s="17" t="str">
        <f ca="1">IFERROR(__xludf.DUMMYFUNCTION("GOOGLETRANSLATE(Q73, ""en"", ""sv"")"),"Ouzi-paket")</f>
        <v>Ouzi-paket</v>
      </c>
      <c r="AF73" s="17" t="str">
        <f ca="1">IFERROR(__xludf.DUMMYFUNCTION("GOOGLETRANSLATE(R73, ""en"", ""sv"")"),"två timmar")</f>
        <v>två timmar</v>
      </c>
      <c r="AG73" s="17" t="str">
        <f ca="1">IFERROR(__xludf.DUMMYFUNCTION("GOOGLETRANSLATE(S73, ""en"", ""sv"")"),"• 1 kg tärnat nötkött
1 kg basmatiris, förblötlagt
• 250 g kokta gröna ärtor
• 200 g tärnade morötter
• 500 g tärnat kokt nötkött
• 4 msk ghee
• 1 tsk svartpeppar
• 1/2 msk salt
• 4 stora lökar (cirka 800 g)
• 2 Maggi-tärningar
• 1 dl nötbuljong
"&amp;"• 3 dl kokande vatten
• Rostade mandlar och cashewnötter")</f>
        <v>• 1 kg tärnat nötkött
1 kg basmatiris, förblötlagt
• 250 g kokta gröna ärtor
• 200 g tärnade morötter
• 500 g tärnat kokt nötkött
• 4 msk ghee
• 1 tsk svartpeppar
• 1/2 msk salt
• 4 stora lökar (cirka 800 g)
• 2 Maggi-tärningar
• 1 dl nötbuljong
• 3 dl kokande vatten
• Rostade mandlar och cashewnötter</v>
      </c>
      <c r="AH73" s="17" t="str">
        <f ca="1">IFERROR(__xludf.DUMMYFUNCTION("GOOGLETRANSLATE(T73, ""en"", ""sv"")"),"Koka köttbitarna med lök och kryddor tills de är helt genomkokta, ställ sedan åt sidan.
Finhacka löken och värm ghee i en stekpanna. Tillsätt löken och fräs, täck sedan över och koka tills löken är helt genomkokt och vätskan nästan har avdunstat. Tillsät"&amp;"t ärtor och morötter, rör om och täck över i 5 minuter. Tillsätt sedan köttbuljongen och det kokande vattnet och låt blandningen sjuda i ytterligare 5 minuter.
Tillsätt det förblötlagda och avrunna riset, rör om väl med de andra ingredienserna och låt de"&amp;"t koka, täckt, i 5 minuter. När vattennivån har minskat till hälften, sänk värmen till låg i 2 minuter och sänk sedan till lägsta nivå. Koka tills riset är mört och vätskan har absorberats, stäng sedan av värmen.
Förberedelse av paketen:
Du kan använda s"&amp;"tora vårrullsformar till ouzi eller färdiga degdeg, eftersom de ger ett mer attraktivt utseende och en gyllene färg.
I en skål av lämplig storlek, lägg en degplåt, sedan några köttbitar, några cashewnötter och rostade mandlar, och toppa med ris blandat m"&amp;"ed ärtor och morötter. Rulla degen hårt runt fyllningen och lägg den i en smord ugnsform för att förhindra att den fastnar.
När du har använt all deg, ställ in den i ugnen på översta gallret på högsta temperaturinställning och vänta tills den är gyllenbr"&amp;"un.")</f>
        <v>Koka köttbitarna med lök och kryddor tills de är helt genomkokta, ställ sedan åt sidan.
Finhacka löken och värm ghee i en stekpanna. Tillsätt löken och fräs, täck sedan över och koka tills löken är helt genomkokt och vätskan nästan har avdunstat. Tillsätt ärtor och morötter, rör om och täck över i 5 minuter. Tillsätt sedan köttbuljongen och det kokande vattnet och låt blandningen sjuda i ytterligare 5 minuter.
Tillsätt det förblötlagda och avrunna riset, rör om väl med de andra ingredienserna och låt det koka, täckt, i 5 minuter. När vattennivån har minskat till hälften, sänk värmen till låg i 2 minuter och sänk sedan till lägsta nivå. Koka tills riset är mört och vätskan har absorberats, stäng sedan av värmen.
Förberedelse av paketen:
Du kan använda stora vårrullsformar till ouzi eller färdiga degdeg, eftersom de ger ett mer attraktivt utseende och en gyllene färg.
I en skål av lämplig storlek, lägg en degplåt, sedan några köttbitar, några cashewnötter och rostade mandlar, och toppa med ris blandat med ärtor och morötter. Rulla degen hårt runt fyllningen och lägg den i en smord ugnsform för att förhindra att den fastnar.
När du har använt all deg, ställ in den i ugnen på översta gallret på högsta temperaturinställning och vänta tills den är gyllenbrun.</v>
      </c>
      <c r="AI73" s="17" t="str">
        <f ca="1">IFERROR(__xludf.DUMMYFUNCTION("GOOGLETRANSLATE(U73, ""en"", ""sv"")"),"Mängden räcker till 6 personer.")</f>
        <v>Mängden räcker till 6 personer.</v>
      </c>
      <c r="AJ73" s="17" t="str">
        <f ca="1">IFERROR(__xludf.DUMMYFUNCTION("GOOGLETRANSLATE(V73, ""en"", ""sv"")"),"Garnera ouzi-rätten med salladsblad, tomatskivor och gurka.")</f>
        <v>Garnera ouzi-rätten med salladsblad, tomatskivor och gurka.</v>
      </c>
      <c r="AK73" s="17" t="str">
        <f ca="1">IFERROR(__xludf.DUMMYFUNCTION("GOOGLETRANSLATE(W73, ""en"", ""sv"")"),"#VALUE!")</f>
        <v>#VALUE!</v>
      </c>
      <c r="AL73" s="17" t="str">
        <f ca="1">IFERROR(__xludf.DUMMYFUNCTION("GOOGLETRANSLATE(X73, ""en"", ""sv"")"),"Bilder/Sorar_Ouzi.jpg")</f>
        <v>Bilder/Sorar_Ouzi.jpg</v>
      </c>
      <c r="AM73" s="17" t="str">
        <f ca="1">IFERROR(__xludf.DUMMYFUNCTION("GOOGLETRANSLATE(Y73, ""en"", ""sv"")"),"#VALUE!")</f>
        <v>#VALUE!</v>
      </c>
      <c r="AN73" s="17" t="str">
        <f ca="1">IFERROR(__xludf.DUMMYFUNCTION("GOOGLETRANSLATE(Z73, ""en"", ""sv"")"),"#VALUE!")</f>
        <v>#VALUE!</v>
      </c>
      <c r="AO73" s="17" t="str">
        <f ca="1">IFERROR(__xludf.DUMMYFUNCTION("GOOGLETRANSLATE(AA73, ""en"", ""sv"")"),"#VALUE!")</f>
        <v>#VALUE!</v>
      </c>
      <c r="AP73" s="17" t="str">
        <f ca="1">IFERROR(__xludf.DUMMYFUNCTION("GOOGLETRANSLATE(AB73, ""en"", ""sv"")"),"#VALUE!")</f>
        <v>#VALUE!</v>
      </c>
      <c r="AQ73" s="17"/>
    </row>
    <row r="74" spans="1:43" ht="14.25" customHeight="1" x14ac:dyDescent="0.3">
      <c r="A74" s="8" t="s">
        <v>555</v>
      </c>
      <c r="B74" s="38" t="s">
        <v>140</v>
      </c>
      <c r="C74" s="39" t="s">
        <v>556</v>
      </c>
      <c r="D74" s="46"/>
      <c r="E74" s="42" t="s">
        <v>557</v>
      </c>
      <c r="F74" s="35" t="s">
        <v>558</v>
      </c>
      <c r="G74" s="35" t="s">
        <v>290</v>
      </c>
      <c r="H74" s="35" t="s">
        <v>559</v>
      </c>
      <c r="I74" s="48"/>
      <c r="J74" s="45" t="s">
        <v>560</v>
      </c>
      <c r="K74" s="41"/>
      <c r="L74" s="41"/>
      <c r="M74" s="41"/>
      <c r="N74" s="41"/>
      <c r="O74" s="14" t="str">
        <f t="shared" si="0"/>
        <v>73</v>
      </c>
      <c r="P74" s="15" t="str">
        <f ca="1">IFERROR(__xludf.DUMMYFUNCTION("GOOGLETRANSLATE(B74, ""ar"", ""en"")"),"meat")</f>
        <v>meat</v>
      </c>
      <c r="Q74" s="15" t="str">
        <f ca="1">IFERROR(__xludf.DUMMYFUNCTION("GOOGLETRANSLATE(C74, ""ar"", ""en"")"),"Indian Chicken Masala")</f>
        <v>Indian Chicken Masala</v>
      </c>
      <c r="R74" s="15" t="str">
        <f ca="1">IFERROR(__xludf.DUMMYFUNCTION("GOOGLETRANSLATE(D74, ""ar"", ""en"")"),"#VALUE!")</f>
        <v>#VALUE!</v>
      </c>
      <c r="S74" s="15" t="str">
        <f ca="1">IFERROR(__xludf.DUMMYFUNCTION("GOOGLETRANSLATE(E74, ""ar"", ""en"")"),"• 1 kg chicken breasts or drumsticks only, not whole thighs or chicken wings
• 500 g finely chopped onions
• 500 g finely chopped tomatoes
• 1/4 can tomato paste
• 1 green bell pepper
• 1 red bell pepper
• 3 tablespoons frying oil
• 1/4 teaspoon salt
• 2 "&amp;"tablespoons curry powder
• 1 tablespoon garam masala
• 1 cup water")</f>
        <v>• 1 kg chicken breasts or drumsticks only, not whole thighs or chicken wings
• 500 g finely chopped onions
• 500 g finely chopped tomatoes
• 1/4 can tomato paste
• 1 green bell pepper
• 1 red bell pepper
• 3 tablespoons frying oil
• 1/4 teaspoon salt
• 2 tablespoons curry powder
• 1 tablespoon garam masala
• 1 cup water</v>
      </c>
      <c r="T74" s="15" t="str">
        <f ca="1">IFERROR(__xludf.DUMMYFUNCTION("GOOGLETRANSLATE(F74, ""ar"", ""en"")"),"Cut the chicken breasts into cubes or strips, as you prefer, and marinate them in vinegar and salt for one hour. Drain and set aside. Heat the oil in a pot, add the onions, and sauté until golden brown. Add the chicken and stir it in with the onions for a"&amp;"bout 10 minutes.
Add the chopped red and green bell peppers and sauté for a few minutes. Then add all the spices to the chicken, followed by the tomatoes, tomato sauce, and water.
Simmer over very low heat for about half an hour, checking occasionally.")</f>
        <v>Cut the chicken breasts into cubes or strips, as you prefer, and marinate them in vinegar and salt for one hour. Drain and set aside. Heat the oil in a pot, add the onions, and sauté until golden brown. Add the chicken and stir it in with the onions for about 10 minutes.
Add the chopped red and green bell peppers and sauté for a few minutes. Then add all the spices to the chicken, followed by the tomatoes, tomato sauce, and water.
Simmer over very low heat for about half an hour, checking occasionally.</v>
      </c>
      <c r="U74" s="15" t="str">
        <f ca="1">IFERROR(__xludf.DUMMYFUNCTION("GOOGLETRANSLATE(G74, ""ar"", ""en"")"),"The quantity is enough for 4 people.")</f>
        <v>The quantity is enough for 4 people.</v>
      </c>
      <c r="V74" s="15" t="str">
        <f ca="1">IFERROR(__xludf.DUMMYFUNCTION("GOOGLETRANSLATE(H74, ""ar"", ""en"")"),"Served with white rice")</f>
        <v>Served with white rice</v>
      </c>
      <c r="W74" s="15" t="str">
        <f ca="1">IFERROR(__xludf.DUMMYFUNCTION("GOOGLETRANSLATE(I74, ""ar"", ""en"")"),"#VALUE!")</f>
        <v>#VALUE!</v>
      </c>
      <c r="X74" s="15" t="str">
        <f ca="1">IFERROR(__xludf.DUMMYFUNCTION("GOOGLETRANSLATE(J74, ""ar"", ""en"")"),"Images/Dajaj_Masala.jpg")</f>
        <v>Images/Dajaj_Masala.jpg</v>
      </c>
      <c r="Y74" s="15" t="str">
        <f ca="1">IFERROR(__xludf.DUMMYFUNCTION("GOOGLETRANSLATE(K74, ""ar"", ""en"")"),"#VALUE!")</f>
        <v>#VALUE!</v>
      </c>
      <c r="Z74" s="15" t="str">
        <f ca="1">IFERROR(__xludf.DUMMYFUNCTION("GOOGLETRANSLATE(L74, ""ar"", ""en"")"),"#VALUE!")</f>
        <v>#VALUE!</v>
      </c>
      <c r="AA74" s="15" t="str">
        <f ca="1">IFERROR(__xludf.DUMMYFUNCTION("GOOGLETRANSLATE(M74, ""ar"", ""en"")"),"#VALUE!")</f>
        <v>#VALUE!</v>
      </c>
      <c r="AB74" s="15" t="str">
        <f ca="1">IFERROR(__xludf.DUMMYFUNCTION("GOOGLETRANSLATE(N74, ""ar"", ""en"")"),"#VALUE!")</f>
        <v>#VALUE!</v>
      </c>
      <c r="AC74" s="16" t="str">
        <f t="shared" si="1"/>
        <v>73</v>
      </c>
      <c r="AD74" s="17" t="str">
        <f ca="1">IFERROR(__xludf.DUMMYFUNCTION("GOOGLETRANSLATE(P74, ""en"", ""sv"")"),"kött")</f>
        <v>kött</v>
      </c>
      <c r="AE74" s="17" t="str">
        <f ca="1">IFERROR(__xludf.DUMMYFUNCTION("GOOGLETRANSLATE(Q74, ""en"", ""sv"")"),"Indisk kycklingmasala")</f>
        <v>Indisk kycklingmasala</v>
      </c>
      <c r="AF74" s="17" t="str">
        <f ca="1">IFERROR(__xludf.DUMMYFUNCTION("GOOGLETRANSLATE(R74, ""en"", ""sv"")"),"#VALUE!")</f>
        <v>#VALUE!</v>
      </c>
      <c r="AG74" s="17" t="str">
        <f ca="1">IFERROR(__xludf.DUMMYFUNCTION("GOOGLETRANSLATE(S74, ""en"", ""sv"")"),"• 1 kg kycklingbröst eller kycklingklubbor, inte hela lår eller kycklingvingar
• 500 g finhackad lök
• 500 g finhackade tomater
• 1/4 burk tomatpuré
• 1 grön paprika
• 1 röd paprika
• 3 msk stekolja
• 1/4 tsk salt
• 2 msk currypulver
• 1 msk garam masala
"&amp;"• 1 kopp vatten")</f>
        <v>• 1 kg kycklingbröst eller kycklingklubbor, inte hela lår eller kycklingvingar
• 500 g finhackad lök
• 500 g finhackade tomater
• 1/4 burk tomatpuré
• 1 grön paprika
• 1 röd paprika
• 3 msk stekolja
• 1/4 tsk salt
• 2 msk currypulver
• 1 msk garam masala
• 1 kopp vatten</v>
      </c>
      <c r="AH74" s="17" t="str">
        <f ca="1">IFERROR(__xludf.DUMMYFUNCTION("GOOGLETRANSLATE(T74, ""en"", ""sv"")"),"Skär kycklingbrösten i tärningar eller strimlor, beroende på vad du föredrar, och marinera dem i vinäger och salt i en timme. Häll av vattnet och ställ åt sidan. Värm oljan i en kastrull, tillsätt löken och stek tills den är gyllenbrun. Tillsätt kycklinge"&amp;"n och rör om den med löken i cirka 10 minuter.
Tillsätt de hackade röda och gröna paprikorna och stek i några minuter. Tillsätt sedan alla kryddor till kycklingen, följt av tomaterna, tomatsåsen och vattnet.
Sjud på mycket låg värme i ungefär en halvtim"&amp;"me och kontrollera då och då.")</f>
        <v>Skär kycklingbrösten i tärningar eller strimlor, beroende på vad du föredrar, och marinera dem i vinäger och salt i en timme. Häll av vattnet och ställ åt sidan. Värm oljan i en kastrull, tillsätt löken och stek tills den är gyllenbrun. Tillsätt kycklingen och rör om den med löken i cirka 10 minuter.
Tillsätt de hackade röda och gröna paprikorna och stek i några minuter. Tillsätt sedan alla kryddor till kycklingen, följt av tomaterna, tomatsåsen och vattnet.
Sjud på mycket låg värme i ungefär en halvtimme och kontrollera då och då.</v>
      </c>
      <c r="AI74" s="17" t="str">
        <f ca="1">IFERROR(__xludf.DUMMYFUNCTION("GOOGLETRANSLATE(U74, ""en"", ""sv"")"),"Mängden räcker till 4 personer.")</f>
        <v>Mängden räcker till 4 personer.</v>
      </c>
      <c r="AJ74" s="17" t="str">
        <f ca="1">IFERROR(__xludf.DUMMYFUNCTION("GOOGLETRANSLATE(V74, ""en"", ""sv"")"),"Serveras med vitt ris")</f>
        <v>Serveras med vitt ris</v>
      </c>
      <c r="AK74" s="17" t="str">
        <f ca="1">IFERROR(__xludf.DUMMYFUNCTION("GOOGLETRANSLATE(W74, ""en"", ""sv"")"),"#VALUE!")</f>
        <v>#VALUE!</v>
      </c>
      <c r="AL74" s="17" t="str">
        <f ca="1">IFERROR(__xludf.DUMMYFUNCTION("GOOGLETRANSLATE(X74, ""en"", ""sv"")"),"Bilder/Dajaj_Masala.jpg")</f>
        <v>Bilder/Dajaj_Masala.jpg</v>
      </c>
      <c r="AM74" s="17" t="str">
        <f ca="1">IFERROR(__xludf.DUMMYFUNCTION("GOOGLETRANSLATE(Y74, ""en"", ""sv"")"),"#VALUE!")</f>
        <v>#VALUE!</v>
      </c>
      <c r="AN74" s="17" t="str">
        <f ca="1">IFERROR(__xludf.DUMMYFUNCTION("GOOGLETRANSLATE(Z74, ""en"", ""sv"")"),"#VALUE!")</f>
        <v>#VALUE!</v>
      </c>
      <c r="AO74" s="17" t="str">
        <f ca="1">IFERROR(__xludf.DUMMYFUNCTION("GOOGLETRANSLATE(AA74, ""en"", ""sv"")"),"#VALUE!")</f>
        <v>#VALUE!</v>
      </c>
      <c r="AP74" s="17" t="str">
        <f ca="1">IFERROR(__xludf.DUMMYFUNCTION("GOOGLETRANSLATE(AB74, ""en"", ""sv"")"),"#VALUE!")</f>
        <v>#VALUE!</v>
      </c>
      <c r="AQ74" s="17"/>
    </row>
    <row r="75" spans="1:43" ht="14.25" customHeight="1" x14ac:dyDescent="0.3">
      <c r="A75" s="8" t="s">
        <v>561</v>
      </c>
      <c r="B75" s="38" t="s">
        <v>308</v>
      </c>
      <c r="C75" s="39" t="s">
        <v>562</v>
      </c>
      <c r="D75" s="39" t="s">
        <v>161</v>
      </c>
      <c r="E75" s="42" t="s">
        <v>563</v>
      </c>
      <c r="F75" s="35" t="s">
        <v>564</v>
      </c>
      <c r="G75" s="35" t="s">
        <v>227</v>
      </c>
      <c r="H75" s="35" t="s">
        <v>565</v>
      </c>
      <c r="I75" s="48"/>
      <c r="J75" s="45" t="s">
        <v>566</v>
      </c>
      <c r="K75" s="41"/>
      <c r="L75" s="41"/>
      <c r="M75" s="41"/>
      <c r="N75" s="41"/>
      <c r="O75" s="14" t="str">
        <f t="shared" si="0"/>
        <v>74</v>
      </c>
      <c r="P75" s="15" t="str">
        <f ca="1">IFERROR(__xludf.DUMMYFUNCTION("GOOGLETRANSLATE(B75, ""ar"", ""en"")"),"Vegetarian foods")</f>
        <v>Vegetarian foods</v>
      </c>
      <c r="Q75" s="15" t="str">
        <f ca="1">IFERROR(__xludf.DUMMYFUNCTION("GOOGLETRANSLATE(C75, ""ar"", ""en"")"),"Aleppo Omelette (Special Omelette)")</f>
        <v>Aleppo Omelette (Special Omelette)</v>
      </c>
      <c r="R75" s="15" t="str">
        <f ca="1">IFERROR(__xludf.DUMMYFUNCTION("GOOGLETRANSLATE(D75, ""ar"", ""en"")"),"hour")</f>
        <v>hour</v>
      </c>
      <c r="S75" s="15" t="str">
        <f ca="1">IFERROR(__xludf.DUMMYFUNCTION("GOOGLETRANSLATE(E75, ""ar"", ""en"")"),"• 200 grams chopped parsley (or 2 cups)
• 1 onion, finely chopped
• 6 to 8 eggs, depending on size
• 1 tablespoon minced garlic
• 1 teaspoon ground coriander
• ½ teaspoon black pepper
• 1 teaspoon dried mint (or fresh mint, if available)
• ½ teaspoon "&amp;"cumin
• ½ teaspoon ground red pepper
• ½ teaspoon baking soda
• 2 tablespoons flour
• ½ teaspoon salt")</f>
        <v>• 200 grams chopped parsley (or 2 cups)
• 1 onion, finely chopped
• 6 to 8 eggs, depending on size
• 1 tablespoon minced garlic
• 1 teaspoon ground coriander
• ½ teaspoon black pepper
• 1 teaspoon dried mint (or fresh mint, if available)
• ½ teaspoon cumin
• ½ teaspoon ground red pepper
• ½ teaspoon baking soda
• 2 tablespoons flour
• ½ teaspoon salt</v>
      </c>
      <c r="T75" s="15" t="str">
        <f ca="1">IFERROR(__xludf.DUMMYFUNCTION("GOOGLETRANSLATE(F75, ""ar"", ""en"")"),"Wash the parsley by soaking it in vinegar for 10 minutes and chop it as finely as possible.
Peel the onion and chop it very finely. Then, place the chopped parsley, onion, and garlic in a deep bowl. Gradually sprinkle the spices over the mixture and mix."&amp;" Add the flour and mix well with the parsley, onion, and garlic. Then, add the baking soda. After that, crack the eggs over the mixture and mix well. Leave it in the refrigerator for an hour before frying.
Frying the omelet immediately after chopping it "&amp;"won't give it the desired flavor, and the spices won't mix well with the vegetables because the eggs will separate them. When you leave it in the refrigerator for at least an hour before frying, the parsley and onion release their juices and absorb the sp"&amp;"ices.
Fry the omelet in your preferred shape: small or large round patties, or in molds of any shape you choose.")</f>
        <v>Wash the parsley by soaking it in vinegar for 10 minutes and chop it as finely as possible.
Peel the onion and chop it very finely. Then, place the chopped parsley, onion, and garlic in a deep bowl. Gradually sprinkle the spices over the mixture and mix. Add the flour and mix well with the parsley, onion, and garlic. Then, add the baking soda. After that, crack the eggs over the mixture and mix well. Leave it in the refrigerator for an hour before frying.
Frying the omelet immediately after chopping it won't give it the desired flavor, and the spices won't mix well with the vegetables because the eggs will separate them. When you leave it in the refrigerator for at least an hour before frying, the parsley and onion release their juices and absorb the spices.
Fry the omelet in your preferred shape: small or large round patties, or in molds of any shape you choose.</v>
      </c>
      <c r="U75" s="15" t="str">
        <f ca="1">IFERROR(__xludf.DUMMYFUNCTION("GOOGLETRANSLATE(G75, ""ar"", ""en"")"),"The quantity is enough for 5 people.")</f>
        <v>The quantity is enough for 5 people.</v>
      </c>
      <c r="V75" s="15" t="str">
        <f ca="1">IFERROR(__xludf.DUMMYFUNCTION("GOOGLETRANSLATE(H75, ""ar"", ""en"")"),"Garnish the omelet dish with slices of tomato and green pepper (hot or sweet).")</f>
        <v>Garnish the omelet dish with slices of tomato and green pepper (hot or sweet).</v>
      </c>
      <c r="W75" s="15" t="str">
        <f ca="1">IFERROR(__xludf.DUMMYFUNCTION("GOOGLETRANSLATE(I75, ""ar"", ""en"")"),"#VALUE!")</f>
        <v>#VALUE!</v>
      </c>
      <c r="X75" s="15" t="str">
        <f ca="1">IFERROR(__xludf.DUMMYFUNCTION("GOOGLETRANSLATE(J75, ""ar"", ""en"")"),"Images/Ejjeh.jpg")</f>
        <v>Images/Ejjeh.jpg</v>
      </c>
      <c r="Y75" s="15" t="str">
        <f ca="1">IFERROR(__xludf.DUMMYFUNCTION("GOOGLETRANSLATE(K75, ""ar"", ""en"")"),"#VALUE!")</f>
        <v>#VALUE!</v>
      </c>
      <c r="Z75" s="15" t="str">
        <f ca="1">IFERROR(__xludf.DUMMYFUNCTION("GOOGLETRANSLATE(L75, ""ar"", ""en"")"),"#VALUE!")</f>
        <v>#VALUE!</v>
      </c>
      <c r="AA75" s="15" t="str">
        <f ca="1">IFERROR(__xludf.DUMMYFUNCTION("GOOGLETRANSLATE(M75, ""ar"", ""en"")"),"#VALUE!")</f>
        <v>#VALUE!</v>
      </c>
      <c r="AB75" s="15" t="str">
        <f ca="1">IFERROR(__xludf.DUMMYFUNCTION("GOOGLETRANSLATE(N75, ""ar"", ""en"")"),"#VALUE!")</f>
        <v>#VALUE!</v>
      </c>
      <c r="AC75" s="16" t="str">
        <f t="shared" si="1"/>
        <v>74</v>
      </c>
      <c r="AD75" s="17" t="str">
        <f ca="1">IFERROR(__xludf.DUMMYFUNCTION("GOOGLETRANSLATE(P75, ""en"", ""sv"")"),"Vegetarisk mat")</f>
        <v>Vegetarisk mat</v>
      </c>
      <c r="AE75" s="17" t="str">
        <f ca="1">IFERROR(__xludf.DUMMYFUNCTION("GOOGLETRANSLATE(Q75, ""en"", ""sv"")"),"Aleppo-omelett (specialomelett)")</f>
        <v>Aleppo-omelett (specialomelett)</v>
      </c>
      <c r="AF75" s="17" t="str">
        <f ca="1">IFERROR(__xludf.DUMMYFUNCTION("GOOGLETRANSLATE(R75, ""en"", ""sv"")"),"timme")</f>
        <v>timme</v>
      </c>
      <c r="AG75" s="17" t="str">
        <f ca="1">IFERROR(__xludf.DUMMYFUNCTION("GOOGLETRANSLATE(S75, ""en"", ""sv"")"),"• 200 gram hackad persilja (eller 2 koppar)
• 1 lök, finhackad
• 6 till 8 ägg, beroende på storlek
• 1 msk hackad vitlök
• 1 tsk malen koriander
• ½ tsk svartpeppar
• 1 tsk torkad mynta (eller färsk mynta, om tillgänglig)
• ½ tsk spiskummin
• ½ tsk ma"&amp;"len röd paprika
• ½ tsk bikarbonat
• 2 msk mjöl
• ½ tsk salt")</f>
        <v>• 200 gram hackad persilja (eller 2 koppar)
• 1 lök, finhackad
• 6 till 8 ägg, beroende på storlek
• 1 msk hackad vitlök
• 1 tsk malen koriander
• ½ tsk svartpeppar
• 1 tsk torkad mynta (eller färsk mynta, om tillgänglig)
• ½ tsk spiskummin
• ½ tsk malen röd paprika
• ½ tsk bikarbonat
• 2 msk mjöl
• ½ tsk salt</v>
      </c>
      <c r="AH75" s="17" t="str">
        <f ca="1">IFERROR(__xludf.DUMMYFUNCTION("GOOGLETRANSLATE(T75, ""en"", ""sv"")"),"Tvätta persiljan genom att blötlägga den i vinäger i 10 minuter och hacka den så fint som möjligt.
Skala löken och hacka den mycket fint. Lägg sedan den hackade persiljan, löken och vitlöken i en djup skål. Strö gradvis kryddorna över blandningen och bla"&amp;"nda. Tillsätt mjölet och blanda väl med persiljan, löken och vitlöken. Tillsätt sedan bikarbonat. Knäck sedan äggen över blandningen och blanda väl. Låt stå i kylskåpet i en timme innan stekning.
Att steka omeletten direkt efter hackning ger den inte öns"&amp;"kad smak, och kryddorna kommer inte att blandas bra med grönsakerna eftersom äggen kommer att separera dem. När du låter den stå i kylskåpet i minst en timme innan stekning släpper persiljan och löken ut sin saft och absorberar kryddorna.
Steka omeletten"&amp;" i önskad form: små eller stora runda biffar, eller i formar av valfri form.")</f>
        <v>Tvätta persiljan genom att blötlägga den i vinäger i 10 minuter och hacka den så fint som möjligt.
Skala löken och hacka den mycket fint. Lägg sedan den hackade persiljan, löken och vitlöken i en djup skål. Strö gradvis kryddorna över blandningen och blanda. Tillsätt mjölet och blanda väl med persiljan, löken och vitlöken. Tillsätt sedan bikarbonat. Knäck sedan äggen över blandningen och blanda väl. Låt stå i kylskåpet i en timme innan stekning.
Att steka omeletten direkt efter hackning ger den inte önskad smak, och kryddorna kommer inte att blandas bra med grönsakerna eftersom äggen kommer att separera dem. När du låter den stå i kylskåpet i minst en timme innan stekning släpper persiljan och löken ut sin saft och absorberar kryddorna.
Steka omeletten i önskad form: små eller stora runda biffar, eller i formar av valfri form.</v>
      </c>
      <c r="AI75" s="17" t="str">
        <f ca="1">IFERROR(__xludf.DUMMYFUNCTION("GOOGLETRANSLATE(U75, ""en"", ""sv"")"),"Mängden räcker till 5 personer.")</f>
        <v>Mängden räcker till 5 personer.</v>
      </c>
      <c r="AJ75" s="17" t="str">
        <f ca="1">IFERROR(__xludf.DUMMYFUNCTION("GOOGLETRANSLATE(V75, ""en"", ""sv"")"),"Garnera omeletträtten med skivor tomat och grön paprika (stark eller söt).")</f>
        <v>Garnera omeletträtten med skivor tomat och grön paprika (stark eller söt).</v>
      </c>
      <c r="AK75" s="17" t="str">
        <f ca="1">IFERROR(__xludf.DUMMYFUNCTION("GOOGLETRANSLATE(W75, ""en"", ""sv"")"),"#VALUE!")</f>
        <v>#VALUE!</v>
      </c>
      <c r="AL75" s="17" t="str">
        <f ca="1">IFERROR(__xludf.DUMMYFUNCTION("GOOGLETRANSLATE(X75, ""en"", ""sv"")"),"Bilder/Ejjeh.jpg")</f>
        <v>Bilder/Ejjeh.jpg</v>
      </c>
      <c r="AM75" s="17" t="str">
        <f ca="1">IFERROR(__xludf.DUMMYFUNCTION("GOOGLETRANSLATE(Y75, ""en"", ""sv"")"),"#VALUE!")</f>
        <v>#VALUE!</v>
      </c>
      <c r="AN75" s="17" t="str">
        <f ca="1">IFERROR(__xludf.DUMMYFUNCTION("GOOGLETRANSLATE(Z75, ""en"", ""sv"")"),"#VALUE!")</f>
        <v>#VALUE!</v>
      </c>
      <c r="AO75" s="17" t="str">
        <f ca="1">IFERROR(__xludf.DUMMYFUNCTION("GOOGLETRANSLATE(AA75, ""en"", ""sv"")"),"#VALUE!")</f>
        <v>#VALUE!</v>
      </c>
      <c r="AP75" s="17" t="str">
        <f ca="1">IFERROR(__xludf.DUMMYFUNCTION("GOOGLETRANSLATE(AB75, ""en"", ""sv"")"),"#VALUE!")</f>
        <v>#VALUE!</v>
      </c>
      <c r="AQ75" s="17"/>
    </row>
    <row r="76" spans="1:43" ht="14.25" customHeight="1" x14ac:dyDescent="0.3">
      <c r="A76" s="8" t="s">
        <v>567</v>
      </c>
      <c r="B76" s="38" t="s">
        <v>286</v>
      </c>
      <c r="C76" s="39" t="s">
        <v>568</v>
      </c>
      <c r="D76" s="46"/>
      <c r="E76" s="35" t="s">
        <v>569</v>
      </c>
      <c r="F76" s="35" t="s">
        <v>570</v>
      </c>
      <c r="G76" s="35" t="s">
        <v>227</v>
      </c>
      <c r="H76" s="35" t="s">
        <v>571</v>
      </c>
      <c r="I76" s="48"/>
      <c r="J76" s="45" t="s">
        <v>572</v>
      </c>
      <c r="K76" s="41"/>
      <c r="L76" s="41"/>
      <c r="M76" s="41"/>
      <c r="N76" s="41"/>
      <c r="O76" s="14" t="str">
        <f t="shared" si="0"/>
        <v>75</v>
      </c>
      <c r="P76" s="15" t="str">
        <f ca="1">IFERROR(__xludf.DUMMYFUNCTION("GOOGLETRANSLATE(B76, ""ar"", ""en"")"),"Grain foods")</f>
        <v>Grain foods</v>
      </c>
      <c r="Q76" s="15" t="str">
        <f ca="1">IFERROR(__xludf.DUMMYFUNCTION("GOOGLETRANSLATE(C76, ""ar"", ""en"")"),"Lentil soup")</f>
        <v>Lentil soup</v>
      </c>
      <c r="R76" s="15" t="str">
        <f ca="1">IFERROR(__xludf.DUMMYFUNCTION("GOOGLETRANSLATE(D76, ""ar"", ""en"")"),"#VALUE!")</f>
        <v>#VALUE!</v>
      </c>
      <c r="S76" s="15" t="str">
        <f ca="1">IFERROR(__xludf.DUMMYFUNCTION("GOOGLETRANSLATE(E76, ""ar"", ""en"")"),"• 500g peeled red lentils
• 250g chopped carrots
• 500g sliced ​​onions
• 1 tbsp cumin
• 1 tsp salt
• 2 chicken bouillon cubes
• 6 cups water
")</f>
        <v xml:space="preserve">• 500g peeled red lentils
• 250g chopped carrots
• 500g sliced ​​onions
• 1 tbsp cumin
• 1 tsp salt
• 2 chicken bouillon cubes
• 6 cups water
</v>
      </c>
      <c r="T76" s="15" t="str">
        <f ca="1">IFERROR(__xludf.DUMMYFUNCTION("GOOGLETRANSLATE(F76, ""ar"", ""en"")"),"Wash the lentils, add water, onions, and carrots, and cook over medium heat for half an hour, or until the lentils have softened and opened up.
Note: Do not cover the soup initially to prevent the lentils from boiling over.
Once the vegetables are cooke"&amp;"d and the lentils have softened, add the bouillon cube, salt, and cumin. Let it simmer for another 5 minutes, then blend with a blender.
Delipping a tablespoon of ghee into the soup will enhance its flavor.")</f>
        <v>Wash the lentils, add water, onions, and carrots, and cook over medium heat for half an hour, or until the lentils have softened and opened up.
Note: Do not cover the soup initially to prevent the lentils from boiling over.
Once the vegetables are cooked and the lentils have softened, add the bouillon cube, salt, and cumin. Let it simmer for another 5 minutes, then blend with a blender.
Delipping a tablespoon of ghee into the soup will enhance its flavor.</v>
      </c>
      <c r="U76" s="15" t="str">
        <f ca="1">IFERROR(__xludf.DUMMYFUNCTION("GOOGLETRANSLATE(G76, ""ar"", ""en"")"),"The quantity is enough for 5 people.")</f>
        <v>The quantity is enough for 5 people.</v>
      </c>
      <c r="V76" s="15" t="str">
        <f ca="1">IFERROR(__xludf.DUMMYFUNCTION("GOOGLETRANSLATE(H76, ""ar"", ""en"")"),"Sprinkle chopped parsley or finely chopped green onions over the soup.")</f>
        <v>Sprinkle chopped parsley or finely chopped green onions over the soup.</v>
      </c>
      <c r="W76" s="15" t="str">
        <f ca="1">IFERROR(__xludf.DUMMYFUNCTION("GOOGLETRANSLATE(I76, ""ar"", ""en"")"),"#VALUE!")</f>
        <v>#VALUE!</v>
      </c>
      <c r="X76" s="15" t="str">
        <f ca="1">IFERROR(__xludf.DUMMYFUNCTION("GOOGLETRANSLATE(J76, ""ar"", ""en"")"),"Images/Shourba_Ades.jpg")</f>
        <v>Images/Shourba_Ades.jpg</v>
      </c>
      <c r="Y76" s="15" t="str">
        <f ca="1">IFERROR(__xludf.DUMMYFUNCTION("GOOGLETRANSLATE(K76, ""ar"", ""en"")"),"#VALUE!")</f>
        <v>#VALUE!</v>
      </c>
      <c r="Z76" s="15" t="str">
        <f ca="1">IFERROR(__xludf.DUMMYFUNCTION("GOOGLETRANSLATE(L76, ""ar"", ""en"")"),"#VALUE!")</f>
        <v>#VALUE!</v>
      </c>
      <c r="AA76" s="15" t="str">
        <f ca="1">IFERROR(__xludf.DUMMYFUNCTION("GOOGLETRANSLATE(M76, ""ar"", ""en"")"),"#VALUE!")</f>
        <v>#VALUE!</v>
      </c>
      <c r="AB76" s="15" t="str">
        <f ca="1">IFERROR(__xludf.DUMMYFUNCTION("GOOGLETRANSLATE(N76, ""ar"", ""en"")"),"#VALUE!")</f>
        <v>#VALUE!</v>
      </c>
      <c r="AC76" s="50"/>
    </row>
    <row r="77" spans="1:43" ht="14.25" customHeight="1" x14ac:dyDescent="0.3">
      <c r="A77" s="51"/>
      <c r="B77" s="51"/>
      <c r="C77" s="52"/>
      <c r="D77" s="52"/>
      <c r="E77" s="53"/>
      <c r="F77" s="53"/>
      <c r="G77" s="53"/>
      <c r="H77" s="53"/>
      <c r="I77" s="53"/>
      <c r="J77" s="54"/>
      <c r="K77" s="55"/>
      <c r="L77" s="55"/>
      <c r="M77" s="55"/>
      <c r="N77" s="55"/>
      <c r="O77" s="56"/>
      <c r="P77" s="57"/>
      <c r="Q77" s="57"/>
      <c r="R77" s="57"/>
      <c r="S77" s="57"/>
      <c r="T77" s="57"/>
      <c r="U77" s="57"/>
      <c r="V77" s="57"/>
      <c r="W77" s="57"/>
      <c r="X77" s="57"/>
      <c r="Y77" s="57"/>
      <c r="Z77" s="57"/>
      <c r="AA77" s="57"/>
      <c r="AB77" s="57"/>
      <c r="AC77" s="50"/>
    </row>
    <row r="78" spans="1:43" ht="14.25" customHeight="1" x14ac:dyDescent="0.3">
      <c r="A78" s="51"/>
      <c r="B78" s="51"/>
      <c r="C78" s="52"/>
      <c r="D78" s="52"/>
      <c r="E78" s="53"/>
      <c r="F78" s="53"/>
      <c r="G78" s="53"/>
      <c r="H78" s="53"/>
      <c r="I78" s="53"/>
      <c r="J78" s="54"/>
      <c r="K78" s="55"/>
      <c r="L78" s="55"/>
      <c r="M78" s="55"/>
      <c r="N78" s="55"/>
      <c r="O78" s="50"/>
      <c r="P78" s="50"/>
      <c r="Q78" s="50"/>
      <c r="R78" s="50"/>
      <c r="S78" s="50"/>
      <c r="T78" s="50"/>
      <c r="U78" s="50"/>
      <c r="V78" s="50"/>
      <c r="W78" s="50"/>
      <c r="X78" s="50"/>
      <c r="Y78" s="50"/>
      <c r="Z78" s="50"/>
      <c r="AA78" s="50"/>
      <c r="AB78" s="50"/>
      <c r="AC78" s="50"/>
    </row>
    <row r="79" spans="1:43" ht="14.25" customHeight="1" x14ac:dyDescent="0.3">
      <c r="A79" s="51"/>
      <c r="B79" s="51"/>
      <c r="C79" s="52"/>
      <c r="D79" s="52"/>
      <c r="E79" s="53"/>
      <c r="F79" s="53"/>
      <c r="G79" s="53"/>
      <c r="H79" s="53"/>
      <c r="I79" s="53"/>
      <c r="J79" s="54"/>
      <c r="K79" s="55"/>
      <c r="L79" s="55"/>
      <c r="M79" s="55"/>
      <c r="N79" s="55"/>
      <c r="O79" s="50"/>
      <c r="P79" s="50"/>
      <c r="Q79" s="50"/>
      <c r="R79" s="50"/>
      <c r="S79" s="50"/>
      <c r="T79" s="50"/>
      <c r="U79" s="50"/>
      <c r="V79" s="50"/>
      <c r="W79" s="50"/>
      <c r="X79" s="50"/>
      <c r="Y79" s="50"/>
      <c r="Z79" s="50"/>
      <c r="AA79" s="50"/>
      <c r="AB79" s="50"/>
      <c r="AC79" s="50"/>
    </row>
    <row r="80" spans="1:43" ht="14.25" customHeight="1" x14ac:dyDescent="0.3">
      <c r="A80" s="51"/>
      <c r="B80" s="51"/>
      <c r="C80" s="52"/>
      <c r="D80" s="52"/>
      <c r="E80" s="53"/>
      <c r="F80" s="53"/>
      <c r="G80" s="53"/>
      <c r="H80" s="53"/>
      <c r="I80" s="53"/>
      <c r="J80" s="54"/>
      <c r="K80" s="55"/>
      <c r="L80" s="55"/>
      <c r="M80" s="55"/>
      <c r="N80" s="55"/>
      <c r="O80" s="50"/>
      <c r="P80" s="50"/>
      <c r="Q80" s="50"/>
      <c r="R80" s="50"/>
      <c r="S80" s="50"/>
      <c r="T80" s="50"/>
      <c r="U80" s="50"/>
      <c r="V80" s="50"/>
      <c r="W80" s="50"/>
      <c r="X80" s="50"/>
      <c r="Y80" s="50"/>
      <c r="Z80" s="50"/>
      <c r="AA80" s="50"/>
      <c r="AB80" s="50"/>
      <c r="AC80" s="50"/>
    </row>
    <row r="81" spans="1:29" ht="14.25" customHeight="1" x14ac:dyDescent="0.3">
      <c r="A81" s="51"/>
      <c r="B81" s="51"/>
      <c r="C81" s="52"/>
      <c r="D81" s="52"/>
      <c r="E81" s="53"/>
      <c r="F81" s="53"/>
      <c r="G81" s="53"/>
      <c r="H81" s="53"/>
      <c r="I81" s="53"/>
      <c r="J81" s="54"/>
      <c r="K81" s="55"/>
      <c r="L81" s="55"/>
      <c r="M81" s="55"/>
      <c r="N81" s="55"/>
      <c r="O81" s="50"/>
      <c r="P81" s="50"/>
      <c r="Q81" s="50"/>
      <c r="R81" s="50"/>
      <c r="S81" s="50"/>
      <c r="T81" s="50"/>
      <c r="U81" s="50"/>
      <c r="V81" s="50"/>
      <c r="W81" s="50"/>
      <c r="X81" s="50"/>
      <c r="Y81" s="50"/>
      <c r="Z81" s="50"/>
      <c r="AA81" s="50"/>
      <c r="AB81" s="50"/>
      <c r="AC81" s="50"/>
    </row>
    <row r="82" spans="1:29" ht="14.25" customHeight="1" x14ac:dyDescent="0.3">
      <c r="A82" s="51"/>
      <c r="B82" s="51"/>
      <c r="C82" s="52"/>
      <c r="D82" s="52"/>
      <c r="E82" s="53"/>
      <c r="F82" s="53"/>
      <c r="G82" s="53"/>
      <c r="H82" s="53"/>
      <c r="I82" s="53"/>
      <c r="J82" s="54"/>
      <c r="K82" s="55"/>
      <c r="L82" s="55"/>
      <c r="M82" s="55"/>
      <c r="N82" s="55"/>
      <c r="O82" s="50"/>
      <c r="P82" s="50"/>
      <c r="Q82" s="50"/>
      <c r="R82" s="50"/>
      <c r="S82" s="50"/>
      <c r="T82" s="50"/>
      <c r="U82" s="50"/>
      <c r="V82" s="50"/>
      <c r="W82" s="50"/>
      <c r="X82" s="50"/>
      <c r="Y82" s="50"/>
      <c r="Z82" s="50"/>
      <c r="AA82" s="50"/>
      <c r="AB82" s="50"/>
      <c r="AC82" s="50"/>
    </row>
    <row r="83" spans="1:29" ht="14.25" customHeight="1" x14ac:dyDescent="0.3">
      <c r="A83" s="51"/>
      <c r="B83" s="51"/>
      <c r="C83" s="52"/>
      <c r="D83" s="52"/>
      <c r="E83" s="53"/>
      <c r="F83" s="53"/>
      <c r="G83" s="53"/>
      <c r="H83" s="53"/>
      <c r="I83" s="53"/>
      <c r="J83" s="54"/>
      <c r="K83" s="55"/>
      <c r="L83" s="55"/>
      <c r="M83" s="55"/>
      <c r="N83" s="55"/>
      <c r="O83" s="50"/>
      <c r="P83" s="50"/>
      <c r="Q83" s="50"/>
      <c r="R83" s="50"/>
      <c r="S83" s="50"/>
      <c r="T83" s="50"/>
      <c r="U83" s="50"/>
      <c r="V83" s="50"/>
      <c r="W83" s="50"/>
      <c r="X83" s="50"/>
      <c r="Y83" s="50"/>
      <c r="Z83" s="50"/>
      <c r="AA83" s="50"/>
      <c r="AB83" s="50"/>
      <c r="AC83" s="50"/>
    </row>
    <row r="84" spans="1:29" ht="14.25" customHeight="1" x14ac:dyDescent="0.3">
      <c r="A84" s="51"/>
      <c r="B84" s="51"/>
      <c r="C84" s="52"/>
      <c r="D84" s="52"/>
      <c r="E84" s="53"/>
      <c r="F84" s="53"/>
      <c r="G84" s="53"/>
      <c r="H84" s="53"/>
      <c r="I84" s="53"/>
      <c r="J84" s="54"/>
      <c r="K84" s="55"/>
      <c r="L84" s="55"/>
      <c r="M84" s="55"/>
      <c r="N84" s="55"/>
      <c r="O84" s="50"/>
      <c r="P84" s="50"/>
      <c r="Q84" s="50"/>
      <c r="R84" s="50"/>
      <c r="S84" s="50"/>
      <c r="T84" s="50"/>
      <c r="U84" s="50"/>
      <c r="V84" s="50"/>
      <c r="W84" s="50"/>
      <c r="X84" s="50"/>
      <c r="Y84" s="50"/>
      <c r="Z84" s="50"/>
      <c r="AA84" s="50"/>
      <c r="AB84" s="50"/>
      <c r="AC84" s="50"/>
    </row>
    <row r="85" spans="1:29" ht="14.25" customHeight="1" x14ac:dyDescent="0.3">
      <c r="A85" s="51"/>
      <c r="B85" s="51"/>
      <c r="C85" s="52"/>
      <c r="D85" s="52"/>
      <c r="E85" s="53"/>
      <c r="F85" s="53"/>
      <c r="G85" s="53"/>
      <c r="H85" s="53"/>
      <c r="I85" s="53"/>
      <c r="J85" s="54"/>
      <c r="K85" s="55"/>
      <c r="L85" s="55"/>
      <c r="M85" s="55"/>
      <c r="N85" s="55"/>
      <c r="O85" s="50"/>
      <c r="P85" s="50"/>
      <c r="Q85" s="50"/>
      <c r="R85" s="50"/>
      <c r="S85" s="50"/>
      <c r="T85" s="50"/>
      <c r="U85" s="50"/>
      <c r="V85" s="50"/>
      <c r="W85" s="50"/>
      <c r="X85" s="50"/>
      <c r="Y85" s="50"/>
      <c r="Z85" s="50"/>
      <c r="AA85" s="50"/>
      <c r="AB85" s="50"/>
      <c r="AC85" s="50"/>
    </row>
    <row r="86" spans="1:29" ht="14.25" customHeight="1" x14ac:dyDescent="0.3">
      <c r="A86" s="51"/>
      <c r="B86" s="51"/>
      <c r="C86" s="52"/>
      <c r="D86" s="52"/>
      <c r="E86" s="53"/>
      <c r="F86" s="53"/>
      <c r="G86" s="53"/>
      <c r="H86" s="53"/>
      <c r="I86" s="53"/>
      <c r="J86" s="54"/>
      <c r="K86" s="55"/>
      <c r="L86" s="55"/>
      <c r="M86" s="55"/>
      <c r="N86" s="55"/>
      <c r="O86" s="50"/>
      <c r="P86" s="50"/>
      <c r="Q86" s="50"/>
      <c r="R86" s="50"/>
      <c r="S86" s="50"/>
      <c r="T86" s="50"/>
      <c r="U86" s="50"/>
      <c r="V86" s="50"/>
      <c r="W86" s="50"/>
      <c r="X86" s="50"/>
      <c r="Y86" s="50"/>
      <c r="Z86" s="50"/>
      <c r="AA86" s="50"/>
      <c r="AB86" s="50"/>
      <c r="AC86" s="50"/>
    </row>
    <row r="87" spans="1:29" ht="14.25" customHeight="1" x14ac:dyDescent="0.3">
      <c r="A87" s="51"/>
      <c r="B87" s="51"/>
      <c r="C87" s="52"/>
      <c r="D87" s="52"/>
      <c r="E87" s="53"/>
      <c r="F87" s="53"/>
      <c r="G87" s="53"/>
      <c r="H87" s="53"/>
      <c r="I87" s="53"/>
      <c r="J87" s="54"/>
      <c r="K87" s="55"/>
      <c r="L87" s="55"/>
      <c r="M87" s="55"/>
      <c r="N87" s="55"/>
      <c r="O87" s="50"/>
      <c r="P87" s="50"/>
      <c r="Q87" s="50"/>
      <c r="R87" s="50"/>
      <c r="S87" s="50"/>
      <c r="T87" s="50"/>
      <c r="U87" s="50"/>
      <c r="V87" s="50"/>
      <c r="W87" s="50"/>
      <c r="X87" s="50"/>
      <c r="Y87" s="50"/>
      <c r="Z87" s="50"/>
      <c r="AA87" s="50"/>
      <c r="AB87" s="50"/>
      <c r="AC87" s="50"/>
    </row>
    <row r="88" spans="1:29" ht="14.25" customHeight="1" x14ac:dyDescent="0.3">
      <c r="A88" s="51"/>
      <c r="B88" s="51"/>
      <c r="C88" s="52"/>
      <c r="D88" s="52"/>
      <c r="E88" s="53"/>
      <c r="F88" s="53"/>
      <c r="G88" s="53"/>
      <c r="H88" s="53"/>
      <c r="I88" s="53"/>
      <c r="J88" s="54"/>
      <c r="K88" s="55"/>
      <c r="L88" s="55"/>
      <c r="M88" s="55"/>
      <c r="N88" s="55"/>
      <c r="O88" s="50"/>
      <c r="P88" s="50"/>
      <c r="Q88" s="50"/>
      <c r="R88" s="50"/>
      <c r="S88" s="50"/>
      <c r="T88" s="50"/>
      <c r="U88" s="50"/>
      <c r="V88" s="50"/>
      <c r="W88" s="50"/>
      <c r="X88" s="50"/>
      <c r="Y88" s="50"/>
      <c r="Z88" s="50"/>
      <c r="AA88" s="50"/>
      <c r="AB88" s="50"/>
      <c r="AC88" s="50"/>
    </row>
    <row r="89" spans="1:29" ht="14.25" customHeight="1" x14ac:dyDescent="0.3">
      <c r="A89" s="51"/>
      <c r="B89" s="51"/>
      <c r="C89" s="52"/>
      <c r="D89" s="52"/>
      <c r="E89" s="53"/>
      <c r="F89" s="53"/>
      <c r="G89" s="53"/>
      <c r="H89" s="53"/>
      <c r="I89" s="53"/>
      <c r="J89" s="54"/>
      <c r="K89" s="55"/>
      <c r="L89" s="55"/>
      <c r="M89" s="55"/>
      <c r="N89" s="55"/>
      <c r="O89" s="50"/>
      <c r="P89" s="50"/>
      <c r="Q89" s="50"/>
      <c r="R89" s="50"/>
      <c r="S89" s="50"/>
      <c r="T89" s="50"/>
      <c r="U89" s="50"/>
      <c r="V89" s="50"/>
      <c r="W89" s="50"/>
      <c r="X89" s="50"/>
      <c r="Y89" s="50"/>
      <c r="Z89" s="50"/>
      <c r="AA89" s="50"/>
      <c r="AB89" s="50"/>
      <c r="AC89" s="50"/>
    </row>
    <row r="90" spans="1:29" ht="14.25" customHeight="1" x14ac:dyDescent="0.3">
      <c r="A90" s="51"/>
      <c r="B90" s="51"/>
      <c r="C90" s="52"/>
      <c r="D90" s="52"/>
      <c r="E90" s="53"/>
      <c r="F90" s="53"/>
      <c r="G90" s="53"/>
      <c r="H90" s="53"/>
      <c r="I90" s="53"/>
      <c r="J90" s="54"/>
      <c r="K90" s="55"/>
      <c r="L90" s="55"/>
      <c r="M90" s="55"/>
      <c r="N90" s="55"/>
      <c r="O90" s="50"/>
      <c r="P90" s="50"/>
      <c r="Q90" s="50"/>
      <c r="R90" s="50"/>
      <c r="S90" s="50"/>
      <c r="T90" s="50"/>
      <c r="U90" s="50"/>
      <c r="V90" s="50"/>
      <c r="W90" s="50"/>
      <c r="X90" s="50"/>
      <c r="Y90" s="50"/>
      <c r="Z90" s="50"/>
      <c r="AA90" s="50"/>
      <c r="AB90" s="50"/>
      <c r="AC90" s="50"/>
    </row>
    <row r="91" spans="1:29" ht="14.25" customHeight="1" x14ac:dyDescent="0.3">
      <c r="A91" s="51"/>
      <c r="B91" s="51"/>
      <c r="C91" s="52"/>
      <c r="D91" s="52"/>
      <c r="E91" s="53"/>
      <c r="F91" s="53"/>
      <c r="G91" s="53"/>
      <c r="H91" s="53"/>
      <c r="I91" s="53"/>
      <c r="J91" s="54"/>
      <c r="K91" s="55"/>
      <c r="L91" s="55"/>
      <c r="M91" s="55"/>
      <c r="N91" s="55"/>
      <c r="O91" s="50"/>
      <c r="P91" s="50"/>
      <c r="Q91" s="50"/>
      <c r="R91" s="50"/>
      <c r="S91" s="50"/>
      <c r="T91" s="50"/>
      <c r="U91" s="50"/>
      <c r="V91" s="50"/>
      <c r="W91" s="50"/>
      <c r="X91" s="50"/>
      <c r="Y91" s="50"/>
      <c r="Z91" s="50"/>
      <c r="AA91" s="50"/>
      <c r="AB91" s="50"/>
      <c r="AC91" s="50"/>
    </row>
    <row r="92" spans="1:29" ht="14.25" customHeight="1" x14ac:dyDescent="0.3">
      <c r="A92" s="51"/>
      <c r="B92" s="51"/>
      <c r="C92" s="52"/>
      <c r="D92" s="52"/>
      <c r="E92" s="53"/>
      <c r="F92" s="53"/>
      <c r="G92" s="53"/>
      <c r="H92" s="53"/>
      <c r="I92" s="53"/>
      <c r="J92" s="54"/>
      <c r="K92" s="55"/>
      <c r="L92" s="55"/>
      <c r="M92" s="55"/>
      <c r="N92" s="55"/>
      <c r="O92" s="50"/>
      <c r="P92" s="50"/>
      <c r="Q92" s="50"/>
      <c r="R92" s="50"/>
      <c r="S92" s="50"/>
      <c r="T92" s="50"/>
      <c r="U92" s="50"/>
      <c r="V92" s="50"/>
      <c r="W92" s="50"/>
      <c r="X92" s="50"/>
      <c r="Y92" s="50"/>
      <c r="Z92" s="50"/>
      <c r="AA92" s="50"/>
      <c r="AB92" s="50"/>
      <c r="AC92" s="50"/>
    </row>
    <row r="93" spans="1:29" ht="14.25" customHeight="1" x14ac:dyDescent="0.3">
      <c r="A93" s="51"/>
      <c r="B93" s="51"/>
      <c r="C93" s="52"/>
      <c r="D93" s="52"/>
      <c r="E93" s="53"/>
      <c r="F93" s="53"/>
      <c r="G93" s="53"/>
      <c r="H93" s="53"/>
      <c r="I93" s="53"/>
      <c r="J93" s="54"/>
      <c r="K93" s="55"/>
      <c r="L93" s="55"/>
      <c r="M93" s="55"/>
      <c r="N93" s="55"/>
      <c r="O93" s="50"/>
      <c r="P93" s="50"/>
      <c r="Q93" s="50"/>
      <c r="R93" s="50"/>
      <c r="S93" s="50"/>
      <c r="T93" s="50"/>
      <c r="U93" s="50"/>
      <c r="V93" s="50"/>
      <c r="W93" s="50"/>
      <c r="X93" s="50"/>
      <c r="Y93" s="50"/>
      <c r="Z93" s="50"/>
      <c r="AA93" s="50"/>
      <c r="AB93" s="50"/>
      <c r="AC93" s="50"/>
    </row>
    <row r="94" spans="1:29" ht="14.25" customHeight="1" x14ac:dyDescent="0.3">
      <c r="A94" s="51"/>
      <c r="B94" s="51"/>
      <c r="C94" s="52"/>
      <c r="D94" s="52"/>
      <c r="E94" s="53"/>
      <c r="F94" s="53"/>
      <c r="G94" s="53"/>
      <c r="H94" s="53"/>
      <c r="I94" s="53"/>
      <c r="J94" s="54"/>
      <c r="K94" s="55"/>
      <c r="L94" s="55"/>
      <c r="M94" s="55"/>
      <c r="N94" s="55"/>
      <c r="O94" s="50"/>
      <c r="P94" s="50"/>
      <c r="Q94" s="50"/>
      <c r="R94" s="50"/>
      <c r="S94" s="50"/>
      <c r="T94" s="50"/>
      <c r="U94" s="50"/>
      <c r="V94" s="50"/>
      <c r="W94" s="50"/>
      <c r="X94" s="50"/>
      <c r="Y94" s="50"/>
      <c r="Z94" s="50"/>
      <c r="AA94" s="50"/>
      <c r="AB94" s="50"/>
      <c r="AC94" s="50"/>
    </row>
    <row r="95" spans="1:29" ht="14.25" customHeight="1" x14ac:dyDescent="0.3">
      <c r="A95" s="51"/>
      <c r="B95" s="51"/>
      <c r="C95" s="52"/>
      <c r="D95" s="52"/>
      <c r="E95" s="53"/>
      <c r="F95" s="53"/>
      <c r="G95" s="53"/>
      <c r="H95" s="53"/>
      <c r="I95" s="53"/>
      <c r="J95" s="54"/>
      <c r="K95" s="55"/>
      <c r="L95" s="55"/>
      <c r="M95" s="55"/>
      <c r="N95" s="55"/>
      <c r="O95" s="50"/>
      <c r="P95" s="50"/>
      <c r="Q95" s="50"/>
      <c r="R95" s="50"/>
      <c r="S95" s="50"/>
      <c r="T95" s="50"/>
      <c r="U95" s="50"/>
      <c r="V95" s="50"/>
      <c r="W95" s="50"/>
      <c r="X95" s="50"/>
      <c r="Y95" s="50"/>
      <c r="Z95" s="50"/>
      <c r="AA95" s="50"/>
      <c r="AB95" s="50"/>
      <c r="AC95" s="50"/>
    </row>
    <row r="96" spans="1:29" ht="14.25" customHeight="1" x14ac:dyDescent="0.3">
      <c r="A96" s="51"/>
      <c r="B96" s="51"/>
      <c r="C96" s="52"/>
      <c r="D96" s="52"/>
      <c r="E96" s="53"/>
      <c r="F96" s="53"/>
      <c r="G96" s="53"/>
      <c r="H96" s="53"/>
      <c r="I96" s="53"/>
      <c r="J96" s="54"/>
      <c r="K96" s="55"/>
      <c r="L96" s="55"/>
      <c r="M96" s="55"/>
      <c r="N96" s="55"/>
      <c r="O96" s="50"/>
      <c r="P96" s="50"/>
      <c r="Q96" s="50"/>
      <c r="R96" s="50"/>
      <c r="S96" s="50"/>
      <c r="T96" s="50"/>
      <c r="U96" s="50"/>
      <c r="V96" s="50"/>
      <c r="W96" s="50"/>
      <c r="X96" s="50"/>
      <c r="Y96" s="50"/>
      <c r="Z96" s="50"/>
      <c r="AA96" s="50"/>
      <c r="AB96" s="50"/>
      <c r="AC96" s="50"/>
    </row>
    <row r="97" spans="1:50" ht="14.25" customHeight="1" x14ac:dyDescent="0.3">
      <c r="A97" s="51"/>
      <c r="B97" s="51"/>
      <c r="C97" s="52"/>
      <c r="D97" s="52"/>
      <c r="E97" s="53"/>
      <c r="F97" s="53"/>
      <c r="G97" s="53"/>
      <c r="H97" s="53"/>
      <c r="I97" s="53"/>
      <c r="J97" s="54"/>
      <c r="K97" s="55"/>
      <c r="L97" s="55"/>
      <c r="M97" s="55"/>
      <c r="N97" s="55"/>
      <c r="O97" s="50"/>
      <c r="P97" s="50"/>
      <c r="Q97" s="50"/>
      <c r="R97" s="50"/>
      <c r="S97" s="50"/>
      <c r="T97" s="50"/>
      <c r="U97" s="50"/>
      <c r="V97" s="50"/>
      <c r="W97" s="50"/>
      <c r="X97" s="50"/>
      <c r="Y97" s="50"/>
      <c r="Z97" s="50"/>
      <c r="AA97" s="50"/>
      <c r="AB97" s="50"/>
      <c r="AC97" s="50"/>
    </row>
    <row r="98" spans="1:50" ht="14.25" customHeight="1" x14ac:dyDescent="0.3">
      <c r="A98" s="51"/>
      <c r="B98" s="51"/>
      <c r="C98" s="52"/>
      <c r="D98" s="52"/>
      <c r="E98" s="53"/>
      <c r="F98" s="53"/>
      <c r="G98" s="53"/>
      <c r="H98" s="53"/>
      <c r="I98" s="53"/>
      <c r="J98" s="54"/>
      <c r="K98" s="55"/>
      <c r="L98" s="55"/>
      <c r="M98" s="55"/>
      <c r="N98" s="55"/>
      <c r="O98" s="50"/>
      <c r="P98" s="50"/>
      <c r="Q98" s="50"/>
      <c r="R98" s="50"/>
      <c r="S98" s="50"/>
      <c r="T98" s="50"/>
      <c r="U98" s="50"/>
      <c r="V98" s="50"/>
      <c r="W98" s="50"/>
      <c r="X98" s="50"/>
      <c r="Y98" s="50"/>
      <c r="Z98" s="50"/>
      <c r="AA98" s="50"/>
      <c r="AB98" s="50"/>
      <c r="AC98" s="50"/>
    </row>
    <row r="99" spans="1:50" ht="14.25" customHeight="1" x14ac:dyDescent="0.3">
      <c r="A99" s="51"/>
      <c r="B99" s="51"/>
      <c r="C99" s="52"/>
      <c r="D99" s="52"/>
      <c r="E99" s="53"/>
      <c r="F99" s="53"/>
      <c r="G99" s="53"/>
      <c r="H99" s="53"/>
      <c r="I99" s="53"/>
      <c r="J99" s="54"/>
      <c r="K99" s="55"/>
      <c r="L99" s="55"/>
      <c r="M99" s="55"/>
      <c r="N99" s="55"/>
      <c r="O99" s="50"/>
      <c r="P99" s="50"/>
      <c r="Q99" s="50"/>
      <c r="R99" s="50"/>
      <c r="S99" s="50"/>
      <c r="T99" s="50"/>
      <c r="U99" s="50"/>
      <c r="V99" s="50"/>
      <c r="W99" s="50"/>
      <c r="X99" s="50"/>
      <c r="Y99" s="50"/>
      <c r="Z99" s="50"/>
      <c r="AA99" s="50"/>
      <c r="AB99" s="50"/>
      <c r="AC99" s="50"/>
    </row>
    <row r="100" spans="1:50" ht="14.25" customHeight="1" x14ac:dyDescent="0.3">
      <c r="A100" s="51"/>
      <c r="B100" s="51"/>
      <c r="C100" s="52"/>
      <c r="D100" s="52"/>
      <c r="E100" s="53"/>
      <c r="F100" s="53"/>
      <c r="G100" s="53"/>
      <c r="H100" s="53"/>
      <c r="I100" s="53"/>
      <c r="J100" s="54"/>
      <c r="K100" s="55"/>
      <c r="L100" s="55"/>
      <c r="M100" s="55"/>
      <c r="N100" s="55"/>
      <c r="O100" s="50"/>
      <c r="P100" s="50"/>
      <c r="Q100" s="50"/>
      <c r="R100" s="50"/>
      <c r="S100" s="50"/>
      <c r="T100" s="50"/>
      <c r="U100" s="50"/>
      <c r="V100" s="50"/>
      <c r="W100" s="50"/>
      <c r="X100" s="50"/>
      <c r="Y100" s="50"/>
      <c r="Z100" s="50"/>
      <c r="AA100" s="50"/>
      <c r="AB100" s="50"/>
      <c r="AC100" s="50"/>
    </row>
    <row r="101" spans="1:50" ht="14.25" customHeight="1" x14ac:dyDescent="0.3">
      <c r="A101" s="51"/>
      <c r="B101" s="51"/>
      <c r="C101" s="52"/>
      <c r="D101" s="52"/>
      <c r="E101" s="53"/>
      <c r="F101" s="53"/>
      <c r="G101" s="53"/>
      <c r="H101" s="53"/>
      <c r="I101" s="53"/>
      <c r="J101" s="54"/>
      <c r="K101" s="55"/>
      <c r="L101" s="55"/>
      <c r="M101" s="55"/>
      <c r="N101" s="55"/>
      <c r="O101" s="50"/>
      <c r="P101" s="50"/>
      <c r="Q101" s="50"/>
      <c r="R101" s="50"/>
      <c r="S101" s="50"/>
      <c r="T101" s="50"/>
      <c r="U101" s="50"/>
      <c r="V101" s="50"/>
      <c r="W101" s="50"/>
      <c r="X101" s="50"/>
      <c r="Y101" s="50"/>
      <c r="Z101" s="50"/>
      <c r="AA101" s="50"/>
      <c r="AB101" s="50"/>
      <c r="AC101" s="50"/>
    </row>
    <row r="102" spans="1:50" ht="14.25" customHeight="1" x14ac:dyDescent="0.3">
      <c r="A102" s="51"/>
      <c r="B102" s="51"/>
      <c r="C102" s="52"/>
      <c r="D102" s="52"/>
      <c r="E102" s="53"/>
      <c r="F102" s="53"/>
      <c r="G102" s="53"/>
      <c r="H102" s="53"/>
      <c r="I102" s="53"/>
      <c r="J102" s="54"/>
      <c r="K102" s="55"/>
      <c r="L102" s="55"/>
      <c r="M102" s="55"/>
      <c r="N102" s="55"/>
      <c r="O102" s="50"/>
      <c r="P102" s="50"/>
      <c r="Q102" s="50"/>
      <c r="R102" s="50"/>
      <c r="S102" s="50"/>
      <c r="T102" s="50"/>
      <c r="U102" s="50"/>
      <c r="V102" s="50"/>
      <c r="W102" s="50"/>
      <c r="X102" s="50"/>
      <c r="Y102" s="50"/>
      <c r="Z102" s="50"/>
      <c r="AA102" s="50"/>
      <c r="AB102" s="50"/>
      <c r="AC102" s="50"/>
    </row>
    <row r="103" spans="1:50" ht="14.25" customHeight="1" x14ac:dyDescent="0.3">
      <c r="A103" s="51"/>
      <c r="B103" s="51"/>
      <c r="C103" s="52"/>
      <c r="D103" s="52"/>
      <c r="E103" s="53"/>
      <c r="F103" s="53"/>
      <c r="G103" s="53"/>
      <c r="H103" s="53"/>
      <c r="I103" s="53"/>
      <c r="J103" s="54"/>
      <c r="K103" s="55"/>
      <c r="L103" s="55"/>
      <c r="M103" s="55"/>
      <c r="N103" s="55"/>
      <c r="O103" s="50"/>
      <c r="P103" s="50"/>
      <c r="Q103" s="50"/>
      <c r="R103" s="50"/>
      <c r="S103" s="50"/>
      <c r="T103" s="50"/>
      <c r="U103" s="50"/>
      <c r="V103" s="50"/>
      <c r="W103" s="50"/>
      <c r="X103" s="50"/>
      <c r="Y103" s="50"/>
      <c r="Z103" s="50"/>
      <c r="AA103" s="50"/>
      <c r="AB103" s="50"/>
      <c r="AC103" s="50"/>
    </row>
    <row r="104" spans="1:50" ht="14.25" customHeight="1" x14ac:dyDescent="0.3">
      <c r="A104" s="51"/>
      <c r="B104" s="51"/>
      <c r="C104" s="52"/>
      <c r="D104" s="52"/>
      <c r="E104" s="53"/>
      <c r="F104" s="53"/>
      <c r="G104" s="53"/>
      <c r="H104" s="53"/>
      <c r="I104" s="53"/>
      <c r="J104" s="54"/>
      <c r="K104" s="55"/>
      <c r="L104" s="55"/>
      <c r="M104" s="55"/>
      <c r="N104" s="55"/>
      <c r="O104" s="50"/>
      <c r="P104" s="50"/>
      <c r="Q104" s="50"/>
      <c r="R104" s="50"/>
      <c r="S104" s="50"/>
      <c r="T104" s="50"/>
      <c r="U104" s="50"/>
      <c r="V104" s="50"/>
      <c r="W104" s="50"/>
      <c r="X104" s="50"/>
      <c r="Y104" s="50"/>
      <c r="Z104" s="50"/>
      <c r="AA104" s="50"/>
      <c r="AB104" s="50"/>
      <c r="AC104" s="50"/>
    </row>
    <row r="105" spans="1:50" ht="14.25" customHeight="1" x14ac:dyDescent="0.3">
      <c r="A105" s="51"/>
      <c r="B105" s="51"/>
      <c r="C105" s="52"/>
      <c r="D105" s="52"/>
      <c r="E105" s="53"/>
      <c r="F105" s="53"/>
      <c r="G105" s="53"/>
      <c r="H105" s="53"/>
      <c r="I105" s="53"/>
      <c r="J105" s="54"/>
      <c r="K105" s="55"/>
      <c r="L105" s="55"/>
      <c r="M105" s="55"/>
      <c r="N105" s="55"/>
      <c r="O105" s="50"/>
      <c r="P105" s="50"/>
      <c r="Q105" s="50"/>
      <c r="R105" s="50"/>
      <c r="S105" s="50"/>
      <c r="T105" s="50"/>
      <c r="U105" s="50"/>
      <c r="V105" s="50"/>
      <c r="W105" s="50"/>
      <c r="X105" s="50"/>
      <c r="Y105" s="50"/>
      <c r="Z105" s="50"/>
      <c r="AA105" s="50"/>
      <c r="AB105" s="50"/>
      <c r="AC105" s="50"/>
    </row>
    <row r="106" spans="1:50" ht="14.25" customHeight="1" x14ac:dyDescent="0.3">
      <c r="A106" s="51"/>
      <c r="B106" s="51"/>
      <c r="C106" s="52"/>
      <c r="D106" s="52"/>
      <c r="E106" s="53"/>
      <c r="F106" s="53"/>
      <c r="G106" s="53"/>
      <c r="H106" s="53"/>
      <c r="I106" s="53"/>
      <c r="J106" s="54"/>
      <c r="K106" s="55"/>
      <c r="L106" s="55"/>
      <c r="M106" s="55"/>
      <c r="N106" s="55"/>
      <c r="O106" s="50"/>
      <c r="P106" s="50"/>
      <c r="Q106" s="50"/>
      <c r="R106" s="50"/>
      <c r="S106" s="50"/>
      <c r="T106" s="50"/>
      <c r="U106" s="50"/>
      <c r="V106" s="50"/>
      <c r="W106" s="50"/>
      <c r="X106" s="50"/>
      <c r="Y106" s="50"/>
      <c r="Z106" s="50"/>
      <c r="AA106" s="50"/>
      <c r="AB106" s="50"/>
      <c r="AC106" s="50"/>
    </row>
    <row r="107" spans="1:50" ht="14.25" customHeight="1" x14ac:dyDescent="0.3">
      <c r="A107" s="51"/>
      <c r="B107" s="51"/>
      <c r="C107" s="52"/>
      <c r="D107" s="52"/>
      <c r="E107" s="53"/>
      <c r="F107" s="53"/>
      <c r="G107" s="53"/>
      <c r="H107" s="53"/>
      <c r="I107" s="53"/>
      <c r="J107" s="54"/>
      <c r="K107" s="55"/>
      <c r="L107" s="55"/>
      <c r="M107" s="55"/>
      <c r="N107" s="55"/>
      <c r="O107" s="50"/>
      <c r="P107" s="50"/>
      <c r="Q107" s="50"/>
      <c r="R107" s="50"/>
      <c r="S107" s="50"/>
      <c r="T107" s="50"/>
      <c r="U107" s="50"/>
      <c r="V107" s="50"/>
      <c r="W107" s="50"/>
      <c r="X107" s="50"/>
      <c r="Y107" s="50"/>
      <c r="Z107" s="50"/>
      <c r="AA107" s="50"/>
      <c r="AB107" s="50"/>
      <c r="AC107" s="50"/>
    </row>
    <row r="108" spans="1:50" ht="14.25" customHeight="1" x14ac:dyDescent="0.3">
      <c r="A108" s="51"/>
      <c r="B108" s="51"/>
      <c r="C108" s="52"/>
      <c r="D108" s="52"/>
      <c r="E108" s="53"/>
      <c r="F108" s="53"/>
      <c r="G108" s="53"/>
      <c r="H108" s="53"/>
      <c r="I108" s="53"/>
      <c r="J108" s="54"/>
      <c r="K108" s="55"/>
      <c r="L108" s="55"/>
      <c r="M108" s="55"/>
      <c r="N108" s="55"/>
      <c r="O108" s="50"/>
      <c r="P108" s="50"/>
      <c r="Q108" s="50"/>
      <c r="R108" s="50"/>
      <c r="S108" s="50"/>
      <c r="T108" s="50"/>
      <c r="U108" s="50"/>
      <c r="V108" s="50"/>
      <c r="W108" s="50"/>
      <c r="X108" s="50"/>
      <c r="Y108" s="50"/>
      <c r="Z108" s="50"/>
      <c r="AA108" s="50"/>
      <c r="AB108" s="50"/>
      <c r="AC108" s="50"/>
    </row>
    <row r="109" spans="1:50" ht="14.25" customHeight="1" x14ac:dyDescent="0.3">
      <c r="A109" s="51"/>
      <c r="B109" s="51"/>
      <c r="C109" s="52"/>
      <c r="D109" s="52"/>
      <c r="E109" s="53"/>
      <c r="F109" s="53"/>
      <c r="G109" s="53"/>
      <c r="H109" s="53"/>
      <c r="I109" s="53"/>
      <c r="J109" s="54"/>
      <c r="K109" s="55"/>
      <c r="L109" s="55"/>
      <c r="M109" s="55"/>
      <c r="N109" s="55"/>
      <c r="O109" s="50"/>
      <c r="P109" s="50"/>
      <c r="Q109" s="50"/>
      <c r="R109" s="50"/>
      <c r="S109" s="50"/>
      <c r="T109" s="50"/>
      <c r="U109" s="50"/>
      <c r="V109" s="50"/>
      <c r="W109" s="50"/>
      <c r="X109" s="50"/>
      <c r="Y109" s="50"/>
      <c r="Z109" s="50"/>
      <c r="AA109" s="50"/>
      <c r="AB109" s="50"/>
      <c r="AC109" s="50"/>
    </row>
    <row r="110" spans="1:50" ht="14.25" customHeight="1" x14ac:dyDescent="0.3">
      <c r="A110" s="58"/>
      <c r="B110" s="58"/>
      <c r="C110" s="58"/>
      <c r="D110" s="58"/>
      <c r="E110" s="58"/>
      <c r="F110" s="58"/>
      <c r="G110" s="59"/>
      <c r="H110" s="60"/>
      <c r="I110" s="60"/>
      <c r="J110" s="59"/>
      <c r="K110" s="61"/>
      <c r="M110" s="62"/>
      <c r="N110" s="62"/>
      <c r="O110" s="62"/>
      <c r="P110" s="62"/>
      <c r="Q110" s="62"/>
      <c r="R110" s="62"/>
      <c r="S110" s="62"/>
      <c r="T110" s="62"/>
      <c r="U110" s="62"/>
      <c r="V110" s="62"/>
      <c r="W110" s="62"/>
      <c r="X110" s="62"/>
      <c r="Y110" s="62"/>
      <c r="Z110" s="62"/>
      <c r="AA110" s="62"/>
      <c r="AB110" s="62"/>
      <c r="AC110" s="62"/>
      <c r="AD110" s="62"/>
      <c r="AE110" s="62"/>
      <c r="AF110" s="62"/>
      <c r="AG110" s="62"/>
      <c r="AH110" s="62"/>
      <c r="AI110" s="62"/>
      <c r="AJ110" s="62"/>
      <c r="AK110" s="62"/>
      <c r="AL110" s="62"/>
      <c r="AM110" s="62"/>
      <c r="AN110" s="62"/>
      <c r="AO110" s="62"/>
      <c r="AP110" s="62"/>
      <c r="AQ110" s="62"/>
      <c r="AR110" s="62"/>
      <c r="AS110" s="62"/>
      <c r="AT110" s="62"/>
      <c r="AU110" s="62"/>
      <c r="AV110" s="62"/>
      <c r="AW110" s="62"/>
      <c r="AX110" s="62"/>
    </row>
    <row r="111" spans="1:50" ht="14.25" customHeight="1" x14ac:dyDescent="0.3">
      <c r="A111" s="58"/>
      <c r="B111" s="58"/>
      <c r="C111" s="58"/>
      <c r="D111" s="58"/>
      <c r="E111" s="58"/>
      <c r="F111" s="58"/>
      <c r="G111" s="59"/>
      <c r="H111" s="60"/>
      <c r="I111" s="60"/>
      <c r="J111" s="59"/>
      <c r="K111" s="61"/>
      <c r="M111" s="62"/>
      <c r="N111" s="62"/>
      <c r="O111" s="62"/>
      <c r="P111" s="62"/>
      <c r="Q111" s="62"/>
      <c r="R111" s="62"/>
      <c r="S111" s="62"/>
      <c r="T111" s="62"/>
      <c r="U111" s="62"/>
      <c r="V111" s="62"/>
      <c r="W111" s="62"/>
      <c r="X111" s="62"/>
      <c r="Y111" s="62"/>
      <c r="Z111" s="62"/>
      <c r="AA111" s="62"/>
      <c r="AB111" s="62"/>
      <c r="AC111" s="62"/>
      <c r="AD111" s="62"/>
      <c r="AE111" s="62"/>
      <c r="AF111" s="62"/>
      <c r="AG111" s="62"/>
      <c r="AH111" s="62"/>
      <c r="AI111" s="62"/>
      <c r="AJ111" s="62"/>
      <c r="AK111" s="62"/>
      <c r="AL111" s="62"/>
      <c r="AM111" s="62"/>
      <c r="AN111" s="62"/>
      <c r="AO111" s="62"/>
      <c r="AP111" s="62"/>
      <c r="AQ111" s="62"/>
      <c r="AR111" s="62"/>
      <c r="AS111" s="62"/>
      <c r="AT111" s="62"/>
      <c r="AU111" s="62"/>
      <c r="AV111" s="62"/>
      <c r="AW111" s="62"/>
      <c r="AX111" s="62"/>
    </row>
    <row r="112" spans="1:50" ht="14.25" customHeight="1" x14ac:dyDescent="0.3">
      <c r="A112" s="58"/>
      <c r="B112" s="58"/>
      <c r="C112" s="58"/>
      <c r="D112" s="58"/>
      <c r="E112" s="58"/>
      <c r="F112" s="58"/>
      <c r="G112" s="59"/>
      <c r="H112" s="60"/>
      <c r="I112" s="60"/>
      <c r="J112" s="59"/>
      <c r="K112" s="61"/>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2"/>
      <c r="AQ112" s="62"/>
      <c r="AR112" s="62"/>
      <c r="AS112" s="62"/>
      <c r="AT112" s="62"/>
      <c r="AU112" s="62"/>
      <c r="AV112" s="62"/>
      <c r="AW112" s="62"/>
      <c r="AX112" s="62"/>
    </row>
    <row r="113" spans="1:50" ht="14.25" customHeight="1" x14ac:dyDescent="0.3">
      <c r="A113" s="58"/>
      <c r="B113" s="58"/>
      <c r="C113" s="58"/>
      <c r="D113" s="58"/>
      <c r="E113" s="58"/>
      <c r="F113" s="58"/>
      <c r="G113" s="59"/>
      <c r="H113" s="60"/>
      <c r="I113" s="60"/>
      <c r="J113" s="59"/>
      <c r="K113" s="61"/>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2"/>
      <c r="AQ113" s="62"/>
      <c r="AR113" s="62"/>
      <c r="AS113" s="62"/>
      <c r="AT113" s="62"/>
      <c r="AU113" s="62"/>
      <c r="AV113" s="62"/>
      <c r="AW113" s="62"/>
      <c r="AX113" s="62"/>
    </row>
    <row r="114" spans="1:50" ht="14.25" customHeight="1" x14ac:dyDescent="0.3">
      <c r="A114" s="58"/>
      <c r="B114" s="58"/>
      <c r="C114" s="58"/>
      <c r="D114" s="58"/>
      <c r="E114" s="58"/>
      <c r="F114" s="58"/>
      <c r="G114" s="59"/>
      <c r="H114" s="60"/>
      <c r="I114" s="60"/>
      <c r="J114" s="59"/>
      <c r="K114" s="61"/>
      <c r="M114" s="62"/>
      <c r="N114" s="62"/>
      <c r="O114" s="62"/>
      <c r="P114" s="62"/>
      <c r="Q114" s="62"/>
      <c r="R114" s="62"/>
      <c r="S114" s="62"/>
      <c r="T114" s="62"/>
      <c r="U114" s="62"/>
      <c r="V114" s="62"/>
      <c r="W114" s="62"/>
      <c r="X114" s="62"/>
      <c r="Y114" s="62"/>
      <c r="Z114" s="62"/>
      <c r="AA114" s="62"/>
      <c r="AB114" s="62"/>
      <c r="AC114" s="62"/>
      <c r="AD114" s="62"/>
      <c r="AE114" s="62"/>
      <c r="AF114" s="62"/>
      <c r="AG114" s="62"/>
      <c r="AH114" s="62"/>
      <c r="AI114" s="62"/>
      <c r="AJ114" s="62"/>
      <c r="AK114" s="62"/>
      <c r="AL114" s="62"/>
      <c r="AM114" s="62"/>
      <c r="AN114" s="62"/>
      <c r="AO114" s="62"/>
      <c r="AP114" s="62"/>
      <c r="AQ114" s="62"/>
      <c r="AR114" s="62"/>
      <c r="AS114" s="62"/>
      <c r="AT114" s="62"/>
      <c r="AU114" s="62"/>
      <c r="AV114" s="62"/>
      <c r="AW114" s="62"/>
      <c r="AX114" s="62"/>
    </row>
    <row r="115" spans="1:50" ht="14.25" customHeight="1" x14ac:dyDescent="0.3">
      <c r="A115" s="58"/>
      <c r="B115" s="58"/>
      <c r="C115" s="58"/>
      <c r="D115" s="58"/>
      <c r="E115" s="58"/>
      <c r="F115" s="58"/>
      <c r="G115" s="59"/>
      <c r="H115" s="60"/>
      <c r="I115" s="60"/>
      <c r="J115" s="59"/>
      <c r="K115" s="61"/>
      <c r="M115" s="62"/>
      <c r="N115" s="62"/>
      <c r="O115" s="62"/>
      <c r="P115" s="62"/>
      <c r="Q115" s="62"/>
      <c r="R115" s="62"/>
      <c r="S115" s="62"/>
      <c r="T115" s="62"/>
      <c r="U115" s="62"/>
      <c r="V115" s="62"/>
      <c r="W115" s="62"/>
      <c r="X115" s="62"/>
      <c r="Y115" s="62"/>
      <c r="Z115" s="62"/>
      <c r="AA115" s="62"/>
      <c r="AB115" s="62"/>
      <c r="AC115" s="62"/>
      <c r="AD115" s="62"/>
      <c r="AE115" s="62"/>
      <c r="AF115" s="62"/>
      <c r="AG115" s="62"/>
      <c r="AH115" s="62"/>
      <c r="AI115" s="62"/>
      <c r="AJ115" s="62"/>
      <c r="AK115" s="62"/>
      <c r="AL115" s="62"/>
      <c r="AM115" s="62"/>
      <c r="AN115" s="62"/>
      <c r="AO115" s="62"/>
      <c r="AP115" s="62"/>
      <c r="AQ115" s="62"/>
      <c r="AR115" s="62"/>
      <c r="AS115" s="62"/>
      <c r="AT115" s="62"/>
      <c r="AU115" s="62"/>
      <c r="AV115" s="62"/>
      <c r="AW115" s="62"/>
      <c r="AX115" s="62"/>
    </row>
    <row r="116" spans="1:50" ht="14.25" customHeight="1" x14ac:dyDescent="0.3">
      <c r="A116" s="58"/>
      <c r="B116" s="58"/>
      <c r="C116" s="58"/>
      <c r="D116" s="58"/>
      <c r="E116" s="58"/>
      <c r="F116" s="58"/>
      <c r="G116" s="59"/>
      <c r="H116" s="60"/>
      <c r="I116" s="60"/>
      <c r="J116" s="59"/>
      <c r="K116" s="61"/>
      <c r="M116" s="62"/>
      <c r="N116" s="62"/>
      <c r="O116" s="62"/>
      <c r="P116" s="62"/>
      <c r="Q116" s="62"/>
      <c r="R116" s="62"/>
      <c r="S116" s="62"/>
      <c r="T116" s="62"/>
      <c r="U116" s="62"/>
      <c r="V116" s="62"/>
      <c r="W116" s="62"/>
      <c r="X116" s="62"/>
      <c r="Y116" s="62"/>
      <c r="Z116" s="62"/>
      <c r="AA116" s="62"/>
      <c r="AB116" s="62"/>
      <c r="AC116" s="62"/>
      <c r="AD116" s="62"/>
      <c r="AE116" s="62"/>
      <c r="AF116" s="62"/>
      <c r="AG116" s="62"/>
      <c r="AH116" s="62"/>
      <c r="AI116" s="62"/>
      <c r="AJ116" s="62"/>
      <c r="AK116" s="62"/>
      <c r="AL116" s="62"/>
      <c r="AM116" s="62"/>
      <c r="AN116" s="62"/>
      <c r="AO116" s="62"/>
      <c r="AP116" s="62"/>
      <c r="AQ116" s="62"/>
      <c r="AR116" s="62"/>
      <c r="AS116" s="62"/>
      <c r="AT116" s="62"/>
      <c r="AU116" s="62"/>
      <c r="AV116" s="62"/>
      <c r="AW116" s="62"/>
      <c r="AX116" s="62"/>
    </row>
    <row r="117" spans="1:50" ht="14.25" customHeight="1" x14ac:dyDescent="0.3">
      <c r="A117" s="58"/>
      <c r="B117" s="58"/>
      <c r="C117" s="58"/>
      <c r="D117" s="58"/>
      <c r="E117" s="58"/>
      <c r="F117" s="58"/>
      <c r="G117" s="59"/>
      <c r="H117" s="60"/>
      <c r="I117" s="60"/>
      <c r="J117" s="59"/>
      <c r="K117" s="61"/>
      <c r="M117" s="62"/>
      <c r="N117" s="62"/>
      <c r="O117" s="62"/>
      <c r="P117" s="62"/>
      <c r="Q117" s="62"/>
      <c r="R117" s="62"/>
      <c r="S117" s="62"/>
      <c r="T117" s="62"/>
      <c r="U117" s="62"/>
      <c r="V117" s="62"/>
      <c r="W117" s="62"/>
      <c r="X117" s="62"/>
      <c r="Y117" s="62"/>
      <c r="Z117" s="62"/>
      <c r="AA117" s="62"/>
      <c r="AB117" s="62"/>
      <c r="AC117" s="62"/>
      <c r="AD117" s="62"/>
      <c r="AE117" s="62"/>
      <c r="AF117" s="62"/>
      <c r="AG117" s="62"/>
      <c r="AH117" s="62"/>
      <c r="AI117" s="62"/>
      <c r="AJ117" s="62"/>
      <c r="AK117" s="62"/>
      <c r="AL117" s="62"/>
      <c r="AM117" s="62"/>
      <c r="AN117" s="62"/>
      <c r="AO117" s="62"/>
      <c r="AP117" s="62"/>
      <c r="AQ117" s="62"/>
      <c r="AR117" s="62"/>
      <c r="AS117" s="62"/>
      <c r="AT117" s="62"/>
      <c r="AU117" s="62"/>
      <c r="AV117" s="62"/>
      <c r="AW117" s="62"/>
      <c r="AX117" s="62"/>
    </row>
    <row r="118" spans="1:50" ht="14.25" customHeight="1" x14ac:dyDescent="0.3">
      <c r="A118" s="58"/>
      <c r="B118" s="58"/>
      <c r="C118" s="58"/>
      <c r="D118" s="58"/>
      <c r="E118" s="58"/>
      <c r="F118" s="58"/>
      <c r="G118" s="59"/>
      <c r="H118" s="60"/>
      <c r="I118" s="60"/>
      <c r="J118" s="59"/>
      <c r="K118" s="61"/>
      <c r="M118" s="62"/>
      <c r="N118" s="62"/>
      <c r="O118" s="62"/>
      <c r="P118" s="62"/>
      <c r="Q118" s="62"/>
      <c r="R118" s="62"/>
      <c r="S118" s="62"/>
      <c r="T118" s="62"/>
      <c r="U118" s="62"/>
      <c r="V118" s="62"/>
      <c r="W118" s="62"/>
      <c r="X118" s="62"/>
      <c r="Y118" s="62"/>
      <c r="Z118" s="62"/>
      <c r="AA118" s="62"/>
      <c r="AB118" s="62"/>
      <c r="AC118" s="62"/>
      <c r="AD118" s="62"/>
      <c r="AE118" s="62"/>
      <c r="AF118" s="62"/>
      <c r="AG118" s="62"/>
      <c r="AH118" s="62"/>
      <c r="AI118" s="62"/>
      <c r="AJ118" s="62"/>
      <c r="AK118" s="62"/>
      <c r="AL118" s="62"/>
      <c r="AM118" s="62"/>
      <c r="AN118" s="62"/>
      <c r="AO118" s="62"/>
      <c r="AP118" s="62"/>
      <c r="AQ118" s="62"/>
      <c r="AR118" s="62"/>
      <c r="AS118" s="62"/>
      <c r="AT118" s="62"/>
      <c r="AU118" s="62"/>
      <c r="AV118" s="62"/>
      <c r="AW118" s="62"/>
      <c r="AX118" s="62"/>
    </row>
    <row r="119" spans="1:50" ht="14.25" customHeight="1" x14ac:dyDescent="0.3">
      <c r="A119" s="58"/>
      <c r="B119" s="58"/>
      <c r="C119" s="58"/>
      <c r="D119" s="58"/>
      <c r="E119" s="58"/>
      <c r="F119" s="58"/>
      <c r="G119" s="59"/>
      <c r="H119" s="60"/>
      <c r="I119" s="60"/>
      <c r="J119" s="59"/>
      <c r="K119" s="61"/>
      <c r="M119" s="62"/>
      <c r="N119" s="62"/>
      <c r="O119" s="62"/>
      <c r="P119" s="62"/>
      <c r="Q119" s="62"/>
      <c r="R119" s="62"/>
      <c r="S119" s="62"/>
      <c r="T119" s="62"/>
      <c r="U119" s="62"/>
      <c r="V119" s="62"/>
      <c r="W119" s="62"/>
      <c r="X119" s="62"/>
      <c r="Y119" s="62"/>
      <c r="Z119" s="62"/>
      <c r="AA119" s="62"/>
      <c r="AB119" s="62"/>
      <c r="AC119" s="62"/>
      <c r="AD119" s="62"/>
      <c r="AE119" s="62"/>
      <c r="AF119" s="62"/>
      <c r="AG119" s="62"/>
      <c r="AH119" s="62"/>
      <c r="AI119" s="62"/>
      <c r="AJ119" s="62"/>
      <c r="AK119" s="62"/>
      <c r="AL119" s="62"/>
      <c r="AM119" s="62"/>
      <c r="AN119" s="62"/>
      <c r="AO119" s="62"/>
      <c r="AP119" s="62"/>
      <c r="AQ119" s="62"/>
      <c r="AR119" s="62"/>
      <c r="AS119" s="62"/>
      <c r="AT119" s="62"/>
      <c r="AU119" s="62"/>
      <c r="AV119" s="62"/>
      <c r="AW119" s="62"/>
      <c r="AX119" s="62"/>
    </row>
    <row r="120" spans="1:50" ht="14.25" customHeight="1" x14ac:dyDescent="0.3">
      <c r="A120" s="58"/>
      <c r="B120" s="58"/>
      <c r="C120" s="58"/>
      <c r="D120" s="58"/>
      <c r="E120" s="58"/>
      <c r="F120" s="58"/>
      <c r="G120" s="59"/>
      <c r="H120" s="60"/>
      <c r="I120" s="60"/>
      <c r="J120" s="59"/>
      <c r="K120" s="61"/>
      <c r="M120" s="62"/>
      <c r="N120" s="62"/>
      <c r="O120" s="62"/>
      <c r="P120" s="62"/>
      <c r="Q120" s="62"/>
      <c r="R120" s="62"/>
      <c r="S120" s="62"/>
      <c r="T120" s="62"/>
      <c r="U120" s="62"/>
      <c r="V120" s="62"/>
      <c r="W120" s="62"/>
      <c r="X120" s="62"/>
      <c r="Y120" s="62"/>
      <c r="Z120" s="62"/>
      <c r="AA120" s="62"/>
      <c r="AB120" s="62"/>
      <c r="AC120" s="62"/>
      <c r="AD120" s="62"/>
      <c r="AE120" s="62"/>
      <c r="AF120" s="62"/>
      <c r="AG120" s="62"/>
      <c r="AH120" s="62"/>
      <c r="AI120" s="62"/>
      <c r="AJ120" s="62"/>
      <c r="AK120" s="62"/>
      <c r="AL120" s="62"/>
      <c r="AM120" s="62"/>
      <c r="AN120" s="62"/>
      <c r="AO120" s="62"/>
      <c r="AP120" s="62"/>
      <c r="AQ120" s="62"/>
      <c r="AR120" s="62"/>
      <c r="AS120" s="62"/>
      <c r="AT120" s="62"/>
      <c r="AU120" s="62"/>
      <c r="AV120" s="62"/>
      <c r="AW120" s="62"/>
      <c r="AX120" s="62"/>
    </row>
    <row r="121" spans="1:50" ht="14.25" customHeight="1" x14ac:dyDescent="0.3">
      <c r="A121" s="58"/>
      <c r="B121" s="58"/>
      <c r="C121" s="58"/>
      <c r="D121" s="58"/>
      <c r="E121" s="58"/>
      <c r="F121" s="58"/>
      <c r="G121" s="59"/>
      <c r="H121" s="60"/>
      <c r="I121" s="60"/>
      <c r="J121" s="59"/>
      <c r="K121" s="61"/>
      <c r="M121" s="62"/>
      <c r="N121" s="62"/>
      <c r="O121" s="62"/>
      <c r="P121" s="62"/>
      <c r="Q121" s="62"/>
      <c r="R121" s="62"/>
      <c r="S121" s="62"/>
      <c r="T121" s="62"/>
      <c r="U121" s="62"/>
      <c r="V121" s="62"/>
      <c r="W121" s="62"/>
      <c r="X121" s="62"/>
      <c r="Y121" s="62"/>
      <c r="Z121" s="62"/>
      <c r="AA121" s="62"/>
      <c r="AB121" s="62"/>
      <c r="AC121" s="62"/>
      <c r="AD121" s="62"/>
      <c r="AE121" s="62"/>
      <c r="AF121" s="62"/>
      <c r="AG121" s="62"/>
      <c r="AH121" s="62"/>
      <c r="AI121" s="62"/>
      <c r="AJ121" s="62"/>
      <c r="AK121" s="62"/>
      <c r="AL121" s="62"/>
      <c r="AM121" s="62"/>
      <c r="AN121" s="62"/>
      <c r="AO121" s="62"/>
      <c r="AP121" s="62"/>
      <c r="AQ121" s="62"/>
      <c r="AR121" s="62"/>
      <c r="AS121" s="62"/>
      <c r="AT121" s="62"/>
      <c r="AU121" s="62"/>
      <c r="AV121" s="62"/>
      <c r="AW121" s="62"/>
      <c r="AX121" s="62"/>
    </row>
    <row r="122" spans="1:50" ht="14.25" customHeight="1" x14ac:dyDescent="0.3">
      <c r="A122" s="58"/>
      <c r="B122" s="58"/>
      <c r="C122" s="58"/>
      <c r="D122" s="58"/>
      <c r="E122" s="58"/>
      <c r="F122" s="58"/>
      <c r="G122" s="59"/>
      <c r="H122" s="60"/>
      <c r="I122" s="60"/>
      <c r="J122" s="59"/>
      <c r="K122" s="61"/>
      <c r="M122" s="62"/>
      <c r="N122" s="62"/>
      <c r="O122" s="62"/>
      <c r="P122" s="62"/>
      <c r="Q122" s="62"/>
      <c r="R122" s="62"/>
      <c r="S122" s="62"/>
      <c r="T122" s="62"/>
      <c r="U122" s="62"/>
      <c r="V122" s="62"/>
      <c r="W122" s="62"/>
      <c r="X122" s="62"/>
      <c r="Y122" s="62"/>
      <c r="Z122" s="62"/>
      <c r="AA122" s="62"/>
      <c r="AB122" s="62"/>
      <c r="AC122" s="62"/>
      <c r="AD122" s="62"/>
      <c r="AE122" s="62"/>
      <c r="AF122" s="62"/>
      <c r="AG122" s="62"/>
      <c r="AH122" s="62"/>
      <c r="AI122" s="62"/>
      <c r="AJ122" s="62"/>
      <c r="AK122" s="62"/>
      <c r="AL122" s="62"/>
      <c r="AM122" s="62"/>
      <c r="AN122" s="62"/>
      <c r="AO122" s="62"/>
      <c r="AP122" s="62"/>
      <c r="AQ122" s="62"/>
      <c r="AR122" s="62"/>
      <c r="AS122" s="62"/>
      <c r="AT122" s="62"/>
      <c r="AU122" s="62"/>
      <c r="AV122" s="62"/>
      <c r="AW122" s="62"/>
      <c r="AX122" s="62"/>
    </row>
    <row r="123" spans="1:50" ht="14.25" customHeight="1" x14ac:dyDescent="0.3">
      <c r="A123" s="58"/>
      <c r="B123" s="58"/>
      <c r="C123" s="58"/>
      <c r="D123" s="58"/>
      <c r="E123" s="58"/>
      <c r="F123" s="58"/>
      <c r="G123" s="59"/>
      <c r="H123" s="60"/>
      <c r="I123" s="60"/>
      <c r="J123" s="59"/>
      <c r="K123" s="61"/>
      <c r="M123" s="62"/>
      <c r="N123" s="62"/>
      <c r="O123" s="62"/>
      <c r="P123" s="62"/>
      <c r="Q123" s="62"/>
      <c r="R123" s="62"/>
      <c r="S123" s="62"/>
      <c r="T123" s="62"/>
      <c r="U123" s="62"/>
      <c r="V123" s="62"/>
      <c r="W123" s="62"/>
      <c r="X123" s="62"/>
      <c r="Y123" s="62"/>
      <c r="Z123" s="62"/>
      <c r="AA123" s="62"/>
      <c r="AB123" s="62"/>
      <c r="AC123" s="62"/>
      <c r="AD123" s="62"/>
      <c r="AE123" s="62"/>
      <c r="AF123" s="62"/>
      <c r="AG123" s="62"/>
      <c r="AH123" s="62"/>
      <c r="AI123" s="62"/>
      <c r="AJ123" s="62"/>
      <c r="AK123" s="62"/>
      <c r="AL123" s="62"/>
      <c r="AM123" s="62"/>
      <c r="AN123" s="62"/>
      <c r="AO123" s="62"/>
      <c r="AP123" s="62"/>
      <c r="AQ123" s="62"/>
      <c r="AR123" s="62"/>
      <c r="AS123" s="62"/>
      <c r="AT123" s="62"/>
      <c r="AU123" s="62"/>
      <c r="AV123" s="62"/>
      <c r="AW123" s="62"/>
      <c r="AX123" s="62"/>
    </row>
    <row r="124" spans="1:50" ht="14.25" customHeight="1" x14ac:dyDescent="0.3">
      <c r="A124" s="58"/>
      <c r="B124" s="58"/>
      <c r="C124" s="58"/>
      <c r="D124" s="58"/>
      <c r="E124" s="58"/>
      <c r="F124" s="58"/>
      <c r="G124" s="59"/>
      <c r="H124" s="60"/>
      <c r="I124" s="60"/>
      <c r="J124" s="59"/>
      <c r="K124" s="61"/>
      <c r="M124" s="62"/>
      <c r="N124" s="62"/>
      <c r="O124" s="62"/>
      <c r="P124" s="62"/>
      <c r="Q124" s="62"/>
      <c r="R124" s="62"/>
      <c r="S124" s="62"/>
      <c r="T124" s="62"/>
      <c r="U124" s="62"/>
      <c r="V124" s="62"/>
      <c r="W124" s="62"/>
      <c r="X124" s="62"/>
      <c r="Y124" s="62"/>
      <c r="Z124" s="62"/>
      <c r="AA124" s="62"/>
      <c r="AB124" s="62"/>
      <c r="AC124" s="62"/>
      <c r="AD124" s="62"/>
      <c r="AE124" s="62"/>
      <c r="AF124" s="62"/>
      <c r="AG124" s="62"/>
      <c r="AH124" s="62"/>
      <c r="AI124" s="62"/>
      <c r="AJ124" s="62"/>
      <c r="AK124" s="62"/>
      <c r="AL124" s="62"/>
      <c r="AM124" s="62"/>
      <c r="AN124" s="62"/>
      <c r="AO124" s="62"/>
      <c r="AP124" s="62"/>
      <c r="AQ124" s="62"/>
      <c r="AR124" s="62"/>
      <c r="AS124" s="62"/>
      <c r="AT124" s="62"/>
      <c r="AU124" s="62"/>
      <c r="AV124" s="62"/>
      <c r="AW124" s="62"/>
      <c r="AX124" s="62"/>
    </row>
    <row r="125" spans="1:50" ht="14.25" customHeight="1" x14ac:dyDescent="0.3">
      <c r="A125" s="58"/>
      <c r="B125" s="58"/>
      <c r="C125" s="58"/>
      <c r="D125" s="58"/>
      <c r="E125" s="58"/>
      <c r="F125" s="58"/>
      <c r="G125" s="59"/>
      <c r="H125" s="60"/>
      <c r="I125" s="60"/>
      <c r="J125" s="59"/>
      <c r="K125" s="61"/>
      <c r="M125" s="62"/>
      <c r="N125" s="62"/>
      <c r="O125" s="62"/>
      <c r="P125" s="62"/>
      <c r="Q125" s="62"/>
      <c r="R125" s="62"/>
      <c r="S125" s="62"/>
      <c r="T125" s="62"/>
      <c r="U125" s="62"/>
      <c r="V125" s="62"/>
      <c r="W125" s="62"/>
      <c r="X125" s="62"/>
      <c r="Y125" s="62"/>
      <c r="Z125" s="62"/>
      <c r="AA125" s="62"/>
      <c r="AB125" s="62"/>
      <c r="AC125" s="62"/>
      <c r="AD125" s="62"/>
      <c r="AE125" s="62"/>
      <c r="AF125" s="62"/>
      <c r="AG125" s="62"/>
      <c r="AH125" s="62"/>
      <c r="AI125" s="62"/>
      <c r="AJ125" s="62"/>
      <c r="AK125" s="62"/>
      <c r="AL125" s="62"/>
      <c r="AM125" s="62"/>
      <c r="AN125" s="62"/>
      <c r="AO125" s="62"/>
      <c r="AP125" s="62"/>
      <c r="AQ125" s="62"/>
      <c r="AR125" s="62"/>
      <c r="AS125" s="62"/>
      <c r="AT125" s="62"/>
      <c r="AU125" s="62"/>
      <c r="AV125" s="62"/>
      <c r="AW125" s="62"/>
      <c r="AX125" s="62"/>
    </row>
    <row r="126" spans="1:50" ht="14.25" customHeight="1" x14ac:dyDescent="0.3">
      <c r="A126" s="58"/>
      <c r="B126" s="58"/>
      <c r="C126" s="58"/>
      <c r="D126" s="58"/>
      <c r="E126" s="58"/>
      <c r="F126" s="58"/>
      <c r="G126" s="59"/>
      <c r="H126" s="60"/>
      <c r="I126" s="60"/>
      <c r="J126" s="59"/>
      <c r="K126" s="61"/>
      <c r="M126" s="62"/>
      <c r="N126" s="62"/>
      <c r="O126" s="62"/>
      <c r="P126" s="62"/>
      <c r="Q126" s="62"/>
      <c r="R126" s="62"/>
      <c r="S126" s="62"/>
      <c r="T126" s="62"/>
      <c r="U126" s="62"/>
      <c r="V126" s="62"/>
      <c r="W126" s="62"/>
      <c r="X126" s="62"/>
      <c r="Y126" s="62"/>
      <c r="Z126" s="62"/>
      <c r="AA126" s="62"/>
      <c r="AB126" s="62"/>
      <c r="AC126" s="62"/>
      <c r="AD126" s="62"/>
      <c r="AE126" s="62"/>
      <c r="AF126" s="62"/>
      <c r="AG126" s="62"/>
      <c r="AH126" s="62"/>
      <c r="AI126" s="62"/>
      <c r="AJ126" s="62"/>
      <c r="AK126" s="62"/>
      <c r="AL126" s="62"/>
      <c r="AM126" s="62"/>
      <c r="AN126" s="62"/>
      <c r="AO126" s="62"/>
      <c r="AP126" s="62"/>
      <c r="AQ126" s="62"/>
      <c r="AR126" s="62"/>
      <c r="AS126" s="62"/>
      <c r="AT126" s="62"/>
      <c r="AU126" s="62"/>
      <c r="AV126" s="62"/>
      <c r="AW126" s="62"/>
      <c r="AX126" s="62"/>
    </row>
    <row r="127" spans="1:50" ht="14.25" customHeight="1" x14ac:dyDescent="0.3">
      <c r="A127" s="58"/>
      <c r="B127" s="58"/>
      <c r="C127" s="58"/>
      <c r="D127" s="58"/>
      <c r="E127" s="58"/>
      <c r="F127" s="58"/>
      <c r="G127" s="59"/>
      <c r="H127" s="60"/>
      <c r="I127" s="60"/>
      <c r="J127" s="59"/>
      <c r="K127" s="61"/>
      <c r="M127" s="62"/>
      <c r="N127" s="62"/>
      <c r="O127" s="62"/>
      <c r="P127" s="62"/>
      <c r="Q127" s="62"/>
      <c r="R127" s="62"/>
      <c r="S127" s="62"/>
      <c r="T127" s="62"/>
      <c r="U127" s="62"/>
      <c r="V127" s="62"/>
      <c r="W127" s="62"/>
      <c r="X127" s="62"/>
      <c r="Y127" s="62"/>
      <c r="Z127" s="62"/>
      <c r="AA127" s="62"/>
      <c r="AB127" s="62"/>
      <c r="AC127" s="62"/>
      <c r="AD127" s="62"/>
      <c r="AE127" s="62"/>
      <c r="AF127" s="62"/>
      <c r="AG127" s="62"/>
      <c r="AH127" s="62"/>
      <c r="AI127" s="62"/>
      <c r="AJ127" s="62"/>
      <c r="AK127" s="62"/>
      <c r="AL127" s="62"/>
      <c r="AM127" s="62"/>
      <c r="AN127" s="62"/>
      <c r="AO127" s="62"/>
      <c r="AP127" s="62"/>
      <c r="AQ127" s="62"/>
      <c r="AR127" s="62"/>
      <c r="AS127" s="62"/>
      <c r="AT127" s="62"/>
      <c r="AU127" s="62"/>
      <c r="AV127" s="62"/>
      <c r="AW127" s="62"/>
      <c r="AX127" s="62"/>
    </row>
    <row r="128" spans="1:50" ht="14.25" customHeight="1" x14ac:dyDescent="0.3">
      <c r="A128" s="58"/>
      <c r="B128" s="58"/>
      <c r="C128" s="58"/>
      <c r="D128" s="58"/>
      <c r="E128" s="58"/>
      <c r="F128" s="58"/>
      <c r="G128" s="59"/>
      <c r="H128" s="60"/>
      <c r="I128" s="60"/>
      <c r="J128" s="59"/>
      <c r="K128" s="61"/>
      <c r="M128" s="62"/>
      <c r="N128" s="62"/>
      <c r="O128" s="62"/>
      <c r="P128" s="62"/>
      <c r="Q128" s="62"/>
      <c r="R128" s="62"/>
      <c r="S128" s="62"/>
      <c r="T128" s="62"/>
      <c r="U128" s="62"/>
      <c r="V128" s="62"/>
      <c r="W128" s="62"/>
      <c r="X128" s="62"/>
      <c r="Y128" s="62"/>
      <c r="Z128" s="62"/>
      <c r="AA128" s="62"/>
      <c r="AB128" s="62"/>
      <c r="AC128" s="62"/>
      <c r="AD128" s="62"/>
      <c r="AE128" s="62"/>
      <c r="AF128" s="62"/>
      <c r="AG128" s="62"/>
      <c r="AH128" s="62"/>
      <c r="AI128" s="62"/>
      <c r="AJ128" s="62"/>
      <c r="AK128" s="62"/>
      <c r="AL128" s="62"/>
      <c r="AM128" s="62"/>
      <c r="AN128" s="62"/>
      <c r="AO128" s="62"/>
      <c r="AP128" s="62"/>
      <c r="AQ128" s="62"/>
      <c r="AR128" s="62"/>
      <c r="AS128" s="62"/>
      <c r="AT128" s="62"/>
      <c r="AU128" s="62"/>
      <c r="AV128" s="62"/>
      <c r="AW128" s="62"/>
      <c r="AX128" s="62"/>
    </row>
    <row r="129" spans="1:50" ht="14.25" customHeight="1" x14ac:dyDescent="0.3">
      <c r="A129" s="58"/>
      <c r="B129" s="58"/>
      <c r="C129" s="58"/>
      <c r="D129" s="58"/>
      <c r="E129" s="58"/>
      <c r="F129" s="58"/>
      <c r="G129" s="59"/>
      <c r="H129" s="60"/>
      <c r="I129" s="60"/>
      <c r="J129" s="59"/>
      <c r="K129" s="61"/>
      <c r="M129" s="62"/>
      <c r="N129" s="62"/>
      <c r="O129" s="62"/>
      <c r="P129" s="62"/>
      <c r="Q129" s="62"/>
      <c r="R129" s="62"/>
      <c r="S129" s="62"/>
      <c r="T129" s="62"/>
      <c r="U129" s="62"/>
      <c r="V129" s="62"/>
      <c r="W129" s="62"/>
      <c r="X129" s="62"/>
      <c r="Y129" s="62"/>
      <c r="Z129" s="62"/>
      <c r="AA129" s="62"/>
      <c r="AB129" s="62"/>
      <c r="AC129" s="62"/>
      <c r="AD129" s="62"/>
      <c r="AE129" s="62"/>
      <c r="AF129" s="62"/>
      <c r="AG129" s="62"/>
      <c r="AH129" s="62"/>
      <c r="AI129" s="62"/>
      <c r="AJ129" s="62"/>
      <c r="AK129" s="62"/>
      <c r="AL129" s="62"/>
      <c r="AM129" s="62"/>
      <c r="AN129" s="62"/>
      <c r="AO129" s="62"/>
      <c r="AP129" s="62"/>
      <c r="AQ129" s="62"/>
      <c r="AR129" s="62"/>
      <c r="AS129" s="62"/>
      <c r="AT129" s="62"/>
      <c r="AU129" s="62"/>
      <c r="AV129" s="62"/>
      <c r="AW129" s="62"/>
      <c r="AX129" s="62"/>
    </row>
    <row r="130" spans="1:50" ht="14.25" customHeight="1" x14ac:dyDescent="0.3">
      <c r="A130" s="58"/>
      <c r="B130" s="58"/>
      <c r="C130" s="58"/>
      <c r="D130" s="58"/>
      <c r="E130" s="58"/>
      <c r="F130" s="58"/>
      <c r="G130" s="59"/>
      <c r="H130" s="60"/>
      <c r="I130" s="60"/>
      <c r="J130" s="59"/>
      <c r="K130" s="61"/>
      <c r="M130" s="62"/>
      <c r="N130" s="62"/>
      <c r="O130" s="62"/>
      <c r="P130" s="62"/>
      <c r="Q130" s="62"/>
      <c r="R130" s="62"/>
      <c r="S130" s="62"/>
      <c r="T130" s="62"/>
      <c r="U130" s="62"/>
      <c r="V130" s="62"/>
      <c r="W130" s="62"/>
      <c r="X130" s="62"/>
      <c r="Y130" s="62"/>
      <c r="Z130" s="62"/>
      <c r="AA130" s="62"/>
      <c r="AB130" s="62"/>
      <c r="AC130" s="62"/>
      <c r="AD130" s="62"/>
      <c r="AE130" s="62"/>
      <c r="AF130" s="62"/>
      <c r="AG130" s="62"/>
      <c r="AH130" s="62"/>
      <c r="AI130" s="62"/>
      <c r="AJ130" s="62"/>
      <c r="AK130" s="62"/>
      <c r="AL130" s="62"/>
      <c r="AM130" s="62"/>
      <c r="AN130" s="62"/>
      <c r="AO130" s="62"/>
      <c r="AP130" s="62"/>
      <c r="AQ130" s="62"/>
      <c r="AR130" s="62"/>
      <c r="AS130" s="62"/>
      <c r="AT130" s="62"/>
      <c r="AU130" s="62"/>
      <c r="AV130" s="62"/>
      <c r="AW130" s="62"/>
      <c r="AX130" s="62"/>
    </row>
    <row r="131" spans="1:50" ht="14.25" customHeight="1" x14ac:dyDescent="0.3">
      <c r="A131" s="58"/>
      <c r="B131" s="58"/>
      <c r="C131" s="58"/>
      <c r="D131" s="58"/>
      <c r="E131" s="58"/>
      <c r="F131" s="58"/>
      <c r="G131" s="59"/>
      <c r="H131" s="60"/>
      <c r="I131" s="60"/>
      <c r="J131" s="59"/>
      <c r="K131" s="61"/>
      <c r="M131" s="62"/>
      <c r="N131" s="62"/>
      <c r="O131" s="62"/>
      <c r="P131" s="62"/>
      <c r="Q131" s="62"/>
      <c r="R131" s="62"/>
      <c r="S131" s="62"/>
      <c r="T131" s="62"/>
      <c r="U131" s="62"/>
      <c r="V131" s="62"/>
      <c r="W131" s="62"/>
      <c r="X131" s="62"/>
      <c r="Y131" s="62"/>
      <c r="Z131" s="62"/>
      <c r="AA131" s="62"/>
      <c r="AB131" s="62"/>
      <c r="AC131" s="62"/>
      <c r="AD131" s="62"/>
      <c r="AE131" s="62"/>
      <c r="AF131" s="62"/>
      <c r="AG131" s="62"/>
      <c r="AH131" s="62"/>
      <c r="AI131" s="62"/>
      <c r="AJ131" s="62"/>
      <c r="AK131" s="62"/>
      <c r="AL131" s="62"/>
      <c r="AM131" s="62"/>
      <c r="AN131" s="62"/>
      <c r="AO131" s="62"/>
      <c r="AP131" s="62"/>
      <c r="AQ131" s="62"/>
      <c r="AR131" s="62"/>
      <c r="AS131" s="62"/>
      <c r="AT131" s="62"/>
      <c r="AU131" s="62"/>
      <c r="AV131" s="62"/>
      <c r="AW131" s="62"/>
      <c r="AX131" s="62"/>
    </row>
    <row r="132" spans="1:50" ht="14.25" customHeight="1" x14ac:dyDescent="0.3">
      <c r="A132" s="58"/>
      <c r="B132" s="58"/>
      <c r="C132" s="58"/>
      <c r="D132" s="58"/>
      <c r="E132" s="58"/>
      <c r="F132" s="58"/>
      <c r="G132" s="59"/>
      <c r="H132" s="60"/>
      <c r="I132" s="60"/>
      <c r="J132" s="59"/>
      <c r="K132" s="61"/>
      <c r="M132" s="62"/>
      <c r="N132" s="62"/>
      <c r="O132" s="62"/>
      <c r="P132" s="62"/>
      <c r="Q132" s="62"/>
      <c r="R132" s="62"/>
      <c r="S132" s="62"/>
      <c r="T132" s="62"/>
      <c r="U132" s="62"/>
      <c r="V132" s="62"/>
      <c r="W132" s="62"/>
      <c r="X132" s="62"/>
      <c r="Y132" s="62"/>
      <c r="Z132" s="62"/>
      <c r="AA132" s="62"/>
      <c r="AB132" s="62"/>
      <c r="AC132" s="62"/>
      <c r="AD132" s="62"/>
      <c r="AE132" s="62"/>
      <c r="AF132" s="62"/>
      <c r="AG132" s="62"/>
      <c r="AH132" s="62"/>
      <c r="AI132" s="62"/>
      <c r="AJ132" s="62"/>
      <c r="AK132" s="62"/>
      <c r="AL132" s="62"/>
      <c r="AM132" s="62"/>
      <c r="AN132" s="62"/>
      <c r="AO132" s="62"/>
      <c r="AP132" s="62"/>
      <c r="AQ132" s="62"/>
      <c r="AR132" s="62"/>
      <c r="AS132" s="62"/>
      <c r="AT132" s="62"/>
      <c r="AU132" s="62"/>
      <c r="AV132" s="62"/>
      <c r="AW132" s="62"/>
      <c r="AX132" s="62"/>
    </row>
    <row r="133" spans="1:50" ht="14.25" customHeight="1" x14ac:dyDescent="0.3">
      <c r="A133" s="58"/>
      <c r="B133" s="58"/>
      <c r="C133" s="58"/>
      <c r="D133" s="58"/>
      <c r="E133" s="58"/>
      <c r="F133" s="58"/>
      <c r="G133" s="59"/>
      <c r="H133" s="60"/>
      <c r="I133" s="60"/>
      <c r="J133" s="59"/>
      <c r="K133" s="61"/>
      <c r="M133" s="62"/>
      <c r="N133" s="62"/>
      <c r="O133" s="62"/>
      <c r="P133" s="62"/>
      <c r="Q133" s="62"/>
      <c r="R133" s="62"/>
      <c r="S133" s="62"/>
      <c r="T133" s="62"/>
      <c r="U133" s="62"/>
      <c r="V133" s="62"/>
      <c r="W133" s="62"/>
      <c r="X133" s="62"/>
      <c r="Y133" s="62"/>
      <c r="Z133" s="62"/>
      <c r="AA133" s="62"/>
      <c r="AB133" s="62"/>
      <c r="AC133" s="62"/>
      <c r="AD133" s="62"/>
      <c r="AE133" s="62"/>
      <c r="AF133" s="62"/>
      <c r="AG133" s="62"/>
      <c r="AH133" s="62"/>
      <c r="AI133" s="62"/>
      <c r="AJ133" s="62"/>
      <c r="AK133" s="62"/>
      <c r="AL133" s="62"/>
      <c r="AM133" s="62"/>
      <c r="AN133" s="62"/>
      <c r="AO133" s="62"/>
      <c r="AP133" s="62"/>
      <c r="AQ133" s="62"/>
      <c r="AR133" s="62"/>
      <c r="AS133" s="62"/>
      <c r="AT133" s="62"/>
      <c r="AU133" s="62"/>
      <c r="AV133" s="62"/>
      <c r="AW133" s="62"/>
      <c r="AX133" s="62"/>
    </row>
    <row r="134" spans="1:50" ht="14.25" customHeight="1" x14ac:dyDescent="0.3">
      <c r="A134" s="58"/>
      <c r="B134" s="58"/>
      <c r="C134" s="58"/>
      <c r="D134" s="58"/>
      <c r="E134" s="58"/>
      <c r="F134" s="58"/>
      <c r="G134" s="59"/>
      <c r="H134" s="60"/>
      <c r="I134" s="60"/>
      <c r="J134" s="59"/>
      <c r="K134" s="61"/>
      <c r="M134" s="62"/>
      <c r="N134" s="62"/>
      <c r="O134" s="62"/>
      <c r="P134" s="62"/>
      <c r="Q134" s="62"/>
      <c r="R134" s="62"/>
      <c r="S134" s="62"/>
      <c r="T134" s="62"/>
      <c r="U134" s="62"/>
      <c r="V134" s="62"/>
      <c r="W134" s="62"/>
      <c r="X134" s="62"/>
      <c r="Y134" s="62"/>
      <c r="Z134" s="62"/>
      <c r="AA134" s="62"/>
      <c r="AB134" s="62"/>
      <c r="AC134" s="62"/>
      <c r="AD134" s="62"/>
      <c r="AE134" s="62"/>
      <c r="AF134" s="62"/>
      <c r="AG134" s="62"/>
      <c r="AH134" s="62"/>
      <c r="AI134" s="62"/>
      <c r="AJ134" s="62"/>
      <c r="AK134" s="62"/>
      <c r="AL134" s="62"/>
      <c r="AM134" s="62"/>
      <c r="AN134" s="62"/>
      <c r="AO134" s="62"/>
      <c r="AP134" s="62"/>
      <c r="AQ134" s="62"/>
      <c r="AR134" s="62"/>
      <c r="AS134" s="62"/>
      <c r="AT134" s="62"/>
      <c r="AU134" s="62"/>
      <c r="AV134" s="62"/>
      <c r="AW134" s="62"/>
      <c r="AX134" s="62"/>
    </row>
    <row r="135" spans="1:50" ht="14.25" customHeight="1" x14ac:dyDescent="0.3">
      <c r="A135" s="58"/>
      <c r="B135" s="58"/>
      <c r="C135" s="58"/>
      <c r="D135" s="58"/>
      <c r="E135" s="58"/>
      <c r="F135" s="58"/>
      <c r="G135" s="59"/>
      <c r="H135" s="60"/>
      <c r="I135" s="60"/>
      <c r="J135" s="59"/>
      <c r="K135" s="61"/>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2"/>
      <c r="AK135" s="62"/>
      <c r="AL135" s="62"/>
      <c r="AM135" s="62"/>
      <c r="AN135" s="62"/>
      <c r="AO135" s="62"/>
      <c r="AP135" s="62"/>
      <c r="AQ135" s="62"/>
      <c r="AR135" s="62"/>
      <c r="AS135" s="62"/>
      <c r="AT135" s="62"/>
      <c r="AU135" s="62"/>
      <c r="AV135" s="62"/>
      <c r="AW135" s="62"/>
      <c r="AX135" s="62"/>
    </row>
    <row r="136" spans="1:50" ht="14.25" customHeight="1" x14ac:dyDescent="0.3">
      <c r="A136" s="58"/>
      <c r="B136" s="58"/>
      <c r="C136" s="58"/>
      <c r="D136" s="58"/>
      <c r="E136" s="58"/>
      <c r="F136" s="58"/>
      <c r="G136" s="59"/>
      <c r="H136" s="60"/>
      <c r="I136" s="60"/>
      <c r="J136" s="59"/>
      <c r="K136" s="61"/>
      <c r="M136" s="62"/>
      <c r="N136" s="62"/>
      <c r="O136" s="62"/>
      <c r="P136" s="62"/>
      <c r="Q136" s="62"/>
      <c r="R136" s="62"/>
      <c r="S136" s="62"/>
      <c r="T136" s="62"/>
      <c r="U136" s="62"/>
      <c r="V136" s="62"/>
      <c r="W136" s="62"/>
      <c r="X136" s="62"/>
      <c r="Y136" s="62"/>
      <c r="Z136" s="62"/>
      <c r="AA136" s="62"/>
      <c r="AB136" s="62"/>
      <c r="AC136" s="62"/>
      <c r="AD136" s="62"/>
      <c r="AE136" s="62"/>
      <c r="AF136" s="62"/>
      <c r="AG136" s="62"/>
      <c r="AH136" s="62"/>
      <c r="AI136" s="62"/>
      <c r="AJ136" s="62"/>
      <c r="AK136" s="62"/>
      <c r="AL136" s="62"/>
      <c r="AM136" s="62"/>
      <c r="AN136" s="62"/>
      <c r="AO136" s="62"/>
      <c r="AP136" s="62"/>
      <c r="AQ136" s="62"/>
      <c r="AR136" s="62"/>
      <c r="AS136" s="62"/>
      <c r="AT136" s="62"/>
      <c r="AU136" s="62"/>
      <c r="AV136" s="62"/>
      <c r="AW136" s="62"/>
      <c r="AX136" s="62"/>
    </row>
    <row r="137" spans="1:50" ht="14.25" customHeight="1" x14ac:dyDescent="0.3">
      <c r="A137" s="58"/>
      <c r="B137" s="58"/>
      <c r="C137" s="58"/>
      <c r="D137" s="58"/>
      <c r="E137" s="58"/>
      <c r="F137" s="58"/>
      <c r="G137" s="59"/>
      <c r="H137" s="60"/>
      <c r="I137" s="60"/>
      <c r="J137" s="59"/>
      <c r="K137" s="61"/>
      <c r="M137" s="62"/>
      <c r="N137" s="62"/>
      <c r="O137" s="62"/>
      <c r="P137" s="62"/>
      <c r="Q137" s="62"/>
      <c r="R137" s="62"/>
      <c r="S137" s="62"/>
      <c r="T137" s="62"/>
      <c r="U137" s="62"/>
      <c r="V137" s="62"/>
      <c r="W137" s="62"/>
      <c r="X137" s="62"/>
      <c r="Y137" s="62"/>
      <c r="Z137" s="62"/>
      <c r="AA137" s="62"/>
      <c r="AB137" s="62"/>
      <c r="AC137" s="62"/>
      <c r="AD137" s="62"/>
      <c r="AE137" s="62"/>
      <c r="AF137" s="62"/>
      <c r="AG137" s="62"/>
      <c r="AH137" s="62"/>
      <c r="AI137" s="62"/>
      <c r="AJ137" s="62"/>
      <c r="AK137" s="62"/>
      <c r="AL137" s="62"/>
      <c r="AM137" s="62"/>
      <c r="AN137" s="62"/>
      <c r="AO137" s="62"/>
      <c r="AP137" s="62"/>
      <c r="AQ137" s="62"/>
      <c r="AR137" s="62"/>
      <c r="AS137" s="62"/>
      <c r="AT137" s="62"/>
      <c r="AU137" s="62"/>
      <c r="AV137" s="62"/>
      <c r="AW137" s="62"/>
      <c r="AX137" s="62"/>
    </row>
    <row r="138" spans="1:50" ht="14.25" customHeight="1" x14ac:dyDescent="0.3">
      <c r="A138" s="58"/>
      <c r="B138" s="58"/>
      <c r="C138" s="58"/>
      <c r="D138" s="58"/>
      <c r="E138" s="58"/>
      <c r="F138" s="58"/>
      <c r="G138" s="59"/>
      <c r="H138" s="60"/>
      <c r="I138" s="60"/>
      <c r="J138" s="59"/>
      <c r="K138" s="61"/>
      <c r="M138" s="62"/>
      <c r="N138" s="62"/>
      <c r="O138" s="62"/>
      <c r="P138" s="62"/>
      <c r="Q138" s="62"/>
      <c r="R138" s="62"/>
      <c r="S138" s="62"/>
      <c r="T138" s="62"/>
      <c r="U138" s="62"/>
      <c r="V138" s="62"/>
      <c r="W138" s="62"/>
      <c r="X138" s="62"/>
      <c r="Y138" s="62"/>
      <c r="Z138" s="62"/>
      <c r="AA138" s="62"/>
      <c r="AB138" s="62"/>
      <c r="AC138" s="62"/>
      <c r="AD138" s="62"/>
      <c r="AE138" s="62"/>
      <c r="AF138" s="62"/>
      <c r="AG138" s="62"/>
      <c r="AH138" s="62"/>
      <c r="AI138" s="62"/>
      <c r="AJ138" s="62"/>
      <c r="AK138" s="62"/>
      <c r="AL138" s="62"/>
      <c r="AM138" s="62"/>
      <c r="AN138" s="62"/>
      <c r="AO138" s="62"/>
      <c r="AP138" s="62"/>
      <c r="AQ138" s="62"/>
      <c r="AR138" s="62"/>
      <c r="AS138" s="62"/>
      <c r="AT138" s="62"/>
      <c r="AU138" s="62"/>
      <c r="AV138" s="62"/>
      <c r="AW138" s="62"/>
      <c r="AX138" s="62"/>
    </row>
    <row r="139" spans="1:50" ht="14.25" customHeight="1" x14ac:dyDescent="0.3">
      <c r="A139" s="58"/>
      <c r="B139" s="58"/>
      <c r="C139" s="58"/>
      <c r="D139" s="58"/>
      <c r="E139" s="58"/>
      <c r="F139" s="58"/>
      <c r="G139" s="59"/>
      <c r="H139" s="60"/>
      <c r="I139" s="60"/>
      <c r="J139" s="59"/>
      <c r="K139" s="61"/>
      <c r="M139" s="62"/>
      <c r="N139" s="62"/>
      <c r="O139" s="62"/>
      <c r="P139" s="62"/>
      <c r="Q139" s="62"/>
      <c r="R139" s="62"/>
      <c r="S139" s="62"/>
      <c r="T139" s="62"/>
      <c r="U139" s="62"/>
      <c r="V139" s="62"/>
      <c r="W139" s="62"/>
      <c r="X139" s="62"/>
      <c r="Y139" s="62"/>
      <c r="Z139" s="62"/>
      <c r="AA139" s="62"/>
      <c r="AB139" s="62"/>
      <c r="AC139" s="62"/>
      <c r="AD139" s="62"/>
      <c r="AE139" s="62"/>
      <c r="AF139" s="62"/>
      <c r="AG139" s="62"/>
      <c r="AH139" s="62"/>
      <c r="AI139" s="62"/>
      <c r="AJ139" s="62"/>
      <c r="AK139" s="62"/>
      <c r="AL139" s="62"/>
      <c r="AM139" s="62"/>
      <c r="AN139" s="62"/>
      <c r="AO139" s="62"/>
      <c r="AP139" s="62"/>
      <c r="AQ139" s="62"/>
      <c r="AR139" s="62"/>
      <c r="AS139" s="62"/>
      <c r="AT139" s="62"/>
      <c r="AU139" s="62"/>
      <c r="AV139" s="62"/>
      <c r="AW139" s="62"/>
      <c r="AX139" s="62"/>
    </row>
    <row r="140" spans="1:50" ht="14.25" customHeight="1" x14ac:dyDescent="0.3">
      <c r="A140" s="58"/>
      <c r="B140" s="58"/>
      <c r="C140" s="58"/>
      <c r="D140" s="58"/>
      <c r="E140" s="58"/>
      <c r="F140" s="58"/>
      <c r="G140" s="59"/>
      <c r="H140" s="60"/>
      <c r="I140" s="60"/>
      <c r="J140" s="59"/>
      <c r="K140" s="61"/>
      <c r="M140" s="62"/>
      <c r="N140" s="62"/>
      <c r="O140" s="62"/>
      <c r="P140" s="62"/>
      <c r="Q140" s="62"/>
      <c r="R140" s="62"/>
      <c r="S140" s="62"/>
      <c r="T140" s="62"/>
      <c r="U140" s="62"/>
      <c r="V140" s="62"/>
      <c r="W140" s="62"/>
      <c r="X140" s="62"/>
      <c r="Y140" s="62"/>
      <c r="Z140" s="62"/>
      <c r="AA140" s="62"/>
      <c r="AB140" s="62"/>
      <c r="AC140" s="62"/>
      <c r="AD140" s="62"/>
      <c r="AE140" s="62"/>
      <c r="AF140" s="62"/>
      <c r="AG140" s="62"/>
      <c r="AH140" s="62"/>
      <c r="AI140" s="62"/>
      <c r="AJ140" s="62"/>
      <c r="AK140" s="62"/>
      <c r="AL140" s="62"/>
      <c r="AM140" s="62"/>
      <c r="AN140" s="62"/>
      <c r="AO140" s="62"/>
      <c r="AP140" s="62"/>
      <c r="AQ140" s="62"/>
      <c r="AR140" s="62"/>
      <c r="AS140" s="62"/>
      <c r="AT140" s="62"/>
      <c r="AU140" s="62"/>
      <c r="AV140" s="62"/>
      <c r="AW140" s="62"/>
      <c r="AX140" s="62"/>
    </row>
    <row r="141" spans="1:50" ht="14.25" customHeight="1" x14ac:dyDescent="0.3">
      <c r="A141" s="58"/>
      <c r="B141" s="58"/>
      <c r="C141" s="58"/>
      <c r="D141" s="58"/>
      <c r="E141" s="58"/>
      <c r="F141" s="58"/>
      <c r="G141" s="59"/>
      <c r="H141" s="60"/>
      <c r="I141" s="60"/>
      <c r="J141" s="59"/>
      <c r="K141" s="61"/>
      <c r="M141" s="62"/>
      <c r="N141" s="62"/>
      <c r="O141" s="62"/>
      <c r="P141" s="62"/>
      <c r="Q141" s="62"/>
      <c r="R141" s="62"/>
      <c r="S141" s="62"/>
      <c r="T141" s="62"/>
      <c r="U141" s="62"/>
      <c r="V141" s="62"/>
      <c r="W141" s="62"/>
      <c r="X141" s="62"/>
      <c r="Y141" s="62"/>
      <c r="Z141" s="62"/>
      <c r="AA141" s="62"/>
      <c r="AB141" s="62"/>
      <c r="AC141" s="62"/>
      <c r="AD141" s="62"/>
      <c r="AE141" s="62"/>
      <c r="AF141" s="62"/>
      <c r="AG141" s="62"/>
      <c r="AH141" s="62"/>
      <c r="AI141" s="62"/>
      <c r="AJ141" s="62"/>
      <c r="AK141" s="62"/>
      <c r="AL141" s="62"/>
      <c r="AM141" s="62"/>
      <c r="AN141" s="62"/>
      <c r="AO141" s="62"/>
      <c r="AP141" s="62"/>
      <c r="AQ141" s="62"/>
      <c r="AR141" s="62"/>
      <c r="AS141" s="62"/>
      <c r="AT141" s="62"/>
      <c r="AU141" s="62"/>
      <c r="AV141" s="62"/>
      <c r="AW141" s="62"/>
      <c r="AX141" s="62"/>
    </row>
    <row r="142" spans="1:50" ht="14.25" customHeight="1" x14ac:dyDescent="0.3">
      <c r="A142" s="58"/>
      <c r="B142" s="58"/>
      <c r="C142" s="58"/>
      <c r="D142" s="58"/>
      <c r="E142" s="58"/>
      <c r="F142" s="58"/>
      <c r="G142" s="59"/>
      <c r="H142" s="60"/>
      <c r="I142" s="60"/>
      <c r="J142" s="59"/>
      <c r="K142" s="61"/>
      <c r="M142" s="62"/>
      <c r="N142" s="62"/>
      <c r="O142" s="62"/>
      <c r="P142" s="62"/>
      <c r="Q142" s="62"/>
      <c r="R142" s="62"/>
      <c r="S142" s="62"/>
      <c r="T142" s="62"/>
      <c r="U142" s="62"/>
      <c r="V142" s="62"/>
      <c r="W142" s="62"/>
      <c r="X142" s="62"/>
      <c r="Y142" s="62"/>
      <c r="Z142" s="62"/>
      <c r="AA142" s="62"/>
      <c r="AB142" s="62"/>
      <c r="AC142" s="62"/>
      <c r="AD142" s="62"/>
      <c r="AE142" s="62"/>
      <c r="AF142" s="62"/>
      <c r="AG142" s="62"/>
      <c r="AH142" s="62"/>
      <c r="AI142" s="62"/>
      <c r="AJ142" s="62"/>
      <c r="AK142" s="62"/>
      <c r="AL142" s="62"/>
      <c r="AM142" s="62"/>
      <c r="AN142" s="62"/>
      <c r="AO142" s="62"/>
      <c r="AP142" s="62"/>
      <c r="AQ142" s="62"/>
      <c r="AR142" s="62"/>
      <c r="AS142" s="62"/>
      <c r="AT142" s="62"/>
      <c r="AU142" s="62"/>
      <c r="AV142" s="62"/>
      <c r="AW142" s="62"/>
      <c r="AX142" s="62"/>
    </row>
    <row r="143" spans="1:50" ht="14.25" customHeight="1" x14ac:dyDescent="0.3">
      <c r="A143" s="58"/>
      <c r="B143" s="58"/>
      <c r="C143" s="58"/>
      <c r="D143" s="58"/>
      <c r="E143" s="58"/>
      <c r="F143" s="58"/>
      <c r="G143" s="59"/>
      <c r="H143" s="60"/>
      <c r="I143" s="60"/>
      <c r="J143" s="59"/>
      <c r="K143" s="61"/>
      <c r="M143" s="62"/>
      <c r="N143" s="62"/>
      <c r="O143" s="62"/>
      <c r="P143" s="62"/>
      <c r="Q143" s="62"/>
      <c r="R143" s="62"/>
      <c r="S143" s="62"/>
      <c r="T143" s="62"/>
      <c r="U143" s="62"/>
      <c r="V143" s="62"/>
      <c r="W143" s="62"/>
      <c r="X143" s="62"/>
      <c r="Y143" s="62"/>
      <c r="Z143" s="62"/>
      <c r="AA143" s="62"/>
      <c r="AB143" s="62"/>
      <c r="AC143" s="62"/>
      <c r="AD143" s="62"/>
      <c r="AE143" s="62"/>
      <c r="AF143" s="62"/>
      <c r="AG143" s="62"/>
      <c r="AH143" s="62"/>
      <c r="AI143" s="62"/>
      <c r="AJ143" s="62"/>
      <c r="AK143" s="62"/>
      <c r="AL143" s="62"/>
      <c r="AM143" s="62"/>
      <c r="AN143" s="62"/>
      <c r="AO143" s="62"/>
      <c r="AP143" s="62"/>
      <c r="AQ143" s="62"/>
      <c r="AR143" s="62"/>
      <c r="AS143" s="62"/>
      <c r="AT143" s="62"/>
      <c r="AU143" s="62"/>
      <c r="AV143" s="62"/>
      <c r="AW143" s="62"/>
      <c r="AX143" s="62"/>
    </row>
    <row r="144" spans="1:50" ht="14.25" customHeight="1" x14ac:dyDescent="0.3">
      <c r="A144" s="58"/>
      <c r="B144" s="58"/>
      <c r="C144" s="58"/>
      <c r="D144" s="58"/>
      <c r="E144" s="58"/>
      <c r="F144" s="58"/>
      <c r="G144" s="59"/>
      <c r="H144" s="60"/>
      <c r="I144" s="60"/>
      <c r="J144" s="59"/>
      <c r="K144" s="61"/>
      <c r="M144" s="62"/>
      <c r="N144" s="62"/>
      <c r="O144" s="62"/>
      <c r="P144" s="62"/>
      <c r="Q144" s="62"/>
      <c r="R144" s="62"/>
      <c r="S144" s="62"/>
      <c r="T144" s="62"/>
      <c r="U144" s="62"/>
      <c r="V144" s="62"/>
      <c r="W144" s="62"/>
      <c r="X144" s="62"/>
      <c r="Y144" s="62"/>
      <c r="Z144" s="62"/>
      <c r="AA144" s="62"/>
      <c r="AB144" s="62"/>
      <c r="AC144" s="62"/>
      <c r="AD144" s="62"/>
      <c r="AE144" s="62"/>
      <c r="AF144" s="62"/>
      <c r="AG144" s="62"/>
      <c r="AH144" s="62"/>
      <c r="AI144" s="62"/>
      <c r="AJ144" s="62"/>
      <c r="AK144" s="62"/>
      <c r="AL144" s="62"/>
      <c r="AM144" s="62"/>
      <c r="AN144" s="62"/>
      <c r="AO144" s="62"/>
      <c r="AP144" s="62"/>
      <c r="AQ144" s="62"/>
      <c r="AR144" s="62"/>
      <c r="AS144" s="62"/>
      <c r="AT144" s="62"/>
      <c r="AU144" s="62"/>
      <c r="AV144" s="62"/>
      <c r="AW144" s="62"/>
      <c r="AX144" s="62"/>
    </row>
    <row r="145" spans="1:50" ht="14.25" customHeight="1" x14ac:dyDescent="0.3">
      <c r="A145" s="58"/>
      <c r="B145" s="58"/>
      <c r="C145" s="58"/>
      <c r="D145" s="58"/>
      <c r="E145" s="58"/>
      <c r="F145" s="58"/>
      <c r="G145" s="59"/>
      <c r="H145" s="60"/>
      <c r="I145" s="60"/>
      <c r="J145" s="59"/>
      <c r="K145" s="61"/>
      <c r="M145" s="62"/>
      <c r="N145" s="62"/>
      <c r="O145" s="62"/>
      <c r="P145" s="62"/>
      <c r="Q145" s="62"/>
      <c r="R145" s="62"/>
      <c r="S145" s="62"/>
      <c r="T145" s="62"/>
      <c r="U145" s="62"/>
      <c r="V145" s="62"/>
      <c r="W145" s="62"/>
      <c r="X145" s="62"/>
      <c r="Y145" s="62"/>
      <c r="Z145" s="62"/>
      <c r="AA145" s="62"/>
      <c r="AB145" s="62"/>
      <c r="AC145" s="62"/>
      <c r="AD145" s="62"/>
      <c r="AE145" s="62"/>
      <c r="AF145" s="62"/>
      <c r="AG145" s="62"/>
      <c r="AH145" s="62"/>
      <c r="AI145" s="62"/>
      <c r="AJ145" s="62"/>
      <c r="AK145" s="62"/>
      <c r="AL145" s="62"/>
      <c r="AM145" s="62"/>
      <c r="AN145" s="62"/>
      <c r="AO145" s="62"/>
      <c r="AP145" s="62"/>
      <c r="AQ145" s="62"/>
      <c r="AR145" s="62"/>
      <c r="AS145" s="62"/>
      <c r="AT145" s="62"/>
      <c r="AU145" s="62"/>
      <c r="AV145" s="62"/>
      <c r="AW145" s="62"/>
      <c r="AX145" s="62"/>
    </row>
    <row r="146" spans="1:50" ht="14.25" customHeight="1" x14ac:dyDescent="0.3">
      <c r="A146" s="58"/>
      <c r="B146" s="58"/>
      <c r="C146" s="58"/>
      <c r="D146" s="58"/>
      <c r="E146" s="58"/>
      <c r="F146" s="58"/>
      <c r="G146" s="59"/>
      <c r="H146" s="60"/>
      <c r="I146" s="60"/>
      <c r="J146" s="59"/>
      <c r="K146" s="61"/>
      <c r="M146" s="62"/>
      <c r="N146" s="62"/>
      <c r="O146" s="62"/>
      <c r="P146" s="62"/>
      <c r="Q146" s="62"/>
      <c r="R146" s="62"/>
      <c r="S146" s="62"/>
      <c r="T146" s="62"/>
      <c r="U146" s="62"/>
      <c r="V146" s="62"/>
      <c r="W146" s="62"/>
      <c r="X146" s="62"/>
      <c r="Y146" s="62"/>
      <c r="Z146" s="62"/>
      <c r="AA146" s="62"/>
      <c r="AB146" s="62"/>
      <c r="AC146" s="62"/>
      <c r="AD146" s="62"/>
      <c r="AE146" s="62"/>
      <c r="AF146" s="62"/>
      <c r="AG146" s="62"/>
      <c r="AH146" s="62"/>
      <c r="AI146" s="62"/>
      <c r="AJ146" s="62"/>
      <c r="AK146" s="62"/>
      <c r="AL146" s="62"/>
      <c r="AM146" s="62"/>
      <c r="AN146" s="62"/>
      <c r="AO146" s="62"/>
      <c r="AP146" s="62"/>
      <c r="AQ146" s="62"/>
      <c r="AR146" s="62"/>
      <c r="AS146" s="62"/>
      <c r="AT146" s="62"/>
      <c r="AU146" s="62"/>
      <c r="AV146" s="62"/>
      <c r="AW146" s="62"/>
      <c r="AX146" s="62"/>
    </row>
    <row r="147" spans="1:50" ht="14.25" customHeight="1" x14ac:dyDescent="0.3">
      <c r="A147" s="58"/>
      <c r="B147" s="58"/>
      <c r="C147" s="58"/>
      <c r="D147" s="58"/>
      <c r="E147" s="58"/>
      <c r="F147" s="58"/>
      <c r="G147" s="59"/>
      <c r="H147" s="60"/>
      <c r="I147" s="60"/>
      <c r="J147" s="59"/>
      <c r="K147" s="61"/>
      <c r="M147" s="62"/>
      <c r="N147" s="62"/>
      <c r="O147" s="62"/>
      <c r="P147" s="62"/>
      <c r="Q147" s="62"/>
      <c r="R147" s="62"/>
      <c r="S147" s="62"/>
      <c r="T147" s="62"/>
      <c r="U147" s="62"/>
      <c r="V147" s="62"/>
      <c r="W147" s="62"/>
      <c r="X147" s="62"/>
      <c r="Y147" s="62"/>
      <c r="Z147" s="62"/>
      <c r="AA147" s="62"/>
      <c r="AB147" s="62"/>
      <c r="AC147" s="62"/>
      <c r="AD147" s="62"/>
      <c r="AE147" s="62"/>
      <c r="AF147" s="62"/>
      <c r="AG147" s="62"/>
      <c r="AH147" s="62"/>
      <c r="AI147" s="62"/>
      <c r="AJ147" s="62"/>
      <c r="AK147" s="62"/>
      <c r="AL147" s="62"/>
      <c r="AM147" s="62"/>
      <c r="AN147" s="62"/>
      <c r="AO147" s="62"/>
      <c r="AP147" s="62"/>
      <c r="AQ147" s="62"/>
      <c r="AR147" s="62"/>
      <c r="AS147" s="62"/>
      <c r="AT147" s="62"/>
      <c r="AU147" s="62"/>
      <c r="AV147" s="62"/>
      <c r="AW147" s="62"/>
      <c r="AX147" s="62"/>
    </row>
    <row r="148" spans="1:50" ht="14.25" customHeight="1" x14ac:dyDescent="0.3">
      <c r="A148" s="58"/>
      <c r="B148" s="58"/>
      <c r="C148" s="58"/>
      <c r="D148" s="58"/>
      <c r="E148" s="58"/>
      <c r="F148" s="58"/>
      <c r="G148" s="59"/>
      <c r="H148" s="60"/>
      <c r="I148" s="60"/>
      <c r="J148" s="59"/>
      <c r="K148" s="61"/>
      <c r="M148" s="62"/>
      <c r="N148" s="62"/>
      <c r="O148" s="62"/>
      <c r="P148" s="62"/>
      <c r="Q148" s="62"/>
      <c r="R148" s="62"/>
      <c r="S148" s="62"/>
      <c r="T148" s="62"/>
      <c r="U148" s="62"/>
      <c r="V148" s="62"/>
      <c r="W148" s="62"/>
      <c r="X148" s="62"/>
      <c r="Y148" s="62"/>
      <c r="Z148" s="62"/>
      <c r="AA148" s="62"/>
      <c r="AB148" s="62"/>
      <c r="AC148" s="62"/>
      <c r="AD148" s="62"/>
      <c r="AE148" s="62"/>
      <c r="AF148" s="62"/>
      <c r="AG148" s="62"/>
      <c r="AH148" s="62"/>
      <c r="AI148" s="62"/>
      <c r="AJ148" s="62"/>
      <c r="AK148" s="62"/>
      <c r="AL148" s="62"/>
      <c r="AM148" s="62"/>
      <c r="AN148" s="62"/>
      <c r="AO148" s="62"/>
      <c r="AP148" s="62"/>
      <c r="AQ148" s="62"/>
      <c r="AR148" s="62"/>
      <c r="AS148" s="62"/>
      <c r="AT148" s="62"/>
      <c r="AU148" s="62"/>
      <c r="AV148" s="62"/>
      <c r="AW148" s="62"/>
      <c r="AX148" s="62"/>
    </row>
    <row r="149" spans="1:50" ht="14.25" customHeight="1" x14ac:dyDescent="0.3">
      <c r="A149" s="58"/>
      <c r="B149" s="58"/>
      <c r="C149" s="58"/>
      <c r="D149" s="58"/>
      <c r="E149" s="58"/>
      <c r="F149" s="58"/>
      <c r="G149" s="59"/>
      <c r="H149" s="60"/>
      <c r="I149" s="60"/>
      <c r="J149" s="59"/>
      <c r="K149" s="61"/>
      <c r="M149" s="62"/>
      <c r="N149" s="62"/>
      <c r="O149" s="62"/>
      <c r="P149" s="62"/>
      <c r="Q149" s="62"/>
      <c r="R149" s="62"/>
      <c r="S149" s="62"/>
      <c r="T149" s="62"/>
      <c r="U149" s="62"/>
      <c r="V149" s="62"/>
      <c r="W149" s="62"/>
      <c r="X149" s="62"/>
      <c r="Y149" s="62"/>
      <c r="Z149" s="62"/>
      <c r="AA149" s="62"/>
      <c r="AB149" s="62"/>
      <c r="AC149" s="62"/>
      <c r="AD149" s="62"/>
      <c r="AE149" s="62"/>
      <c r="AF149" s="62"/>
      <c r="AG149" s="62"/>
      <c r="AH149" s="62"/>
      <c r="AI149" s="62"/>
      <c r="AJ149" s="62"/>
      <c r="AK149" s="62"/>
      <c r="AL149" s="62"/>
      <c r="AM149" s="62"/>
      <c r="AN149" s="62"/>
      <c r="AO149" s="62"/>
      <c r="AP149" s="62"/>
      <c r="AQ149" s="62"/>
      <c r="AR149" s="62"/>
      <c r="AS149" s="62"/>
      <c r="AT149" s="62"/>
      <c r="AU149" s="62"/>
      <c r="AV149" s="62"/>
      <c r="AW149" s="62"/>
      <c r="AX149" s="62"/>
    </row>
    <row r="150" spans="1:50" ht="14.25" customHeight="1" x14ac:dyDescent="0.3">
      <c r="A150" s="58"/>
      <c r="B150" s="58"/>
      <c r="C150" s="58"/>
      <c r="D150" s="58"/>
      <c r="E150" s="58"/>
      <c r="F150" s="58"/>
      <c r="G150" s="59"/>
      <c r="H150" s="60"/>
      <c r="I150" s="60"/>
      <c r="J150" s="59"/>
      <c r="K150" s="61"/>
      <c r="M150" s="62"/>
      <c r="N150" s="62"/>
      <c r="O150" s="62"/>
      <c r="P150" s="62"/>
      <c r="Q150" s="62"/>
      <c r="R150" s="62"/>
      <c r="S150" s="62"/>
      <c r="T150" s="62"/>
      <c r="U150" s="62"/>
      <c r="V150" s="62"/>
      <c r="W150" s="62"/>
      <c r="X150" s="62"/>
      <c r="Y150" s="62"/>
      <c r="Z150" s="62"/>
      <c r="AA150" s="62"/>
      <c r="AB150" s="62"/>
      <c r="AC150" s="62"/>
      <c r="AD150" s="62"/>
      <c r="AE150" s="62"/>
      <c r="AF150" s="62"/>
      <c r="AG150" s="62"/>
      <c r="AH150" s="62"/>
      <c r="AI150" s="62"/>
      <c r="AJ150" s="62"/>
      <c r="AK150" s="62"/>
      <c r="AL150" s="62"/>
      <c r="AM150" s="62"/>
      <c r="AN150" s="62"/>
      <c r="AO150" s="62"/>
      <c r="AP150" s="62"/>
      <c r="AQ150" s="62"/>
      <c r="AR150" s="62"/>
      <c r="AS150" s="62"/>
      <c r="AT150" s="62"/>
      <c r="AU150" s="62"/>
      <c r="AV150" s="62"/>
      <c r="AW150" s="62"/>
      <c r="AX150" s="62"/>
    </row>
    <row r="151" spans="1:50" ht="14.25" customHeight="1" x14ac:dyDescent="0.3">
      <c r="A151" s="58"/>
      <c r="B151" s="58"/>
      <c r="C151" s="58"/>
      <c r="D151" s="58"/>
      <c r="E151" s="58"/>
      <c r="F151" s="58"/>
      <c r="G151" s="59"/>
      <c r="H151" s="60"/>
      <c r="I151" s="60"/>
      <c r="J151" s="59"/>
      <c r="K151" s="61"/>
      <c r="M151" s="62"/>
      <c r="N151" s="62"/>
      <c r="O151" s="62"/>
      <c r="P151" s="62"/>
      <c r="Q151" s="62"/>
      <c r="R151" s="62"/>
      <c r="S151" s="62"/>
      <c r="T151" s="62"/>
      <c r="U151" s="62"/>
      <c r="V151" s="62"/>
      <c r="W151" s="62"/>
      <c r="X151" s="62"/>
      <c r="Y151" s="62"/>
      <c r="Z151" s="62"/>
      <c r="AA151" s="62"/>
      <c r="AB151" s="62"/>
      <c r="AC151" s="62"/>
      <c r="AD151" s="62"/>
      <c r="AE151" s="62"/>
      <c r="AF151" s="62"/>
      <c r="AG151" s="62"/>
      <c r="AH151" s="62"/>
      <c r="AI151" s="62"/>
      <c r="AJ151" s="62"/>
      <c r="AK151" s="62"/>
      <c r="AL151" s="62"/>
      <c r="AM151" s="62"/>
      <c r="AN151" s="62"/>
      <c r="AO151" s="62"/>
      <c r="AP151" s="62"/>
      <c r="AQ151" s="62"/>
      <c r="AR151" s="62"/>
      <c r="AS151" s="62"/>
      <c r="AT151" s="62"/>
      <c r="AU151" s="62"/>
      <c r="AV151" s="62"/>
      <c r="AW151" s="62"/>
      <c r="AX151" s="62"/>
    </row>
    <row r="152" spans="1:50" ht="14.25" customHeight="1" x14ac:dyDescent="0.3">
      <c r="A152" s="58"/>
      <c r="B152" s="58"/>
      <c r="C152" s="58"/>
      <c r="D152" s="58"/>
      <c r="E152" s="58"/>
      <c r="F152" s="58"/>
      <c r="G152" s="59"/>
      <c r="H152" s="60"/>
      <c r="I152" s="60"/>
      <c r="J152" s="59"/>
      <c r="K152" s="61"/>
      <c r="M152" s="62"/>
      <c r="N152" s="62"/>
      <c r="O152" s="62"/>
      <c r="P152" s="62"/>
      <c r="Q152" s="62"/>
      <c r="R152" s="62"/>
      <c r="S152" s="62"/>
      <c r="T152" s="62"/>
      <c r="U152" s="62"/>
      <c r="V152" s="62"/>
      <c r="W152" s="62"/>
      <c r="X152" s="62"/>
      <c r="Y152" s="62"/>
      <c r="Z152" s="62"/>
      <c r="AA152" s="62"/>
      <c r="AB152" s="62"/>
      <c r="AC152" s="62"/>
      <c r="AD152" s="62"/>
      <c r="AE152" s="62"/>
      <c r="AF152" s="62"/>
      <c r="AG152" s="62"/>
      <c r="AH152" s="62"/>
      <c r="AI152" s="62"/>
      <c r="AJ152" s="62"/>
      <c r="AK152" s="62"/>
      <c r="AL152" s="62"/>
      <c r="AM152" s="62"/>
      <c r="AN152" s="62"/>
      <c r="AO152" s="62"/>
      <c r="AP152" s="62"/>
      <c r="AQ152" s="62"/>
      <c r="AR152" s="62"/>
      <c r="AS152" s="62"/>
      <c r="AT152" s="62"/>
      <c r="AU152" s="62"/>
      <c r="AV152" s="62"/>
      <c r="AW152" s="62"/>
      <c r="AX152" s="62"/>
    </row>
    <row r="153" spans="1:50" ht="14.25" customHeight="1" x14ac:dyDescent="0.3">
      <c r="A153" s="58"/>
      <c r="B153" s="58"/>
      <c r="C153" s="58"/>
      <c r="D153" s="58"/>
      <c r="E153" s="58"/>
      <c r="F153" s="58"/>
      <c r="G153" s="59"/>
      <c r="H153" s="60"/>
      <c r="I153" s="60"/>
      <c r="J153" s="59"/>
      <c r="K153" s="61"/>
      <c r="M153" s="62"/>
      <c r="N153" s="62"/>
      <c r="O153" s="62"/>
      <c r="P153" s="62"/>
      <c r="Q153" s="62"/>
      <c r="R153" s="62"/>
      <c r="S153" s="62"/>
      <c r="T153" s="62"/>
      <c r="U153" s="62"/>
      <c r="V153" s="62"/>
      <c r="W153" s="62"/>
      <c r="X153" s="62"/>
      <c r="Y153" s="62"/>
      <c r="Z153" s="62"/>
      <c r="AA153" s="62"/>
      <c r="AB153" s="62"/>
      <c r="AC153" s="62"/>
      <c r="AD153" s="62"/>
      <c r="AE153" s="62"/>
      <c r="AF153" s="62"/>
      <c r="AG153" s="62"/>
      <c r="AH153" s="62"/>
      <c r="AI153" s="62"/>
      <c r="AJ153" s="62"/>
      <c r="AK153" s="62"/>
      <c r="AL153" s="62"/>
      <c r="AM153" s="62"/>
      <c r="AN153" s="62"/>
      <c r="AO153" s="62"/>
      <c r="AP153" s="62"/>
      <c r="AQ153" s="62"/>
      <c r="AR153" s="62"/>
      <c r="AS153" s="62"/>
      <c r="AT153" s="62"/>
      <c r="AU153" s="62"/>
      <c r="AV153" s="62"/>
      <c r="AW153" s="62"/>
      <c r="AX153" s="62"/>
    </row>
    <row r="154" spans="1:50" ht="14.25" customHeight="1" x14ac:dyDescent="0.3">
      <c r="A154" s="58"/>
      <c r="B154" s="58"/>
      <c r="C154" s="58"/>
      <c r="D154" s="58"/>
      <c r="E154" s="58"/>
      <c r="F154" s="58"/>
      <c r="G154" s="59"/>
      <c r="H154" s="60"/>
      <c r="I154" s="60"/>
      <c r="J154" s="59"/>
      <c r="K154" s="61"/>
      <c r="M154" s="62"/>
      <c r="N154" s="62"/>
      <c r="O154" s="62"/>
      <c r="P154" s="62"/>
      <c r="Q154" s="62"/>
      <c r="R154" s="62"/>
      <c r="S154" s="62"/>
      <c r="T154" s="62"/>
      <c r="U154" s="62"/>
      <c r="V154" s="62"/>
      <c r="W154" s="62"/>
      <c r="X154" s="62"/>
      <c r="Y154" s="62"/>
      <c r="Z154" s="62"/>
      <c r="AA154" s="62"/>
      <c r="AB154" s="62"/>
      <c r="AC154" s="62"/>
      <c r="AD154" s="62"/>
      <c r="AE154" s="62"/>
      <c r="AF154" s="62"/>
      <c r="AG154" s="62"/>
      <c r="AH154" s="62"/>
      <c r="AI154" s="62"/>
      <c r="AJ154" s="62"/>
      <c r="AK154" s="62"/>
      <c r="AL154" s="62"/>
      <c r="AM154" s="62"/>
      <c r="AN154" s="62"/>
      <c r="AO154" s="62"/>
      <c r="AP154" s="62"/>
      <c r="AQ154" s="62"/>
      <c r="AR154" s="62"/>
      <c r="AS154" s="62"/>
      <c r="AT154" s="62"/>
      <c r="AU154" s="62"/>
      <c r="AV154" s="62"/>
      <c r="AW154" s="62"/>
      <c r="AX154" s="62"/>
    </row>
    <row r="155" spans="1:50" ht="14.25" customHeight="1" x14ac:dyDescent="0.3">
      <c r="A155" s="58"/>
      <c r="B155" s="58"/>
      <c r="C155" s="58"/>
      <c r="D155" s="58"/>
      <c r="E155" s="58"/>
      <c r="F155" s="58"/>
      <c r="G155" s="59"/>
      <c r="H155" s="60"/>
      <c r="I155" s="60"/>
      <c r="J155" s="59"/>
      <c r="K155" s="61"/>
      <c r="M155" s="62"/>
      <c r="N155" s="62"/>
      <c r="O155" s="62"/>
      <c r="P155" s="62"/>
      <c r="Q155" s="62"/>
      <c r="R155" s="62"/>
      <c r="S155" s="62"/>
      <c r="T155" s="62"/>
      <c r="U155" s="62"/>
      <c r="V155" s="62"/>
      <c r="W155" s="62"/>
      <c r="X155" s="62"/>
      <c r="Y155" s="62"/>
      <c r="Z155" s="62"/>
      <c r="AA155" s="62"/>
      <c r="AB155" s="62"/>
      <c r="AC155" s="62"/>
      <c r="AD155" s="62"/>
      <c r="AE155" s="62"/>
      <c r="AF155" s="62"/>
      <c r="AG155" s="62"/>
      <c r="AH155" s="62"/>
      <c r="AI155" s="62"/>
      <c r="AJ155" s="62"/>
      <c r="AK155" s="62"/>
      <c r="AL155" s="62"/>
      <c r="AM155" s="62"/>
      <c r="AN155" s="62"/>
      <c r="AO155" s="62"/>
      <c r="AP155" s="62"/>
      <c r="AQ155" s="62"/>
      <c r="AR155" s="62"/>
      <c r="AS155" s="62"/>
      <c r="AT155" s="62"/>
      <c r="AU155" s="62"/>
      <c r="AV155" s="62"/>
      <c r="AW155" s="62"/>
      <c r="AX155" s="62"/>
    </row>
    <row r="156" spans="1:50" ht="14.25" customHeight="1" x14ac:dyDescent="0.3">
      <c r="A156" s="58"/>
      <c r="B156" s="58"/>
      <c r="C156" s="58"/>
      <c r="D156" s="58"/>
      <c r="E156" s="58"/>
      <c r="F156" s="58"/>
      <c r="G156" s="59"/>
      <c r="H156" s="60"/>
      <c r="I156" s="60"/>
      <c r="J156" s="59"/>
      <c r="K156" s="61"/>
      <c r="M156" s="62"/>
      <c r="N156" s="62"/>
      <c r="O156" s="62"/>
      <c r="P156" s="62"/>
      <c r="Q156" s="62"/>
      <c r="R156" s="62"/>
      <c r="S156" s="62"/>
      <c r="T156" s="62"/>
      <c r="U156" s="62"/>
      <c r="V156" s="62"/>
      <c r="W156" s="62"/>
      <c r="X156" s="62"/>
      <c r="Y156" s="62"/>
      <c r="Z156" s="62"/>
      <c r="AA156" s="62"/>
      <c r="AB156" s="62"/>
      <c r="AC156" s="62"/>
      <c r="AD156" s="62"/>
      <c r="AE156" s="62"/>
      <c r="AF156" s="62"/>
      <c r="AG156" s="62"/>
      <c r="AH156" s="62"/>
      <c r="AI156" s="62"/>
      <c r="AJ156" s="62"/>
      <c r="AK156" s="62"/>
      <c r="AL156" s="62"/>
      <c r="AM156" s="62"/>
      <c r="AN156" s="62"/>
      <c r="AO156" s="62"/>
      <c r="AP156" s="62"/>
      <c r="AQ156" s="62"/>
      <c r="AR156" s="62"/>
      <c r="AS156" s="62"/>
      <c r="AT156" s="62"/>
      <c r="AU156" s="62"/>
      <c r="AV156" s="62"/>
      <c r="AW156" s="62"/>
      <c r="AX156" s="62"/>
    </row>
    <row r="157" spans="1:50" ht="14.25" customHeight="1" x14ac:dyDescent="0.3">
      <c r="A157" s="58"/>
      <c r="B157" s="58"/>
      <c r="C157" s="58"/>
      <c r="D157" s="58"/>
      <c r="E157" s="58"/>
      <c r="F157" s="58"/>
      <c r="G157" s="59"/>
      <c r="H157" s="60"/>
      <c r="I157" s="60"/>
      <c r="J157" s="59"/>
      <c r="K157" s="61"/>
      <c r="M157" s="62"/>
      <c r="N157" s="62"/>
      <c r="O157" s="62"/>
      <c r="P157" s="62"/>
      <c r="Q157" s="62"/>
      <c r="R157" s="62"/>
      <c r="S157" s="62"/>
      <c r="T157" s="62"/>
      <c r="U157" s="62"/>
      <c r="V157" s="62"/>
      <c r="W157" s="62"/>
      <c r="X157" s="62"/>
      <c r="Y157" s="62"/>
      <c r="Z157" s="62"/>
      <c r="AA157" s="62"/>
      <c r="AB157" s="62"/>
      <c r="AC157" s="62"/>
      <c r="AD157" s="62"/>
      <c r="AE157" s="62"/>
      <c r="AF157" s="62"/>
      <c r="AG157" s="62"/>
      <c r="AH157" s="62"/>
      <c r="AI157" s="62"/>
      <c r="AJ157" s="62"/>
      <c r="AK157" s="62"/>
      <c r="AL157" s="62"/>
      <c r="AM157" s="62"/>
      <c r="AN157" s="62"/>
      <c r="AO157" s="62"/>
      <c r="AP157" s="62"/>
      <c r="AQ157" s="62"/>
      <c r="AR157" s="62"/>
      <c r="AS157" s="62"/>
      <c r="AT157" s="62"/>
      <c r="AU157" s="62"/>
      <c r="AV157" s="62"/>
      <c r="AW157" s="62"/>
      <c r="AX157" s="62"/>
    </row>
    <row r="158" spans="1:50" ht="14.25" customHeight="1" x14ac:dyDescent="0.3">
      <c r="A158" s="58"/>
      <c r="B158" s="58"/>
      <c r="C158" s="58"/>
      <c r="D158" s="58"/>
      <c r="E158" s="58"/>
      <c r="F158" s="58"/>
      <c r="G158" s="59"/>
      <c r="H158" s="60"/>
      <c r="I158" s="60"/>
      <c r="J158" s="59"/>
      <c r="K158" s="61"/>
      <c r="M158" s="62"/>
      <c r="N158" s="62"/>
      <c r="O158" s="62"/>
      <c r="P158" s="62"/>
      <c r="Q158" s="62"/>
      <c r="R158" s="62"/>
      <c r="S158" s="62"/>
      <c r="T158" s="62"/>
      <c r="U158" s="62"/>
      <c r="V158" s="62"/>
      <c r="W158" s="62"/>
      <c r="X158" s="62"/>
      <c r="Y158" s="62"/>
      <c r="Z158" s="62"/>
      <c r="AA158" s="62"/>
      <c r="AB158" s="62"/>
      <c r="AC158" s="62"/>
      <c r="AD158" s="62"/>
      <c r="AE158" s="62"/>
      <c r="AF158" s="62"/>
      <c r="AG158" s="62"/>
      <c r="AH158" s="62"/>
      <c r="AI158" s="62"/>
      <c r="AJ158" s="62"/>
      <c r="AK158" s="62"/>
      <c r="AL158" s="62"/>
      <c r="AM158" s="62"/>
      <c r="AN158" s="62"/>
      <c r="AO158" s="62"/>
      <c r="AP158" s="62"/>
      <c r="AQ158" s="62"/>
      <c r="AR158" s="62"/>
      <c r="AS158" s="62"/>
      <c r="AT158" s="62"/>
      <c r="AU158" s="62"/>
      <c r="AV158" s="62"/>
      <c r="AW158" s="62"/>
      <c r="AX158" s="62"/>
    </row>
    <row r="159" spans="1:50" ht="14.25" customHeight="1" x14ac:dyDescent="0.3">
      <c r="A159" s="58"/>
      <c r="B159" s="58"/>
      <c r="C159" s="58"/>
      <c r="D159" s="58"/>
      <c r="E159" s="58"/>
      <c r="F159" s="58"/>
      <c r="G159" s="59"/>
      <c r="H159" s="60"/>
      <c r="I159" s="60"/>
      <c r="J159" s="59"/>
      <c r="K159" s="61"/>
      <c r="M159" s="62"/>
      <c r="N159" s="62"/>
      <c r="O159" s="62"/>
      <c r="P159" s="62"/>
      <c r="Q159" s="62"/>
      <c r="R159" s="62"/>
      <c r="S159" s="62"/>
      <c r="T159" s="62"/>
      <c r="U159" s="62"/>
      <c r="V159" s="62"/>
      <c r="W159" s="62"/>
      <c r="X159" s="62"/>
      <c r="Y159" s="62"/>
      <c r="Z159" s="62"/>
      <c r="AA159" s="62"/>
      <c r="AB159" s="62"/>
      <c r="AC159" s="62"/>
      <c r="AD159" s="62"/>
      <c r="AE159" s="62"/>
      <c r="AF159" s="62"/>
      <c r="AG159" s="62"/>
      <c r="AH159" s="62"/>
      <c r="AI159" s="62"/>
      <c r="AJ159" s="62"/>
      <c r="AK159" s="62"/>
      <c r="AL159" s="62"/>
      <c r="AM159" s="62"/>
      <c r="AN159" s="62"/>
      <c r="AO159" s="62"/>
      <c r="AP159" s="62"/>
      <c r="AQ159" s="62"/>
      <c r="AR159" s="62"/>
      <c r="AS159" s="62"/>
      <c r="AT159" s="62"/>
      <c r="AU159" s="62"/>
      <c r="AV159" s="62"/>
      <c r="AW159" s="62"/>
      <c r="AX159" s="62"/>
    </row>
    <row r="160" spans="1:50" ht="14.25" customHeight="1" x14ac:dyDescent="0.3">
      <c r="A160" s="58"/>
      <c r="B160" s="58"/>
      <c r="C160" s="58"/>
      <c r="D160" s="58"/>
      <c r="E160" s="58"/>
      <c r="F160" s="58"/>
      <c r="G160" s="59"/>
      <c r="H160" s="60"/>
      <c r="I160" s="60"/>
      <c r="J160" s="59"/>
      <c r="K160" s="61"/>
      <c r="M160" s="62"/>
      <c r="N160" s="62"/>
      <c r="O160" s="62"/>
      <c r="P160" s="62"/>
      <c r="Q160" s="62"/>
      <c r="R160" s="62"/>
      <c r="S160" s="62"/>
      <c r="T160" s="62"/>
      <c r="U160" s="62"/>
      <c r="V160" s="62"/>
      <c r="W160" s="62"/>
      <c r="X160" s="62"/>
      <c r="Y160" s="62"/>
      <c r="Z160" s="62"/>
      <c r="AA160" s="62"/>
      <c r="AB160" s="62"/>
      <c r="AC160" s="62"/>
      <c r="AD160" s="62"/>
      <c r="AE160" s="62"/>
      <c r="AF160" s="62"/>
      <c r="AG160" s="62"/>
      <c r="AH160" s="62"/>
      <c r="AI160" s="62"/>
      <c r="AJ160" s="62"/>
      <c r="AK160" s="62"/>
      <c r="AL160" s="62"/>
      <c r="AM160" s="62"/>
      <c r="AN160" s="62"/>
      <c r="AO160" s="62"/>
      <c r="AP160" s="62"/>
      <c r="AQ160" s="62"/>
      <c r="AR160" s="62"/>
      <c r="AS160" s="62"/>
      <c r="AT160" s="62"/>
      <c r="AU160" s="62"/>
      <c r="AV160" s="62"/>
      <c r="AW160" s="62"/>
      <c r="AX160" s="62"/>
    </row>
    <row r="161" spans="1:50" ht="14.25" customHeight="1" x14ac:dyDescent="0.3">
      <c r="A161" s="58"/>
      <c r="B161" s="58"/>
      <c r="C161" s="58"/>
      <c r="D161" s="58"/>
      <c r="E161" s="58"/>
      <c r="F161" s="58"/>
      <c r="G161" s="59"/>
      <c r="H161" s="60"/>
      <c r="I161" s="60"/>
      <c r="J161" s="59"/>
      <c r="K161" s="61"/>
      <c r="M161" s="62"/>
      <c r="N161" s="62"/>
      <c r="O161" s="62"/>
      <c r="P161" s="62"/>
      <c r="Q161" s="62"/>
      <c r="R161" s="62"/>
      <c r="S161" s="62"/>
      <c r="T161" s="62"/>
      <c r="U161" s="62"/>
      <c r="V161" s="62"/>
      <c r="W161" s="62"/>
      <c r="X161" s="62"/>
      <c r="Y161" s="62"/>
      <c r="Z161" s="62"/>
      <c r="AA161" s="62"/>
      <c r="AB161" s="62"/>
      <c r="AC161" s="62"/>
      <c r="AD161" s="62"/>
      <c r="AE161" s="62"/>
      <c r="AF161" s="62"/>
      <c r="AG161" s="62"/>
      <c r="AH161" s="62"/>
      <c r="AI161" s="62"/>
      <c r="AJ161" s="62"/>
      <c r="AK161" s="62"/>
      <c r="AL161" s="62"/>
      <c r="AM161" s="62"/>
      <c r="AN161" s="62"/>
      <c r="AO161" s="62"/>
      <c r="AP161" s="62"/>
      <c r="AQ161" s="62"/>
      <c r="AR161" s="62"/>
      <c r="AS161" s="62"/>
      <c r="AT161" s="62"/>
      <c r="AU161" s="62"/>
      <c r="AV161" s="62"/>
      <c r="AW161" s="62"/>
      <c r="AX161" s="62"/>
    </row>
    <row r="162" spans="1:50" ht="14.25" customHeight="1" x14ac:dyDescent="0.3">
      <c r="A162" s="58"/>
      <c r="B162" s="58"/>
      <c r="C162" s="58"/>
      <c r="D162" s="58"/>
      <c r="E162" s="58"/>
      <c r="F162" s="58"/>
      <c r="G162" s="59"/>
      <c r="H162" s="60"/>
      <c r="I162" s="60"/>
      <c r="J162" s="59"/>
      <c r="K162" s="61"/>
      <c r="M162" s="62"/>
      <c r="N162" s="62"/>
      <c r="O162" s="62"/>
      <c r="P162" s="62"/>
      <c r="Q162" s="62"/>
      <c r="R162" s="62"/>
      <c r="S162" s="62"/>
      <c r="T162" s="62"/>
      <c r="U162" s="62"/>
      <c r="V162" s="62"/>
      <c r="W162" s="62"/>
      <c r="X162" s="62"/>
      <c r="Y162" s="62"/>
      <c r="Z162" s="62"/>
      <c r="AA162" s="62"/>
      <c r="AB162" s="62"/>
      <c r="AC162" s="62"/>
      <c r="AD162" s="62"/>
      <c r="AE162" s="62"/>
      <c r="AF162" s="62"/>
      <c r="AG162" s="62"/>
      <c r="AH162" s="62"/>
      <c r="AI162" s="62"/>
      <c r="AJ162" s="62"/>
      <c r="AK162" s="62"/>
      <c r="AL162" s="62"/>
      <c r="AM162" s="62"/>
      <c r="AN162" s="62"/>
      <c r="AO162" s="62"/>
      <c r="AP162" s="62"/>
      <c r="AQ162" s="62"/>
      <c r="AR162" s="62"/>
      <c r="AS162" s="62"/>
      <c r="AT162" s="62"/>
      <c r="AU162" s="62"/>
      <c r="AV162" s="62"/>
      <c r="AW162" s="62"/>
      <c r="AX162" s="62"/>
    </row>
    <row r="163" spans="1:50" ht="14.25" customHeight="1" x14ac:dyDescent="0.3">
      <c r="A163" s="58"/>
      <c r="B163" s="58"/>
      <c r="C163" s="58"/>
      <c r="D163" s="58"/>
      <c r="E163" s="58"/>
      <c r="F163" s="58"/>
      <c r="G163" s="59"/>
      <c r="H163" s="60"/>
      <c r="I163" s="60"/>
      <c r="J163" s="59"/>
      <c r="K163" s="61"/>
      <c r="M163" s="62"/>
      <c r="N163" s="62"/>
      <c r="O163" s="62"/>
      <c r="P163" s="62"/>
      <c r="Q163" s="62"/>
      <c r="R163" s="62"/>
      <c r="S163" s="62"/>
      <c r="T163" s="62"/>
      <c r="U163" s="62"/>
      <c r="V163" s="62"/>
      <c r="W163" s="62"/>
      <c r="X163" s="62"/>
      <c r="Y163" s="62"/>
      <c r="Z163" s="62"/>
      <c r="AA163" s="62"/>
      <c r="AB163" s="62"/>
      <c r="AC163" s="62"/>
      <c r="AD163" s="62"/>
      <c r="AE163" s="62"/>
      <c r="AF163" s="62"/>
      <c r="AG163" s="62"/>
      <c r="AH163" s="62"/>
      <c r="AI163" s="62"/>
      <c r="AJ163" s="62"/>
      <c r="AK163" s="62"/>
      <c r="AL163" s="62"/>
      <c r="AM163" s="62"/>
      <c r="AN163" s="62"/>
      <c r="AO163" s="62"/>
      <c r="AP163" s="62"/>
      <c r="AQ163" s="62"/>
      <c r="AR163" s="62"/>
      <c r="AS163" s="62"/>
      <c r="AT163" s="62"/>
      <c r="AU163" s="62"/>
      <c r="AV163" s="62"/>
      <c r="AW163" s="62"/>
      <c r="AX163" s="62"/>
    </row>
    <row r="164" spans="1:50" ht="14.25" customHeight="1" x14ac:dyDescent="0.3">
      <c r="A164" s="58"/>
      <c r="B164" s="58"/>
      <c r="C164" s="58"/>
      <c r="D164" s="58"/>
      <c r="E164" s="58"/>
      <c r="F164" s="58"/>
      <c r="G164" s="59"/>
      <c r="H164" s="60"/>
      <c r="I164" s="60"/>
      <c r="J164" s="59"/>
      <c r="K164" s="61"/>
      <c r="M164" s="62"/>
      <c r="N164" s="62"/>
      <c r="O164" s="62"/>
      <c r="P164" s="62"/>
      <c r="Q164" s="62"/>
      <c r="R164" s="62"/>
      <c r="S164" s="62"/>
      <c r="T164" s="62"/>
      <c r="U164" s="62"/>
      <c r="V164" s="62"/>
      <c r="W164" s="62"/>
      <c r="X164" s="62"/>
      <c r="Y164" s="62"/>
      <c r="Z164" s="62"/>
      <c r="AA164" s="62"/>
      <c r="AB164" s="62"/>
      <c r="AC164" s="62"/>
      <c r="AD164" s="62"/>
      <c r="AE164" s="62"/>
      <c r="AF164" s="62"/>
      <c r="AG164" s="62"/>
      <c r="AH164" s="62"/>
      <c r="AI164" s="62"/>
      <c r="AJ164" s="62"/>
      <c r="AK164" s="62"/>
      <c r="AL164" s="62"/>
      <c r="AM164" s="62"/>
      <c r="AN164" s="62"/>
      <c r="AO164" s="62"/>
      <c r="AP164" s="62"/>
      <c r="AQ164" s="62"/>
      <c r="AR164" s="62"/>
      <c r="AS164" s="62"/>
      <c r="AT164" s="62"/>
      <c r="AU164" s="62"/>
      <c r="AV164" s="62"/>
      <c r="AW164" s="62"/>
      <c r="AX164" s="62"/>
    </row>
    <row r="165" spans="1:50" ht="14.25" customHeight="1" x14ac:dyDescent="0.3">
      <c r="A165" s="58"/>
      <c r="B165" s="58"/>
      <c r="C165" s="58"/>
      <c r="D165" s="58"/>
      <c r="E165" s="58"/>
      <c r="F165" s="58"/>
      <c r="G165" s="59"/>
      <c r="H165" s="60"/>
      <c r="I165" s="60"/>
      <c r="J165" s="59"/>
      <c r="K165" s="61"/>
      <c r="M165" s="62"/>
      <c r="N165" s="62"/>
      <c r="O165" s="62"/>
      <c r="P165" s="62"/>
      <c r="Q165" s="62"/>
      <c r="R165" s="62"/>
      <c r="S165" s="62"/>
      <c r="T165" s="62"/>
      <c r="U165" s="62"/>
      <c r="V165" s="62"/>
      <c r="W165" s="62"/>
      <c r="X165" s="62"/>
      <c r="Y165" s="62"/>
      <c r="Z165" s="62"/>
      <c r="AA165" s="62"/>
      <c r="AB165" s="62"/>
      <c r="AC165" s="62"/>
      <c r="AD165" s="62"/>
      <c r="AE165" s="62"/>
      <c r="AF165" s="62"/>
      <c r="AG165" s="62"/>
      <c r="AH165" s="62"/>
      <c r="AI165" s="62"/>
      <c r="AJ165" s="62"/>
      <c r="AK165" s="62"/>
      <c r="AL165" s="62"/>
      <c r="AM165" s="62"/>
      <c r="AN165" s="62"/>
      <c r="AO165" s="62"/>
      <c r="AP165" s="62"/>
      <c r="AQ165" s="62"/>
      <c r="AR165" s="62"/>
      <c r="AS165" s="62"/>
      <c r="AT165" s="62"/>
      <c r="AU165" s="62"/>
      <c r="AV165" s="62"/>
      <c r="AW165" s="62"/>
      <c r="AX165" s="62"/>
    </row>
    <row r="166" spans="1:50" ht="14.25" customHeight="1" x14ac:dyDescent="0.3">
      <c r="A166" s="58"/>
      <c r="B166" s="58"/>
      <c r="C166" s="58"/>
      <c r="D166" s="58"/>
      <c r="E166" s="58"/>
      <c r="F166" s="58"/>
      <c r="G166" s="59"/>
      <c r="H166" s="60"/>
      <c r="I166" s="60"/>
      <c r="J166" s="59"/>
      <c r="K166" s="61"/>
      <c r="M166" s="62"/>
      <c r="N166" s="62"/>
      <c r="O166" s="62"/>
      <c r="P166" s="62"/>
      <c r="Q166" s="62"/>
      <c r="R166" s="62"/>
      <c r="S166" s="62"/>
      <c r="T166" s="62"/>
      <c r="U166" s="62"/>
      <c r="V166" s="62"/>
      <c r="W166" s="62"/>
      <c r="X166" s="62"/>
      <c r="Y166" s="62"/>
      <c r="Z166" s="62"/>
      <c r="AA166" s="62"/>
      <c r="AB166" s="62"/>
      <c r="AC166" s="62"/>
      <c r="AD166" s="62"/>
      <c r="AE166" s="62"/>
      <c r="AF166" s="62"/>
      <c r="AG166" s="62"/>
      <c r="AH166" s="62"/>
      <c r="AI166" s="62"/>
      <c r="AJ166" s="62"/>
      <c r="AK166" s="62"/>
      <c r="AL166" s="62"/>
      <c r="AM166" s="62"/>
      <c r="AN166" s="62"/>
      <c r="AO166" s="62"/>
      <c r="AP166" s="62"/>
      <c r="AQ166" s="62"/>
      <c r="AR166" s="62"/>
      <c r="AS166" s="62"/>
      <c r="AT166" s="62"/>
      <c r="AU166" s="62"/>
      <c r="AV166" s="62"/>
      <c r="AW166" s="62"/>
      <c r="AX166" s="62"/>
    </row>
    <row r="167" spans="1:50" ht="14.25" customHeight="1" x14ac:dyDescent="0.3">
      <c r="A167" s="58"/>
      <c r="B167" s="58"/>
      <c r="C167" s="58"/>
      <c r="D167" s="58"/>
      <c r="E167" s="58"/>
      <c r="F167" s="58"/>
      <c r="G167" s="59"/>
      <c r="H167" s="60"/>
      <c r="I167" s="60"/>
      <c r="J167" s="59"/>
      <c r="K167" s="61"/>
      <c r="M167" s="62"/>
      <c r="N167" s="62"/>
      <c r="O167" s="62"/>
      <c r="P167" s="62"/>
      <c r="Q167" s="62"/>
      <c r="R167" s="62"/>
      <c r="S167" s="62"/>
      <c r="T167" s="62"/>
      <c r="U167" s="62"/>
      <c r="V167" s="62"/>
      <c r="W167" s="62"/>
      <c r="X167" s="62"/>
      <c r="Y167" s="62"/>
      <c r="Z167" s="62"/>
      <c r="AA167" s="62"/>
      <c r="AB167" s="62"/>
      <c r="AC167" s="62"/>
      <c r="AD167" s="62"/>
      <c r="AE167" s="62"/>
      <c r="AF167" s="62"/>
      <c r="AG167" s="62"/>
      <c r="AH167" s="62"/>
      <c r="AI167" s="62"/>
      <c r="AJ167" s="62"/>
      <c r="AK167" s="62"/>
      <c r="AL167" s="62"/>
      <c r="AM167" s="62"/>
      <c r="AN167" s="62"/>
      <c r="AO167" s="62"/>
      <c r="AP167" s="62"/>
      <c r="AQ167" s="62"/>
      <c r="AR167" s="62"/>
      <c r="AS167" s="62"/>
      <c r="AT167" s="62"/>
      <c r="AU167" s="62"/>
      <c r="AV167" s="62"/>
      <c r="AW167" s="62"/>
      <c r="AX167" s="62"/>
    </row>
    <row r="168" spans="1:50" ht="14.25" customHeight="1" x14ac:dyDescent="0.3">
      <c r="A168" s="58"/>
      <c r="B168" s="58"/>
      <c r="C168" s="58"/>
      <c r="D168" s="58"/>
      <c r="E168" s="58"/>
      <c r="F168" s="58"/>
      <c r="G168" s="59"/>
      <c r="H168" s="60"/>
      <c r="I168" s="60"/>
      <c r="J168" s="59"/>
      <c r="K168" s="61"/>
      <c r="M168" s="62"/>
      <c r="N168" s="62"/>
      <c r="O168" s="62"/>
      <c r="P168" s="62"/>
      <c r="Q168" s="62"/>
      <c r="R168" s="62"/>
      <c r="S168" s="62"/>
      <c r="T168" s="62"/>
      <c r="U168" s="62"/>
      <c r="V168" s="62"/>
      <c r="W168" s="62"/>
      <c r="X168" s="62"/>
      <c r="Y168" s="62"/>
      <c r="Z168" s="62"/>
      <c r="AA168" s="62"/>
      <c r="AB168" s="62"/>
      <c r="AC168" s="62"/>
      <c r="AD168" s="62"/>
      <c r="AE168" s="62"/>
      <c r="AF168" s="62"/>
      <c r="AG168" s="62"/>
      <c r="AH168" s="62"/>
      <c r="AI168" s="62"/>
      <c r="AJ168" s="62"/>
      <c r="AK168" s="62"/>
      <c r="AL168" s="62"/>
      <c r="AM168" s="62"/>
      <c r="AN168" s="62"/>
      <c r="AO168" s="62"/>
      <c r="AP168" s="62"/>
      <c r="AQ168" s="62"/>
      <c r="AR168" s="62"/>
      <c r="AS168" s="62"/>
      <c r="AT168" s="62"/>
      <c r="AU168" s="62"/>
      <c r="AV168" s="62"/>
      <c r="AW168" s="62"/>
      <c r="AX168" s="62"/>
    </row>
    <row r="169" spans="1:50" ht="14.25" customHeight="1" x14ac:dyDescent="0.3">
      <c r="A169" s="58"/>
      <c r="B169" s="58"/>
      <c r="C169" s="58"/>
      <c r="D169" s="58"/>
      <c r="E169" s="58"/>
      <c r="F169" s="58"/>
      <c r="G169" s="59"/>
      <c r="H169" s="60"/>
      <c r="I169" s="60"/>
      <c r="J169" s="59"/>
      <c r="K169" s="61"/>
      <c r="M169" s="62"/>
      <c r="N169" s="62"/>
      <c r="O169" s="62"/>
      <c r="P169" s="62"/>
      <c r="Q169" s="62"/>
      <c r="R169" s="62"/>
      <c r="S169" s="62"/>
      <c r="T169" s="62"/>
      <c r="U169" s="62"/>
      <c r="V169" s="62"/>
      <c r="W169" s="62"/>
      <c r="X169" s="62"/>
      <c r="Y169" s="62"/>
      <c r="Z169" s="62"/>
      <c r="AA169" s="62"/>
      <c r="AB169" s="62"/>
      <c r="AC169" s="62"/>
      <c r="AD169" s="62"/>
      <c r="AE169" s="62"/>
      <c r="AF169" s="62"/>
      <c r="AG169" s="62"/>
      <c r="AH169" s="62"/>
      <c r="AI169" s="62"/>
      <c r="AJ169" s="62"/>
      <c r="AK169" s="62"/>
      <c r="AL169" s="62"/>
      <c r="AM169" s="62"/>
      <c r="AN169" s="62"/>
      <c r="AO169" s="62"/>
      <c r="AP169" s="62"/>
      <c r="AQ169" s="62"/>
      <c r="AR169" s="62"/>
      <c r="AS169" s="62"/>
      <c r="AT169" s="62"/>
      <c r="AU169" s="62"/>
      <c r="AV169" s="62"/>
      <c r="AW169" s="62"/>
      <c r="AX169" s="62"/>
    </row>
    <row r="170" spans="1:50" ht="14.25" customHeight="1" x14ac:dyDescent="0.3">
      <c r="A170" s="58"/>
      <c r="B170" s="58"/>
      <c r="C170" s="58"/>
      <c r="D170" s="58"/>
      <c r="E170" s="58"/>
      <c r="F170" s="58"/>
      <c r="G170" s="59"/>
      <c r="H170" s="60"/>
      <c r="I170" s="60"/>
      <c r="J170" s="59"/>
      <c r="K170" s="61"/>
      <c r="M170" s="62"/>
      <c r="N170" s="62"/>
      <c r="O170" s="62"/>
      <c r="P170" s="62"/>
      <c r="Q170" s="62"/>
      <c r="R170" s="62"/>
      <c r="S170" s="62"/>
      <c r="T170" s="62"/>
      <c r="U170" s="62"/>
      <c r="V170" s="62"/>
      <c r="W170" s="62"/>
      <c r="X170" s="62"/>
      <c r="Y170" s="62"/>
      <c r="Z170" s="62"/>
      <c r="AA170" s="62"/>
      <c r="AB170" s="62"/>
      <c r="AC170" s="62"/>
      <c r="AD170" s="62"/>
      <c r="AE170" s="62"/>
      <c r="AF170" s="62"/>
      <c r="AG170" s="62"/>
      <c r="AH170" s="62"/>
      <c r="AI170" s="62"/>
      <c r="AJ170" s="62"/>
      <c r="AK170" s="62"/>
      <c r="AL170" s="62"/>
      <c r="AM170" s="62"/>
      <c r="AN170" s="62"/>
      <c r="AO170" s="62"/>
      <c r="AP170" s="62"/>
      <c r="AQ170" s="62"/>
      <c r="AR170" s="62"/>
      <c r="AS170" s="62"/>
      <c r="AT170" s="62"/>
      <c r="AU170" s="62"/>
      <c r="AV170" s="62"/>
      <c r="AW170" s="62"/>
      <c r="AX170" s="62"/>
    </row>
    <row r="171" spans="1:50" ht="14.25" customHeight="1" x14ac:dyDescent="0.3">
      <c r="A171" s="58"/>
      <c r="B171" s="58"/>
      <c r="C171" s="58"/>
      <c r="D171" s="58"/>
      <c r="E171" s="58"/>
      <c r="F171" s="58"/>
      <c r="G171" s="59"/>
      <c r="H171" s="60"/>
      <c r="I171" s="60"/>
      <c r="J171" s="59"/>
      <c r="K171" s="61"/>
      <c r="M171" s="62"/>
      <c r="N171" s="62"/>
      <c r="O171" s="62"/>
      <c r="P171" s="62"/>
      <c r="Q171" s="62"/>
      <c r="R171" s="62"/>
      <c r="S171" s="62"/>
      <c r="T171" s="62"/>
      <c r="U171" s="62"/>
      <c r="V171" s="62"/>
      <c r="W171" s="62"/>
      <c r="X171" s="62"/>
      <c r="Y171" s="62"/>
      <c r="Z171" s="62"/>
      <c r="AA171" s="62"/>
      <c r="AB171" s="62"/>
      <c r="AC171" s="62"/>
      <c r="AD171" s="62"/>
      <c r="AE171" s="62"/>
      <c r="AF171" s="62"/>
      <c r="AG171" s="62"/>
      <c r="AH171" s="62"/>
      <c r="AI171" s="62"/>
      <c r="AJ171" s="62"/>
      <c r="AK171" s="62"/>
      <c r="AL171" s="62"/>
      <c r="AM171" s="62"/>
      <c r="AN171" s="62"/>
      <c r="AO171" s="62"/>
      <c r="AP171" s="62"/>
      <c r="AQ171" s="62"/>
      <c r="AR171" s="62"/>
      <c r="AS171" s="62"/>
      <c r="AT171" s="62"/>
      <c r="AU171" s="62"/>
      <c r="AV171" s="62"/>
      <c r="AW171" s="62"/>
      <c r="AX171" s="62"/>
    </row>
    <row r="172" spans="1:50" ht="14.25" customHeight="1" x14ac:dyDescent="0.3">
      <c r="A172" s="58"/>
      <c r="B172" s="58"/>
      <c r="C172" s="58"/>
      <c r="D172" s="58"/>
      <c r="E172" s="58"/>
      <c r="F172" s="58"/>
      <c r="G172" s="59"/>
      <c r="H172" s="60"/>
      <c r="I172" s="60"/>
      <c r="J172" s="59"/>
      <c r="K172" s="61"/>
      <c r="M172" s="62"/>
      <c r="N172" s="62"/>
      <c r="O172" s="62"/>
      <c r="P172" s="62"/>
      <c r="Q172" s="62"/>
      <c r="R172" s="62"/>
      <c r="S172" s="62"/>
      <c r="T172" s="62"/>
      <c r="U172" s="62"/>
      <c r="V172" s="62"/>
      <c r="W172" s="62"/>
      <c r="X172" s="62"/>
      <c r="Y172" s="62"/>
      <c r="Z172" s="62"/>
      <c r="AA172" s="62"/>
      <c r="AB172" s="62"/>
      <c r="AC172" s="62"/>
      <c r="AD172" s="62"/>
      <c r="AE172" s="62"/>
      <c r="AF172" s="62"/>
      <c r="AG172" s="62"/>
      <c r="AH172" s="62"/>
      <c r="AI172" s="62"/>
      <c r="AJ172" s="62"/>
      <c r="AK172" s="62"/>
      <c r="AL172" s="62"/>
      <c r="AM172" s="62"/>
      <c r="AN172" s="62"/>
      <c r="AO172" s="62"/>
      <c r="AP172" s="62"/>
      <c r="AQ172" s="62"/>
      <c r="AR172" s="62"/>
      <c r="AS172" s="62"/>
      <c r="AT172" s="62"/>
      <c r="AU172" s="62"/>
      <c r="AV172" s="62"/>
      <c r="AW172" s="62"/>
      <c r="AX172" s="62"/>
    </row>
    <row r="173" spans="1:50" ht="14.25" customHeight="1" x14ac:dyDescent="0.3">
      <c r="A173" s="58"/>
      <c r="B173" s="58"/>
      <c r="C173" s="58"/>
      <c r="D173" s="58"/>
      <c r="E173" s="58"/>
      <c r="F173" s="58"/>
      <c r="G173" s="59"/>
      <c r="H173" s="60"/>
      <c r="I173" s="60"/>
      <c r="J173" s="59"/>
      <c r="K173" s="61"/>
      <c r="M173" s="62"/>
      <c r="N173" s="62"/>
      <c r="O173" s="62"/>
      <c r="P173" s="62"/>
      <c r="Q173" s="62"/>
      <c r="R173" s="62"/>
      <c r="S173" s="62"/>
      <c r="T173" s="62"/>
      <c r="U173" s="62"/>
      <c r="V173" s="62"/>
      <c r="W173" s="62"/>
      <c r="X173" s="62"/>
      <c r="Y173" s="62"/>
      <c r="Z173" s="62"/>
      <c r="AA173" s="62"/>
      <c r="AB173" s="62"/>
      <c r="AC173" s="62"/>
      <c r="AD173" s="62"/>
      <c r="AE173" s="62"/>
      <c r="AF173" s="62"/>
      <c r="AG173" s="62"/>
      <c r="AH173" s="62"/>
      <c r="AI173" s="62"/>
      <c r="AJ173" s="62"/>
      <c r="AK173" s="62"/>
      <c r="AL173" s="62"/>
      <c r="AM173" s="62"/>
      <c r="AN173" s="62"/>
      <c r="AO173" s="62"/>
      <c r="AP173" s="62"/>
      <c r="AQ173" s="62"/>
      <c r="AR173" s="62"/>
      <c r="AS173" s="62"/>
      <c r="AT173" s="62"/>
      <c r="AU173" s="62"/>
      <c r="AV173" s="62"/>
      <c r="AW173" s="62"/>
      <c r="AX173" s="62"/>
    </row>
    <row r="174" spans="1:50" ht="14.25" customHeight="1" x14ac:dyDescent="0.3">
      <c r="A174" s="58"/>
      <c r="B174" s="58"/>
      <c r="C174" s="58"/>
      <c r="D174" s="58"/>
      <c r="E174" s="58"/>
      <c r="F174" s="58"/>
      <c r="G174" s="59"/>
      <c r="H174" s="60"/>
      <c r="I174" s="60"/>
      <c r="J174" s="59"/>
      <c r="K174" s="61"/>
      <c r="M174" s="62"/>
      <c r="N174" s="62"/>
      <c r="O174" s="62"/>
      <c r="P174" s="62"/>
      <c r="Q174" s="62"/>
      <c r="R174" s="62"/>
      <c r="S174" s="62"/>
      <c r="T174" s="62"/>
      <c r="U174" s="62"/>
      <c r="V174" s="62"/>
      <c r="W174" s="62"/>
      <c r="X174" s="62"/>
      <c r="Y174" s="62"/>
      <c r="Z174" s="62"/>
      <c r="AA174" s="62"/>
      <c r="AB174" s="62"/>
      <c r="AC174" s="62"/>
      <c r="AD174" s="62"/>
      <c r="AE174" s="62"/>
      <c r="AF174" s="62"/>
      <c r="AG174" s="62"/>
      <c r="AH174" s="62"/>
      <c r="AI174" s="62"/>
      <c r="AJ174" s="62"/>
      <c r="AK174" s="62"/>
      <c r="AL174" s="62"/>
      <c r="AM174" s="62"/>
      <c r="AN174" s="62"/>
      <c r="AO174" s="62"/>
      <c r="AP174" s="62"/>
      <c r="AQ174" s="62"/>
      <c r="AR174" s="62"/>
      <c r="AS174" s="62"/>
      <c r="AT174" s="62"/>
      <c r="AU174" s="62"/>
      <c r="AV174" s="62"/>
      <c r="AW174" s="62"/>
      <c r="AX174" s="62"/>
    </row>
    <row r="175" spans="1:50" ht="14.25" customHeight="1" x14ac:dyDescent="0.3">
      <c r="A175" s="58"/>
      <c r="B175" s="58"/>
      <c r="C175" s="58"/>
      <c r="D175" s="58"/>
      <c r="E175" s="58"/>
      <c r="F175" s="58"/>
      <c r="G175" s="59"/>
      <c r="H175" s="60"/>
      <c r="I175" s="60"/>
      <c r="J175" s="59"/>
      <c r="K175" s="61"/>
      <c r="M175" s="62"/>
      <c r="N175" s="62"/>
      <c r="O175" s="62"/>
      <c r="P175" s="62"/>
      <c r="Q175" s="62"/>
      <c r="R175" s="62"/>
      <c r="S175" s="62"/>
      <c r="T175" s="62"/>
      <c r="U175" s="62"/>
      <c r="V175" s="62"/>
      <c r="W175" s="62"/>
      <c r="X175" s="62"/>
      <c r="Y175" s="62"/>
      <c r="Z175" s="62"/>
      <c r="AA175" s="62"/>
      <c r="AB175" s="62"/>
      <c r="AC175" s="62"/>
      <c r="AD175" s="62"/>
      <c r="AE175" s="62"/>
      <c r="AF175" s="62"/>
      <c r="AG175" s="62"/>
      <c r="AH175" s="62"/>
      <c r="AI175" s="62"/>
      <c r="AJ175" s="62"/>
      <c r="AK175" s="62"/>
      <c r="AL175" s="62"/>
      <c r="AM175" s="62"/>
      <c r="AN175" s="62"/>
      <c r="AO175" s="62"/>
      <c r="AP175" s="62"/>
      <c r="AQ175" s="62"/>
      <c r="AR175" s="62"/>
      <c r="AS175" s="62"/>
      <c r="AT175" s="62"/>
      <c r="AU175" s="62"/>
      <c r="AV175" s="62"/>
      <c r="AW175" s="62"/>
      <c r="AX175" s="62"/>
    </row>
    <row r="176" spans="1:50" ht="14.25" customHeight="1" x14ac:dyDescent="0.3">
      <c r="A176" s="58"/>
      <c r="B176" s="58"/>
      <c r="C176" s="58"/>
      <c r="D176" s="58"/>
      <c r="E176" s="58"/>
      <c r="F176" s="58"/>
      <c r="G176" s="59"/>
      <c r="H176" s="60"/>
      <c r="I176" s="60"/>
      <c r="J176" s="59"/>
      <c r="K176" s="61"/>
      <c r="M176" s="62"/>
      <c r="N176" s="62"/>
      <c r="O176" s="62"/>
      <c r="P176" s="62"/>
      <c r="Q176" s="62"/>
      <c r="R176" s="62"/>
      <c r="S176" s="62"/>
      <c r="T176" s="62"/>
      <c r="U176" s="62"/>
      <c r="V176" s="62"/>
      <c r="W176" s="62"/>
      <c r="X176" s="62"/>
      <c r="Y176" s="62"/>
      <c r="Z176" s="62"/>
      <c r="AA176" s="62"/>
      <c r="AB176" s="62"/>
      <c r="AC176" s="62"/>
      <c r="AD176" s="62"/>
      <c r="AE176" s="62"/>
      <c r="AF176" s="62"/>
      <c r="AG176" s="62"/>
      <c r="AH176" s="62"/>
      <c r="AI176" s="62"/>
      <c r="AJ176" s="62"/>
      <c r="AK176" s="62"/>
      <c r="AL176" s="62"/>
      <c r="AM176" s="62"/>
      <c r="AN176" s="62"/>
      <c r="AO176" s="62"/>
      <c r="AP176" s="62"/>
      <c r="AQ176" s="62"/>
      <c r="AR176" s="62"/>
      <c r="AS176" s="62"/>
      <c r="AT176" s="62"/>
      <c r="AU176" s="62"/>
      <c r="AV176" s="62"/>
      <c r="AW176" s="62"/>
      <c r="AX176" s="62"/>
    </row>
    <row r="177" spans="1:50" ht="14.25" customHeight="1" x14ac:dyDescent="0.3">
      <c r="A177" s="58"/>
      <c r="B177" s="58"/>
      <c r="C177" s="58"/>
      <c r="D177" s="58"/>
      <c r="E177" s="58"/>
      <c r="F177" s="58"/>
      <c r="G177" s="59"/>
      <c r="H177" s="60"/>
      <c r="I177" s="60"/>
      <c r="J177" s="59"/>
      <c r="K177" s="61"/>
      <c r="M177" s="62"/>
      <c r="N177" s="62"/>
      <c r="O177" s="62"/>
      <c r="P177" s="62"/>
      <c r="Q177" s="62"/>
      <c r="R177" s="62"/>
      <c r="S177" s="62"/>
      <c r="T177" s="62"/>
      <c r="U177" s="62"/>
      <c r="V177" s="62"/>
      <c r="W177" s="62"/>
      <c r="X177" s="62"/>
      <c r="Y177" s="62"/>
      <c r="Z177" s="62"/>
      <c r="AA177" s="62"/>
      <c r="AB177" s="62"/>
      <c r="AC177" s="62"/>
      <c r="AD177" s="62"/>
      <c r="AE177" s="62"/>
      <c r="AF177" s="62"/>
      <c r="AG177" s="62"/>
      <c r="AH177" s="62"/>
      <c r="AI177" s="62"/>
      <c r="AJ177" s="62"/>
      <c r="AK177" s="62"/>
      <c r="AL177" s="62"/>
      <c r="AM177" s="62"/>
      <c r="AN177" s="62"/>
      <c r="AO177" s="62"/>
      <c r="AP177" s="62"/>
      <c r="AQ177" s="62"/>
      <c r="AR177" s="62"/>
      <c r="AS177" s="62"/>
      <c r="AT177" s="62"/>
      <c r="AU177" s="62"/>
      <c r="AV177" s="62"/>
      <c r="AW177" s="62"/>
      <c r="AX177" s="62"/>
    </row>
    <row r="178" spans="1:50" ht="14.25" customHeight="1" x14ac:dyDescent="0.3">
      <c r="A178" s="58"/>
      <c r="B178" s="58"/>
      <c r="C178" s="58"/>
      <c r="D178" s="58"/>
      <c r="E178" s="58"/>
      <c r="F178" s="58"/>
      <c r="G178" s="59"/>
      <c r="H178" s="60"/>
      <c r="I178" s="60"/>
      <c r="J178" s="59"/>
      <c r="K178" s="61"/>
      <c r="M178" s="62"/>
      <c r="N178" s="62"/>
      <c r="O178" s="62"/>
      <c r="P178" s="62"/>
      <c r="Q178" s="62"/>
      <c r="R178" s="62"/>
      <c r="S178" s="62"/>
      <c r="T178" s="62"/>
      <c r="U178" s="62"/>
      <c r="V178" s="62"/>
      <c r="W178" s="62"/>
      <c r="X178" s="62"/>
      <c r="Y178" s="62"/>
      <c r="Z178" s="62"/>
      <c r="AA178" s="62"/>
      <c r="AB178" s="62"/>
      <c r="AC178" s="62"/>
      <c r="AD178" s="62"/>
      <c r="AE178" s="62"/>
      <c r="AF178" s="62"/>
      <c r="AG178" s="62"/>
      <c r="AH178" s="62"/>
      <c r="AI178" s="62"/>
      <c r="AJ178" s="62"/>
      <c r="AK178" s="62"/>
      <c r="AL178" s="62"/>
      <c r="AM178" s="62"/>
      <c r="AN178" s="62"/>
      <c r="AO178" s="62"/>
      <c r="AP178" s="62"/>
      <c r="AQ178" s="62"/>
      <c r="AR178" s="62"/>
      <c r="AS178" s="62"/>
      <c r="AT178" s="62"/>
      <c r="AU178" s="62"/>
      <c r="AV178" s="62"/>
      <c r="AW178" s="62"/>
      <c r="AX178" s="62"/>
    </row>
    <row r="179" spans="1:50" ht="14.25" customHeight="1" x14ac:dyDescent="0.3">
      <c r="A179" s="58"/>
      <c r="B179" s="58"/>
      <c r="C179" s="58"/>
      <c r="D179" s="58"/>
      <c r="E179" s="58"/>
      <c r="F179" s="58"/>
      <c r="G179" s="59"/>
      <c r="H179" s="60"/>
      <c r="I179" s="60"/>
      <c r="J179" s="59"/>
      <c r="K179" s="61"/>
      <c r="M179" s="62"/>
      <c r="N179" s="62"/>
      <c r="O179" s="62"/>
      <c r="P179" s="62"/>
      <c r="Q179" s="62"/>
      <c r="R179" s="62"/>
      <c r="S179" s="62"/>
      <c r="T179" s="62"/>
      <c r="U179" s="62"/>
      <c r="V179" s="62"/>
      <c r="W179" s="62"/>
      <c r="X179" s="62"/>
      <c r="Y179" s="62"/>
      <c r="Z179" s="62"/>
      <c r="AA179" s="62"/>
      <c r="AB179" s="62"/>
      <c r="AC179" s="62"/>
      <c r="AD179" s="62"/>
      <c r="AE179" s="62"/>
      <c r="AF179" s="62"/>
      <c r="AG179" s="62"/>
      <c r="AH179" s="62"/>
      <c r="AI179" s="62"/>
      <c r="AJ179" s="62"/>
      <c r="AK179" s="62"/>
      <c r="AL179" s="62"/>
      <c r="AM179" s="62"/>
      <c r="AN179" s="62"/>
      <c r="AO179" s="62"/>
      <c r="AP179" s="62"/>
      <c r="AQ179" s="62"/>
      <c r="AR179" s="62"/>
      <c r="AS179" s="62"/>
      <c r="AT179" s="62"/>
      <c r="AU179" s="62"/>
      <c r="AV179" s="62"/>
      <c r="AW179" s="62"/>
      <c r="AX179" s="62"/>
    </row>
    <row r="180" spans="1:50" ht="14.25" customHeight="1" x14ac:dyDescent="0.3">
      <c r="A180" s="58"/>
      <c r="B180" s="58"/>
      <c r="C180" s="58"/>
      <c r="D180" s="58"/>
      <c r="E180" s="58"/>
      <c r="F180" s="58"/>
      <c r="G180" s="59"/>
      <c r="H180" s="60"/>
      <c r="I180" s="60"/>
      <c r="J180" s="59"/>
      <c r="K180" s="61"/>
      <c r="M180" s="62"/>
      <c r="N180" s="62"/>
      <c r="O180" s="62"/>
      <c r="P180" s="62"/>
      <c r="Q180" s="62"/>
      <c r="R180" s="62"/>
      <c r="S180" s="62"/>
      <c r="T180" s="62"/>
      <c r="U180" s="62"/>
      <c r="V180" s="62"/>
      <c r="W180" s="62"/>
      <c r="X180" s="62"/>
      <c r="Y180" s="62"/>
      <c r="Z180" s="62"/>
      <c r="AA180" s="62"/>
      <c r="AB180" s="62"/>
      <c r="AC180" s="62"/>
      <c r="AD180" s="62"/>
      <c r="AE180" s="62"/>
      <c r="AF180" s="62"/>
      <c r="AG180" s="62"/>
      <c r="AH180" s="62"/>
      <c r="AI180" s="62"/>
      <c r="AJ180" s="62"/>
      <c r="AK180" s="62"/>
      <c r="AL180" s="62"/>
      <c r="AM180" s="62"/>
      <c r="AN180" s="62"/>
      <c r="AO180" s="62"/>
      <c r="AP180" s="62"/>
      <c r="AQ180" s="62"/>
      <c r="AR180" s="62"/>
      <c r="AS180" s="62"/>
      <c r="AT180" s="62"/>
      <c r="AU180" s="62"/>
      <c r="AV180" s="62"/>
      <c r="AW180" s="62"/>
      <c r="AX180" s="62"/>
    </row>
    <row r="181" spans="1:50" ht="14.25" customHeight="1" x14ac:dyDescent="0.3">
      <c r="A181" s="58"/>
      <c r="B181" s="58"/>
      <c r="C181" s="58"/>
      <c r="D181" s="58"/>
      <c r="E181" s="58"/>
      <c r="F181" s="58"/>
      <c r="G181" s="59"/>
      <c r="H181" s="60"/>
      <c r="I181" s="60"/>
      <c r="J181" s="59"/>
      <c r="K181" s="61"/>
      <c r="M181" s="62"/>
      <c r="N181" s="62"/>
      <c r="O181" s="62"/>
      <c r="P181" s="62"/>
      <c r="Q181" s="62"/>
      <c r="R181" s="62"/>
      <c r="S181" s="62"/>
      <c r="T181" s="62"/>
      <c r="U181" s="62"/>
      <c r="V181" s="62"/>
      <c r="W181" s="62"/>
      <c r="X181" s="62"/>
      <c r="Y181" s="62"/>
      <c r="Z181" s="62"/>
      <c r="AA181" s="62"/>
      <c r="AB181" s="62"/>
      <c r="AC181" s="62"/>
      <c r="AD181" s="62"/>
      <c r="AE181" s="62"/>
      <c r="AF181" s="62"/>
      <c r="AG181" s="62"/>
      <c r="AH181" s="62"/>
      <c r="AI181" s="62"/>
      <c r="AJ181" s="62"/>
      <c r="AK181" s="62"/>
      <c r="AL181" s="62"/>
      <c r="AM181" s="62"/>
      <c r="AN181" s="62"/>
      <c r="AO181" s="62"/>
      <c r="AP181" s="62"/>
      <c r="AQ181" s="62"/>
      <c r="AR181" s="62"/>
      <c r="AS181" s="62"/>
      <c r="AT181" s="62"/>
      <c r="AU181" s="62"/>
      <c r="AV181" s="62"/>
      <c r="AW181" s="62"/>
      <c r="AX181" s="62"/>
    </row>
    <row r="182" spans="1:50" ht="14.25" customHeight="1" x14ac:dyDescent="0.3">
      <c r="A182" s="58"/>
      <c r="B182" s="58"/>
      <c r="C182" s="58"/>
      <c r="D182" s="58"/>
      <c r="E182" s="58"/>
      <c r="F182" s="58"/>
      <c r="G182" s="59"/>
      <c r="H182" s="60"/>
      <c r="I182" s="60"/>
      <c r="J182" s="59"/>
      <c r="K182" s="61"/>
      <c r="M182" s="62"/>
      <c r="N182" s="62"/>
      <c r="O182" s="62"/>
      <c r="P182" s="62"/>
      <c r="Q182" s="62"/>
      <c r="R182" s="62"/>
      <c r="S182" s="62"/>
      <c r="T182" s="62"/>
      <c r="U182" s="62"/>
      <c r="V182" s="62"/>
      <c r="W182" s="62"/>
      <c r="X182" s="62"/>
      <c r="Y182" s="62"/>
      <c r="Z182" s="62"/>
      <c r="AA182" s="62"/>
      <c r="AB182" s="62"/>
      <c r="AC182" s="62"/>
      <c r="AD182" s="62"/>
      <c r="AE182" s="62"/>
      <c r="AF182" s="62"/>
      <c r="AG182" s="62"/>
      <c r="AH182" s="62"/>
      <c r="AI182" s="62"/>
      <c r="AJ182" s="62"/>
      <c r="AK182" s="62"/>
      <c r="AL182" s="62"/>
      <c r="AM182" s="62"/>
      <c r="AN182" s="62"/>
      <c r="AO182" s="62"/>
      <c r="AP182" s="62"/>
      <c r="AQ182" s="62"/>
      <c r="AR182" s="62"/>
      <c r="AS182" s="62"/>
      <c r="AT182" s="62"/>
      <c r="AU182" s="62"/>
      <c r="AV182" s="62"/>
      <c r="AW182" s="62"/>
      <c r="AX182" s="62"/>
    </row>
    <row r="183" spans="1:50" ht="14.25" customHeight="1" x14ac:dyDescent="0.3">
      <c r="A183" s="58"/>
      <c r="B183" s="58"/>
      <c r="C183" s="58"/>
      <c r="D183" s="58"/>
      <c r="E183" s="58"/>
      <c r="F183" s="58"/>
      <c r="G183" s="59"/>
      <c r="H183" s="60"/>
      <c r="I183" s="60"/>
      <c r="J183" s="59"/>
      <c r="K183" s="61"/>
      <c r="M183" s="62"/>
      <c r="N183" s="62"/>
      <c r="O183" s="62"/>
      <c r="P183" s="62"/>
      <c r="Q183" s="62"/>
      <c r="R183" s="62"/>
      <c r="S183" s="62"/>
      <c r="T183" s="62"/>
      <c r="U183" s="62"/>
      <c r="V183" s="62"/>
      <c r="W183" s="62"/>
      <c r="X183" s="62"/>
      <c r="Y183" s="62"/>
      <c r="Z183" s="62"/>
      <c r="AA183" s="62"/>
      <c r="AB183" s="62"/>
      <c r="AC183" s="62"/>
      <c r="AD183" s="62"/>
      <c r="AE183" s="62"/>
      <c r="AF183" s="62"/>
      <c r="AG183" s="62"/>
      <c r="AH183" s="62"/>
      <c r="AI183" s="62"/>
      <c r="AJ183" s="62"/>
      <c r="AK183" s="62"/>
      <c r="AL183" s="62"/>
      <c r="AM183" s="62"/>
      <c r="AN183" s="62"/>
      <c r="AO183" s="62"/>
      <c r="AP183" s="62"/>
      <c r="AQ183" s="62"/>
      <c r="AR183" s="62"/>
      <c r="AS183" s="62"/>
      <c r="AT183" s="62"/>
      <c r="AU183" s="62"/>
      <c r="AV183" s="62"/>
      <c r="AW183" s="62"/>
      <c r="AX183" s="62"/>
    </row>
    <row r="184" spans="1:50" ht="14.25" customHeight="1" x14ac:dyDescent="0.3">
      <c r="A184" s="58"/>
      <c r="B184" s="58"/>
      <c r="C184" s="58"/>
      <c r="D184" s="58"/>
      <c r="E184" s="58"/>
      <c r="F184" s="58"/>
      <c r="G184" s="59"/>
      <c r="H184" s="60"/>
      <c r="I184" s="60"/>
      <c r="J184" s="59"/>
      <c r="K184" s="61"/>
      <c r="M184" s="62"/>
      <c r="N184" s="62"/>
      <c r="O184" s="62"/>
      <c r="P184" s="62"/>
      <c r="Q184" s="62"/>
      <c r="R184" s="62"/>
      <c r="S184" s="62"/>
      <c r="T184" s="62"/>
      <c r="U184" s="62"/>
      <c r="V184" s="62"/>
      <c r="W184" s="62"/>
      <c r="X184" s="62"/>
      <c r="Y184" s="62"/>
      <c r="Z184" s="62"/>
      <c r="AA184" s="62"/>
      <c r="AB184" s="62"/>
      <c r="AC184" s="62"/>
      <c r="AD184" s="62"/>
      <c r="AE184" s="62"/>
      <c r="AF184" s="62"/>
      <c r="AG184" s="62"/>
      <c r="AH184" s="62"/>
      <c r="AI184" s="62"/>
      <c r="AJ184" s="62"/>
      <c r="AK184" s="62"/>
      <c r="AL184" s="62"/>
      <c r="AM184" s="62"/>
      <c r="AN184" s="62"/>
      <c r="AO184" s="62"/>
      <c r="AP184" s="62"/>
      <c r="AQ184" s="62"/>
      <c r="AR184" s="62"/>
      <c r="AS184" s="62"/>
      <c r="AT184" s="62"/>
      <c r="AU184" s="62"/>
      <c r="AV184" s="62"/>
      <c r="AW184" s="62"/>
      <c r="AX184" s="62"/>
    </row>
    <row r="185" spans="1:50" ht="14.25" customHeight="1" x14ac:dyDescent="0.3">
      <c r="A185" s="58"/>
      <c r="B185" s="58"/>
      <c r="C185" s="58"/>
      <c r="D185" s="58"/>
      <c r="E185" s="58"/>
      <c r="F185" s="58"/>
      <c r="G185" s="59"/>
      <c r="H185" s="60"/>
      <c r="I185" s="60"/>
      <c r="J185" s="59"/>
      <c r="K185" s="61"/>
      <c r="M185" s="62"/>
      <c r="N185" s="62"/>
      <c r="O185" s="62"/>
      <c r="P185" s="62"/>
      <c r="Q185" s="62"/>
      <c r="R185" s="62"/>
      <c r="S185" s="62"/>
      <c r="T185" s="62"/>
      <c r="U185" s="62"/>
      <c r="V185" s="62"/>
      <c r="W185" s="62"/>
      <c r="X185" s="62"/>
      <c r="Y185" s="62"/>
      <c r="Z185" s="62"/>
      <c r="AA185" s="62"/>
      <c r="AB185" s="62"/>
      <c r="AC185" s="62"/>
      <c r="AD185" s="62"/>
      <c r="AE185" s="62"/>
      <c r="AF185" s="62"/>
      <c r="AG185" s="62"/>
      <c r="AH185" s="62"/>
      <c r="AI185" s="62"/>
      <c r="AJ185" s="62"/>
      <c r="AK185" s="62"/>
      <c r="AL185" s="62"/>
      <c r="AM185" s="62"/>
      <c r="AN185" s="62"/>
      <c r="AO185" s="62"/>
      <c r="AP185" s="62"/>
      <c r="AQ185" s="62"/>
      <c r="AR185" s="62"/>
      <c r="AS185" s="62"/>
      <c r="AT185" s="62"/>
      <c r="AU185" s="62"/>
      <c r="AV185" s="62"/>
      <c r="AW185" s="62"/>
      <c r="AX185" s="62"/>
    </row>
    <row r="186" spans="1:50" ht="14.25" customHeight="1" x14ac:dyDescent="0.3">
      <c r="A186" s="58"/>
      <c r="B186" s="58"/>
      <c r="C186" s="58"/>
      <c r="D186" s="58"/>
      <c r="E186" s="58"/>
      <c r="F186" s="58"/>
      <c r="G186" s="59"/>
      <c r="H186" s="60"/>
      <c r="I186" s="60"/>
      <c r="J186" s="59"/>
      <c r="K186" s="61"/>
      <c r="M186" s="62"/>
      <c r="N186" s="62"/>
      <c r="O186" s="62"/>
      <c r="P186" s="62"/>
      <c r="Q186" s="62"/>
      <c r="R186" s="62"/>
      <c r="S186" s="62"/>
      <c r="T186" s="62"/>
      <c r="U186" s="62"/>
      <c r="V186" s="62"/>
      <c r="W186" s="62"/>
      <c r="X186" s="62"/>
      <c r="Y186" s="62"/>
      <c r="Z186" s="62"/>
      <c r="AA186" s="62"/>
      <c r="AB186" s="62"/>
      <c r="AC186" s="62"/>
      <c r="AD186" s="62"/>
      <c r="AE186" s="62"/>
      <c r="AF186" s="62"/>
      <c r="AG186" s="62"/>
      <c r="AH186" s="62"/>
      <c r="AI186" s="62"/>
      <c r="AJ186" s="62"/>
      <c r="AK186" s="62"/>
      <c r="AL186" s="62"/>
      <c r="AM186" s="62"/>
      <c r="AN186" s="62"/>
      <c r="AO186" s="62"/>
      <c r="AP186" s="62"/>
      <c r="AQ186" s="62"/>
      <c r="AR186" s="62"/>
      <c r="AS186" s="62"/>
      <c r="AT186" s="62"/>
      <c r="AU186" s="62"/>
      <c r="AV186" s="62"/>
      <c r="AW186" s="62"/>
      <c r="AX186" s="62"/>
    </row>
    <row r="187" spans="1:50" ht="14.25" customHeight="1" x14ac:dyDescent="0.3">
      <c r="A187" s="58"/>
      <c r="B187" s="58"/>
      <c r="C187" s="58"/>
      <c r="D187" s="58"/>
      <c r="E187" s="58"/>
      <c r="F187" s="58"/>
      <c r="G187" s="59"/>
      <c r="H187" s="60"/>
      <c r="I187" s="60"/>
      <c r="J187" s="59"/>
      <c r="K187" s="61"/>
      <c r="M187" s="62"/>
      <c r="N187" s="62"/>
      <c r="O187" s="62"/>
      <c r="P187" s="62"/>
      <c r="Q187" s="62"/>
      <c r="R187" s="62"/>
      <c r="S187" s="62"/>
      <c r="T187" s="62"/>
      <c r="U187" s="62"/>
      <c r="V187" s="62"/>
      <c r="W187" s="62"/>
      <c r="X187" s="62"/>
      <c r="Y187" s="62"/>
      <c r="Z187" s="62"/>
      <c r="AA187" s="62"/>
      <c r="AB187" s="62"/>
      <c r="AC187" s="62"/>
      <c r="AD187" s="62"/>
      <c r="AE187" s="62"/>
      <c r="AF187" s="62"/>
      <c r="AG187" s="62"/>
      <c r="AH187" s="62"/>
      <c r="AI187" s="62"/>
      <c r="AJ187" s="62"/>
      <c r="AK187" s="62"/>
      <c r="AL187" s="62"/>
      <c r="AM187" s="62"/>
      <c r="AN187" s="62"/>
      <c r="AO187" s="62"/>
      <c r="AP187" s="62"/>
      <c r="AQ187" s="62"/>
      <c r="AR187" s="62"/>
      <c r="AS187" s="62"/>
      <c r="AT187" s="62"/>
      <c r="AU187" s="62"/>
      <c r="AV187" s="62"/>
      <c r="AW187" s="62"/>
      <c r="AX187" s="62"/>
    </row>
    <row r="188" spans="1:50" ht="14.25" customHeight="1" x14ac:dyDescent="0.3">
      <c r="A188" s="58"/>
      <c r="B188" s="58"/>
      <c r="C188" s="58"/>
      <c r="D188" s="58"/>
      <c r="E188" s="58"/>
      <c r="F188" s="58"/>
      <c r="G188" s="59"/>
      <c r="H188" s="60"/>
      <c r="I188" s="60"/>
      <c r="J188" s="59"/>
      <c r="K188" s="61"/>
      <c r="M188" s="62"/>
      <c r="N188" s="62"/>
      <c r="O188" s="62"/>
      <c r="P188" s="62"/>
      <c r="Q188" s="62"/>
      <c r="R188" s="62"/>
      <c r="S188" s="62"/>
      <c r="T188" s="62"/>
      <c r="U188" s="62"/>
      <c r="V188" s="62"/>
      <c r="W188" s="62"/>
      <c r="X188" s="62"/>
      <c r="Y188" s="62"/>
      <c r="Z188" s="62"/>
      <c r="AA188" s="62"/>
      <c r="AB188" s="62"/>
      <c r="AC188" s="62"/>
      <c r="AD188" s="62"/>
      <c r="AE188" s="62"/>
      <c r="AF188" s="62"/>
      <c r="AG188" s="62"/>
      <c r="AH188" s="62"/>
      <c r="AI188" s="62"/>
      <c r="AJ188" s="62"/>
      <c r="AK188" s="62"/>
      <c r="AL188" s="62"/>
      <c r="AM188" s="62"/>
      <c r="AN188" s="62"/>
      <c r="AO188" s="62"/>
      <c r="AP188" s="62"/>
      <c r="AQ188" s="62"/>
      <c r="AR188" s="62"/>
      <c r="AS188" s="62"/>
      <c r="AT188" s="62"/>
      <c r="AU188" s="62"/>
      <c r="AV188" s="62"/>
      <c r="AW188" s="62"/>
      <c r="AX188" s="62"/>
    </row>
    <row r="189" spans="1:50" ht="14.25" customHeight="1" x14ac:dyDescent="0.3">
      <c r="A189" s="58"/>
      <c r="B189" s="58"/>
      <c r="C189" s="58"/>
      <c r="D189" s="58"/>
      <c r="E189" s="58"/>
      <c r="F189" s="58"/>
      <c r="G189" s="59"/>
      <c r="H189" s="60"/>
      <c r="I189" s="60"/>
      <c r="J189" s="59"/>
      <c r="K189" s="61"/>
      <c r="M189" s="62"/>
      <c r="N189" s="62"/>
      <c r="O189" s="62"/>
      <c r="P189" s="62"/>
      <c r="Q189" s="62"/>
      <c r="R189" s="62"/>
      <c r="S189" s="62"/>
      <c r="T189" s="62"/>
      <c r="U189" s="62"/>
      <c r="V189" s="62"/>
      <c r="W189" s="62"/>
      <c r="X189" s="62"/>
      <c r="Y189" s="62"/>
      <c r="Z189" s="62"/>
      <c r="AA189" s="62"/>
      <c r="AB189" s="62"/>
      <c r="AC189" s="62"/>
      <c r="AD189" s="62"/>
      <c r="AE189" s="62"/>
      <c r="AF189" s="62"/>
      <c r="AG189" s="62"/>
      <c r="AH189" s="62"/>
      <c r="AI189" s="62"/>
      <c r="AJ189" s="62"/>
      <c r="AK189" s="62"/>
      <c r="AL189" s="62"/>
      <c r="AM189" s="62"/>
      <c r="AN189" s="62"/>
      <c r="AO189" s="62"/>
      <c r="AP189" s="62"/>
      <c r="AQ189" s="62"/>
      <c r="AR189" s="62"/>
      <c r="AS189" s="62"/>
      <c r="AT189" s="62"/>
      <c r="AU189" s="62"/>
      <c r="AV189" s="62"/>
      <c r="AW189" s="62"/>
      <c r="AX189" s="62"/>
    </row>
    <row r="190" spans="1:50" ht="14.25" customHeight="1" x14ac:dyDescent="0.3">
      <c r="A190" s="58"/>
      <c r="B190" s="58"/>
      <c r="C190" s="58"/>
      <c r="D190" s="58"/>
      <c r="E190" s="58"/>
      <c r="F190" s="58"/>
      <c r="G190" s="59"/>
      <c r="H190" s="60"/>
      <c r="I190" s="60"/>
      <c r="J190" s="59"/>
      <c r="K190" s="61"/>
      <c r="M190" s="62"/>
      <c r="N190" s="62"/>
      <c r="O190" s="62"/>
      <c r="P190" s="62"/>
      <c r="Q190" s="62"/>
      <c r="R190" s="62"/>
      <c r="S190" s="62"/>
      <c r="T190" s="62"/>
      <c r="U190" s="62"/>
      <c r="V190" s="62"/>
      <c r="W190" s="62"/>
      <c r="X190" s="62"/>
      <c r="Y190" s="62"/>
      <c r="Z190" s="62"/>
      <c r="AA190" s="62"/>
      <c r="AB190" s="62"/>
      <c r="AC190" s="62"/>
      <c r="AD190" s="62"/>
      <c r="AE190" s="62"/>
      <c r="AF190" s="62"/>
      <c r="AG190" s="62"/>
      <c r="AH190" s="62"/>
      <c r="AI190" s="62"/>
      <c r="AJ190" s="62"/>
      <c r="AK190" s="62"/>
      <c r="AL190" s="62"/>
      <c r="AM190" s="62"/>
      <c r="AN190" s="62"/>
      <c r="AO190" s="62"/>
      <c r="AP190" s="62"/>
      <c r="AQ190" s="62"/>
      <c r="AR190" s="62"/>
      <c r="AS190" s="62"/>
      <c r="AT190" s="62"/>
      <c r="AU190" s="62"/>
      <c r="AV190" s="62"/>
      <c r="AW190" s="62"/>
      <c r="AX190" s="62"/>
    </row>
    <row r="191" spans="1:50" ht="14.25" customHeight="1" x14ac:dyDescent="0.3">
      <c r="A191" s="58"/>
      <c r="B191" s="58"/>
      <c r="C191" s="58"/>
      <c r="D191" s="58"/>
      <c r="E191" s="58"/>
      <c r="F191" s="58"/>
      <c r="G191" s="59"/>
      <c r="H191" s="60"/>
      <c r="I191" s="60"/>
      <c r="J191" s="59"/>
      <c r="K191" s="61"/>
      <c r="M191" s="62"/>
      <c r="N191" s="62"/>
      <c r="O191" s="62"/>
      <c r="P191" s="62"/>
      <c r="Q191" s="62"/>
      <c r="R191" s="62"/>
      <c r="S191" s="62"/>
      <c r="T191" s="62"/>
      <c r="U191" s="62"/>
      <c r="V191" s="62"/>
      <c r="W191" s="62"/>
      <c r="X191" s="62"/>
      <c r="Y191" s="62"/>
      <c r="Z191" s="62"/>
      <c r="AA191" s="62"/>
      <c r="AB191" s="62"/>
      <c r="AC191" s="62"/>
      <c r="AD191" s="62"/>
      <c r="AE191" s="62"/>
      <c r="AF191" s="62"/>
      <c r="AG191" s="62"/>
      <c r="AH191" s="62"/>
      <c r="AI191" s="62"/>
      <c r="AJ191" s="62"/>
      <c r="AK191" s="62"/>
      <c r="AL191" s="62"/>
      <c r="AM191" s="62"/>
      <c r="AN191" s="62"/>
      <c r="AO191" s="62"/>
      <c r="AP191" s="62"/>
      <c r="AQ191" s="62"/>
      <c r="AR191" s="62"/>
      <c r="AS191" s="62"/>
      <c r="AT191" s="62"/>
      <c r="AU191" s="62"/>
      <c r="AV191" s="62"/>
      <c r="AW191" s="62"/>
      <c r="AX191" s="62"/>
    </row>
    <row r="192" spans="1:50" ht="14.25" customHeight="1" x14ac:dyDescent="0.3">
      <c r="A192" s="58"/>
      <c r="B192" s="58"/>
      <c r="C192" s="58"/>
      <c r="D192" s="58"/>
      <c r="E192" s="58"/>
      <c r="F192" s="58"/>
      <c r="G192" s="59"/>
      <c r="H192" s="60"/>
      <c r="I192" s="60"/>
      <c r="J192" s="59"/>
      <c r="K192" s="61"/>
      <c r="M192" s="62"/>
      <c r="N192" s="62"/>
      <c r="O192" s="62"/>
      <c r="P192" s="62"/>
      <c r="Q192" s="62"/>
      <c r="R192" s="62"/>
      <c r="S192" s="62"/>
      <c r="T192" s="62"/>
      <c r="U192" s="62"/>
      <c r="V192" s="62"/>
      <c r="W192" s="62"/>
      <c r="X192" s="62"/>
      <c r="Y192" s="62"/>
      <c r="Z192" s="62"/>
      <c r="AA192" s="62"/>
      <c r="AB192" s="62"/>
      <c r="AC192" s="62"/>
      <c r="AD192" s="62"/>
      <c r="AE192" s="62"/>
      <c r="AF192" s="62"/>
      <c r="AG192" s="62"/>
      <c r="AH192" s="62"/>
      <c r="AI192" s="62"/>
      <c r="AJ192" s="62"/>
      <c r="AK192" s="62"/>
      <c r="AL192" s="62"/>
      <c r="AM192" s="62"/>
      <c r="AN192" s="62"/>
      <c r="AO192" s="62"/>
      <c r="AP192" s="62"/>
      <c r="AQ192" s="62"/>
      <c r="AR192" s="62"/>
      <c r="AS192" s="62"/>
      <c r="AT192" s="62"/>
      <c r="AU192" s="62"/>
      <c r="AV192" s="62"/>
      <c r="AW192" s="62"/>
      <c r="AX192" s="62"/>
    </row>
    <row r="193" spans="1:50" ht="14.25" customHeight="1" x14ac:dyDescent="0.3">
      <c r="A193" s="58"/>
      <c r="B193" s="58"/>
      <c r="C193" s="58"/>
      <c r="D193" s="58"/>
      <c r="E193" s="58"/>
      <c r="F193" s="58"/>
      <c r="G193" s="59"/>
      <c r="H193" s="60"/>
      <c r="I193" s="60"/>
      <c r="J193" s="59"/>
      <c r="K193" s="61"/>
      <c r="M193" s="62"/>
      <c r="N193" s="62"/>
      <c r="O193" s="62"/>
      <c r="P193" s="62"/>
      <c r="Q193" s="62"/>
      <c r="R193" s="62"/>
      <c r="S193" s="62"/>
      <c r="T193" s="62"/>
      <c r="U193" s="62"/>
      <c r="V193" s="62"/>
      <c r="W193" s="62"/>
      <c r="X193" s="62"/>
      <c r="Y193" s="62"/>
      <c r="Z193" s="62"/>
      <c r="AA193" s="62"/>
      <c r="AB193" s="62"/>
      <c r="AC193" s="62"/>
      <c r="AD193" s="62"/>
      <c r="AE193" s="62"/>
      <c r="AF193" s="62"/>
      <c r="AG193" s="62"/>
      <c r="AH193" s="62"/>
      <c r="AI193" s="62"/>
      <c r="AJ193" s="62"/>
      <c r="AK193" s="62"/>
      <c r="AL193" s="62"/>
      <c r="AM193" s="62"/>
      <c r="AN193" s="62"/>
      <c r="AO193" s="62"/>
      <c r="AP193" s="62"/>
      <c r="AQ193" s="62"/>
      <c r="AR193" s="62"/>
      <c r="AS193" s="62"/>
      <c r="AT193" s="62"/>
      <c r="AU193" s="62"/>
      <c r="AV193" s="62"/>
      <c r="AW193" s="62"/>
      <c r="AX193" s="62"/>
    </row>
    <row r="194" spans="1:50" ht="14.25" customHeight="1" x14ac:dyDescent="0.3">
      <c r="A194" s="58"/>
      <c r="B194" s="58"/>
      <c r="C194" s="58"/>
      <c r="D194" s="58"/>
      <c r="E194" s="58"/>
      <c r="F194" s="58"/>
      <c r="G194" s="59"/>
      <c r="H194" s="60"/>
      <c r="I194" s="60"/>
      <c r="J194" s="59"/>
      <c r="K194" s="61"/>
      <c r="M194" s="62"/>
      <c r="N194" s="62"/>
      <c r="O194" s="62"/>
      <c r="P194" s="62"/>
      <c r="Q194" s="62"/>
      <c r="R194" s="62"/>
      <c r="S194" s="62"/>
      <c r="T194" s="62"/>
      <c r="U194" s="62"/>
      <c r="V194" s="62"/>
      <c r="W194" s="62"/>
      <c r="X194" s="62"/>
      <c r="Y194" s="62"/>
      <c r="Z194" s="62"/>
      <c r="AA194" s="62"/>
      <c r="AB194" s="62"/>
      <c r="AC194" s="62"/>
      <c r="AD194" s="62"/>
      <c r="AE194" s="62"/>
      <c r="AF194" s="62"/>
      <c r="AG194" s="62"/>
      <c r="AH194" s="62"/>
      <c r="AI194" s="62"/>
      <c r="AJ194" s="62"/>
      <c r="AK194" s="62"/>
      <c r="AL194" s="62"/>
      <c r="AM194" s="62"/>
      <c r="AN194" s="62"/>
      <c r="AO194" s="62"/>
      <c r="AP194" s="62"/>
      <c r="AQ194" s="62"/>
      <c r="AR194" s="62"/>
      <c r="AS194" s="62"/>
      <c r="AT194" s="62"/>
      <c r="AU194" s="62"/>
      <c r="AV194" s="62"/>
      <c r="AW194" s="62"/>
      <c r="AX194" s="62"/>
    </row>
    <row r="195" spans="1:50" ht="14.25" customHeight="1" x14ac:dyDescent="0.3">
      <c r="A195" s="58"/>
      <c r="B195" s="58"/>
      <c r="C195" s="58"/>
      <c r="D195" s="58"/>
      <c r="E195" s="58"/>
      <c r="F195" s="58"/>
      <c r="G195" s="59"/>
      <c r="H195" s="60"/>
      <c r="I195" s="60"/>
      <c r="J195" s="59"/>
      <c r="K195" s="61"/>
      <c r="M195" s="62"/>
      <c r="N195" s="62"/>
      <c r="O195" s="62"/>
      <c r="P195" s="62"/>
      <c r="Q195" s="62"/>
      <c r="R195" s="62"/>
      <c r="S195" s="62"/>
      <c r="T195" s="62"/>
      <c r="U195" s="62"/>
      <c r="V195" s="62"/>
      <c r="W195" s="62"/>
      <c r="X195" s="62"/>
      <c r="Y195" s="62"/>
      <c r="Z195" s="62"/>
      <c r="AA195" s="62"/>
      <c r="AB195" s="62"/>
      <c r="AC195" s="62"/>
      <c r="AD195" s="62"/>
      <c r="AE195" s="62"/>
      <c r="AF195" s="62"/>
      <c r="AG195" s="62"/>
      <c r="AH195" s="62"/>
      <c r="AI195" s="62"/>
      <c r="AJ195" s="62"/>
      <c r="AK195" s="62"/>
      <c r="AL195" s="62"/>
      <c r="AM195" s="62"/>
      <c r="AN195" s="62"/>
      <c r="AO195" s="62"/>
      <c r="AP195" s="62"/>
      <c r="AQ195" s="62"/>
      <c r="AR195" s="62"/>
      <c r="AS195" s="62"/>
      <c r="AT195" s="62"/>
      <c r="AU195" s="62"/>
      <c r="AV195" s="62"/>
      <c r="AW195" s="62"/>
      <c r="AX195" s="62"/>
    </row>
    <row r="196" spans="1:50" ht="14.25" customHeight="1" x14ac:dyDescent="0.3">
      <c r="A196" s="58"/>
      <c r="B196" s="58"/>
      <c r="C196" s="58"/>
      <c r="D196" s="58"/>
      <c r="E196" s="58"/>
      <c r="F196" s="58"/>
      <c r="G196" s="59"/>
      <c r="H196" s="60"/>
      <c r="I196" s="60"/>
      <c r="J196" s="59"/>
      <c r="K196" s="61"/>
      <c r="M196" s="62"/>
      <c r="N196" s="62"/>
      <c r="O196" s="62"/>
      <c r="P196" s="62"/>
      <c r="Q196" s="62"/>
      <c r="R196" s="62"/>
      <c r="S196" s="62"/>
      <c r="T196" s="62"/>
      <c r="U196" s="62"/>
      <c r="V196" s="62"/>
      <c r="W196" s="62"/>
      <c r="X196" s="62"/>
      <c r="Y196" s="62"/>
      <c r="Z196" s="62"/>
      <c r="AA196" s="62"/>
      <c r="AB196" s="62"/>
      <c r="AC196" s="62"/>
      <c r="AD196" s="62"/>
      <c r="AE196" s="62"/>
      <c r="AF196" s="62"/>
      <c r="AG196" s="62"/>
      <c r="AH196" s="62"/>
      <c r="AI196" s="62"/>
      <c r="AJ196" s="62"/>
      <c r="AK196" s="62"/>
      <c r="AL196" s="62"/>
      <c r="AM196" s="62"/>
      <c r="AN196" s="62"/>
      <c r="AO196" s="62"/>
      <c r="AP196" s="62"/>
      <c r="AQ196" s="62"/>
      <c r="AR196" s="62"/>
      <c r="AS196" s="62"/>
      <c r="AT196" s="62"/>
      <c r="AU196" s="62"/>
      <c r="AV196" s="62"/>
      <c r="AW196" s="62"/>
      <c r="AX196" s="62"/>
    </row>
    <row r="197" spans="1:50" ht="14.25" customHeight="1" x14ac:dyDescent="0.3">
      <c r="A197" s="58"/>
      <c r="B197" s="58"/>
      <c r="C197" s="58"/>
      <c r="D197" s="58"/>
      <c r="E197" s="58"/>
      <c r="F197" s="58"/>
      <c r="G197" s="59"/>
      <c r="H197" s="60"/>
      <c r="I197" s="60"/>
      <c r="J197" s="59"/>
      <c r="K197" s="61"/>
      <c r="M197" s="62"/>
      <c r="N197" s="62"/>
      <c r="O197" s="62"/>
      <c r="P197" s="62"/>
      <c r="Q197" s="62"/>
      <c r="R197" s="62"/>
      <c r="S197" s="62"/>
      <c r="T197" s="62"/>
      <c r="U197" s="62"/>
      <c r="V197" s="62"/>
      <c r="W197" s="62"/>
      <c r="X197" s="62"/>
      <c r="Y197" s="62"/>
      <c r="Z197" s="62"/>
      <c r="AA197" s="62"/>
      <c r="AB197" s="62"/>
      <c r="AC197" s="62"/>
      <c r="AD197" s="62"/>
      <c r="AE197" s="62"/>
      <c r="AF197" s="62"/>
      <c r="AG197" s="62"/>
      <c r="AH197" s="62"/>
      <c r="AI197" s="62"/>
      <c r="AJ197" s="62"/>
      <c r="AK197" s="62"/>
      <c r="AL197" s="62"/>
      <c r="AM197" s="62"/>
      <c r="AN197" s="62"/>
      <c r="AO197" s="62"/>
      <c r="AP197" s="62"/>
      <c r="AQ197" s="62"/>
      <c r="AR197" s="62"/>
      <c r="AS197" s="62"/>
      <c r="AT197" s="62"/>
      <c r="AU197" s="62"/>
      <c r="AV197" s="62"/>
      <c r="AW197" s="62"/>
      <c r="AX197" s="62"/>
    </row>
    <row r="198" spans="1:50" ht="14.25" customHeight="1" x14ac:dyDescent="0.3">
      <c r="A198" s="58"/>
      <c r="B198" s="58"/>
      <c r="C198" s="58"/>
      <c r="D198" s="58"/>
      <c r="E198" s="58"/>
      <c r="F198" s="58"/>
      <c r="G198" s="59"/>
      <c r="H198" s="60"/>
      <c r="I198" s="60"/>
      <c r="J198" s="59"/>
      <c r="K198" s="61"/>
      <c r="M198" s="62"/>
      <c r="N198" s="62"/>
      <c r="O198" s="62"/>
      <c r="P198" s="62"/>
      <c r="Q198" s="62"/>
      <c r="R198" s="62"/>
      <c r="S198" s="62"/>
      <c r="T198" s="62"/>
      <c r="U198" s="62"/>
      <c r="V198" s="62"/>
      <c r="W198" s="62"/>
      <c r="X198" s="62"/>
      <c r="Y198" s="62"/>
      <c r="Z198" s="62"/>
      <c r="AA198" s="62"/>
      <c r="AB198" s="62"/>
      <c r="AC198" s="62"/>
      <c r="AD198" s="62"/>
      <c r="AE198" s="62"/>
      <c r="AF198" s="62"/>
      <c r="AG198" s="62"/>
      <c r="AH198" s="62"/>
      <c r="AI198" s="62"/>
      <c r="AJ198" s="62"/>
      <c r="AK198" s="62"/>
      <c r="AL198" s="62"/>
      <c r="AM198" s="62"/>
      <c r="AN198" s="62"/>
      <c r="AO198" s="62"/>
      <c r="AP198" s="62"/>
      <c r="AQ198" s="62"/>
      <c r="AR198" s="62"/>
      <c r="AS198" s="62"/>
      <c r="AT198" s="62"/>
      <c r="AU198" s="62"/>
      <c r="AV198" s="62"/>
      <c r="AW198" s="62"/>
      <c r="AX198" s="62"/>
    </row>
    <row r="199" spans="1:50" ht="14.25" customHeight="1" x14ac:dyDescent="0.3">
      <c r="A199" s="58"/>
      <c r="B199" s="58"/>
      <c r="C199" s="58"/>
      <c r="D199" s="58"/>
      <c r="E199" s="58"/>
      <c r="F199" s="58"/>
      <c r="G199" s="59"/>
      <c r="H199" s="60"/>
      <c r="I199" s="60"/>
      <c r="J199" s="59"/>
      <c r="K199" s="61"/>
      <c r="M199" s="62"/>
      <c r="N199" s="62"/>
      <c r="O199" s="62"/>
      <c r="P199" s="62"/>
      <c r="Q199" s="62"/>
      <c r="R199" s="62"/>
      <c r="S199" s="62"/>
      <c r="T199" s="62"/>
      <c r="U199" s="62"/>
      <c r="V199" s="62"/>
      <c r="W199" s="62"/>
      <c r="X199" s="62"/>
      <c r="Y199" s="62"/>
      <c r="Z199" s="62"/>
      <c r="AA199" s="62"/>
      <c r="AB199" s="62"/>
      <c r="AC199" s="62"/>
      <c r="AD199" s="62"/>
      <c r="AE199" s="62"/>
      <c r="AF199" s="62"/>
      <c r="AG199" s="62"/>
      <c r="AH199" s="62"/>
      <c r="AI199" s="62"/>
      <c r="AJ199" s="62"/>
      <c r="AK199" s="62"/>
      <c r="AL199" s="62"/>
      <c r="AM199" s="62"/>
      <c r="AN199" s="62"/>
      <c r="AO199" s="62"/>
      <c r="AP199" s="62"/>
      <c r="AQ199" s="62"/>
      <c r="AR199" s="62"/>
      <c r="AS199" s="62"/>
      <c r="AT199" s="62"/>
      <c r="AU199" s="62"/>
      <c r="AV199" s="62"/>
      <c r="AW199" s="62"/>
      <c r="AX199" s="62"/>
    </row>
    <row r="200" spans="1:50" ht="14.25" customHeight="1" x14ac:dyDescent="0.3">
      <c r="A200" s="58"/>
      <c r="B200" s="58"/>
      <c r="C200" s="58"/>
      <c r="D200" s="58"/>
      <c r="E200" s="58"/>
      <c r="F200" s="58"/>
      <c r="G200" s="59"/>
      <c r="H200" s="60"/>
      <c r="I200" s="60"/>
      <c r="J200" s="59"/>
      <c r="K200" s="61"/>
      <c r="M200" s="62"/>
      <c r="N200" s="62"/>
      <c r="O200" s="62"/>
      <c r="P200" s="62"/>
      <c r="Q200" s="62"/>
      <c r="R200" s="62"/>
      <c r="S200" s="62"/>
      <c r="T200" s="62"/>
      <c r="U200" s="62"/>
      <c r="V200" s="62"/>
      <c r="W200" s="62"/>
      <c r="X200" s="62"/>
      <c r="Y200" s="62"/>
      <c r="Z200" s="62"/>
      <c r="AA200" s="62"/>
      <c r="AB200" s="62"/>
      <c r="AC200" s="62"/>
      <c r="AD200" s="62"/>
      <c r="AE200" s="62"/>
      <c r="AF200" s="62"/>
      <c r="AG200" s="62"/>
      <c r="AH200" s="62"/>
      <c r="AI200" s="62"/>
      <c r="AJ200" s="62"/>
      <c r="AK200" s="62"/>
      <c r="AL200" s="62"/>
      <c r="AM200" s="62"/>
      <c r="AN200" s="62"/>
      <c r="AO200" s="62"/>
      <c r="AP200" s="62"/>
      <c r="AQ200" s="62"/>
      <c r="AR200" s="62"/>
      <c r="AS200" s="62"/>
      <c r="AT200" s="62"/>
      <c r="AU200" s="62"/>
      <c r="AV200" s="62"/>
      <c r="AW200" s="62"/>
      <c r="AX200" s="62"/>
    </row>
    <row r="201" spans="1:50" ht="14.25" customHeight="1" x14ac:dyDescent="0.3">
      <c r="A201" s="58"/>
      <c r="B201" s="58"/>
      <c r="C201" s="58"/>
      <c r="D201" s="58"/>
      <c r="E201" s="58"/>
      <c r="F201" s="58"/>
      <c r="G201" s="59"/>
      <c r="H201" s="60"/>
      <c r="I201" s="60"/>
      <c r="J201" s="59"/>
      <c r="K201" s="61"/>
      <c r="M201" s="62"/>
      <c r="N201" s="62"/>
      <c r="O201" s="62"/>
      <c r="P201" s="62"/>
      <c r="Q201" s="62"/>
      <c r="R201" s="62"/>
      <c r="S201" s="62"/>
      <c r="T201" s="62"/>
      <c r="U201" s="62"/>
      <c r="V201" s="62"/>
      <c r="W201" s="62"/>
      <c r="X201" s="62"/>
      <c r="Y201" s="62"/>
      <c r="Z201" s="62"/>
      <c r="AA201" s="62"/>
      <c r="AB201" s="62"/>
      <c r="AC201" s="62"/>
      <c r="AD201" s="62"/>
      <c r="AE201" s="62"/>
      <c r="AF201" s="62"/>
      <c r="AG201" s="62"/>
      <c r="AH201" s="62"/>
      <c r="AI201" s="62"/>
      <c r="AJ201" s="62"/>
      <c r="AK201" s="62"/>
      <c r="AL201" s="62"/>
      <c r="AM201" s="62"/>
      <c r="AN201" s="62"/>
      <c r="AO201" s="62"/>
      <c r="AP201" s="62"/>
      <c r="AQ201" s="62"/>
      <c r="AR201" s="62"/>
      <c r="AS201" s="62"/>
      <c r="AT201" s="62"/>
      <c r="AU201" s="62"/>
      <c r="AV201" s="62"/>
      <c r="AW201" s="62"/>
      <c r="AX201" s="62"/>
    </row>
    <row r="202" spans="1:50" ht="14.25" customHeight="1" x14ac:dyDescent="0.3">
      <c r="A202" s="58"/>
      <c r="B202" s="58"/>
      <c r="C202" s="58"/>
      <c r="D202" s="58"/>
      <c r="E202" s="58"/>
      <c r="F202" s="58"/>
      <c r="G202" s="59"/>
      <c r="H202" s="60"/>
      <c r="I202" s="60"/>
      <c r="J202" s="59"/>
      <c r="K202" s="61"/>
      <c r="M202" s="62"/>
      <c r="N202" s="62"/>
      <c r="O202" s="62"/>
      <c r="P202" s="62"/>
      <c r="Q202" s="62"/>
      <c r="R202" s="62"/>
      <c r="S202" s="62"/>
      <c r="T202" s="62"/>
      <c r="U202" s="62"/>
      <c r="V202" s="62"/>
      <c r="W202" s="62"/>
      <c r="X202" s="62"/>
      <c r="Y202" s="62"/>
      <c r="Z202" s="62"/>
      <c r="AA202" s="62"/>
      <c r="AB202" s="62"/>
      <c r="AC202" s="62"/>
      <c r="AD202" s="62"/>
      <c r="AE202" s="62"/>
      <c r="AF202" s="62"/>
      <c r="AG202" s="62"/>
      <c r="AH202" s="62"/>
      <c r="AI202" s="62"/>
      <c r="AJ202" s="62"/>
      <c r="AK202" s="62"/>
      <c r="AL202" s="62"/>
      <c r="AM202" s="62"/>
      <c r="AN202" s="62"/>
      <c r="AO202" s="62"/>
      <c r="AP202" s="62"/>
      <c r="AQ202" s="62"/>
      <c r="AR202" s="62"/>
      <c r="AS202" s="62"/>
      <c r="AT202" s="62"/>
      <c r="AU202" s="62"/>
      <c r="AV202" s="62"/>
      <c r="AW202" s="62"/>
      <c r="AX202" s="62"/>
    </row>
    <row r="203" spans="1:50" ht="14.25" customHeight="1" x14ac:dyDescent="0.3">
      <c r="A203" s="58"/>
      <c r="B203" s="58"/>
      <c r="C203" s="58"/>
      <c r="D203" s="58"/>
      <c r="E203" s="58"/>
      <c r="F203" s="58"/>
      <c r="G203" s="59"/>
      <c r="H203" s="60"/>
      <c r="I203" s="60"/>
      <c r="J203" s="59"/>
      <c r="K203" s="61"/>
      <c r="M203" s="62"/>
      <c r="N203" s="62"/>
      <c r="O203" s="62"/>
      <c r="P203" s="62"/>
      <c r="Q203" s="62"/>
      <c r="R203" s="62"/>
      <c r="S203" s="62"/>
      <c r="T203" s="62"/>
      <c r="U203" s="62"/>
      <c r="V203" s="62"/>
      <c r="W203" s="62"/>
      <c r="X203" s="62"/>
      <c r="Y203" s="62"/>
      <c r="Z203" s="62"/>
      <c r="AA203" s="62"/>
      <c r="AB203" s="62"/>
      <c r="AC203" s="62"/>
      <c r="AD203" s="62"/>
      <c r="AE203" s="62"/>
      <c r="AF203" s="62"/>
      <c r="AG203" s="62"/>
      <c r="AH203" s="62"/>
      <c r="AI203" s="62"/>
      <c r="AJ203" s="62"/>
      <c r="AK203" s="62"/>
      <c r="AL203" s="62"/>
      <c r="AM203" s="62"/>
      <c r="AN203" s="62"/>
      <c r="AO203" s="62"/>
      <c r="AP203" s="62"/>
      <c r="AQ203" s="62"/>
      <c r="AR203" s="62"/>
      <c r="AS203" s="62"/>
      <c r="AT203" s="62"/>
      <c r="AU203" s="62"/>
      <c r="AV203" s="62"/>
      <c r="AW203" s="62"/>
      <c r="AX203" s="62"/>
    </row>
    <row r="204" spans="1:50" ht="14.25" customHeight="1" x14ac:dyDescent="0.3">
      <c r="A204" s="58"/>
      <c r="B204" s="58"/>
      <c r="C204" s="58"/>
      <c r="D204" s="58"/>
      <c r="E204" s="58"/>
      <c r="F204" s="58"/>
      <c r="G204" s="59"/>
      <c r="H204" s="60"/>
      <c r="I204" s="60"/>
      <c r="J204" s="59"/>
      <c r="K204" s="61"/>
      <c r="M204" s="62"/>
      <c r="N204" s="62"/>
      <c r="O204" s="62"/>
      <c r="P204" s="62"/>
      <c r="Q204" s="62"/>
      <c r="R204" s="62"/>
      <c r="S204" s="62"/>
      <c r="T204" s="62"/>
      <c r="U204" s="62"/>
      <c r="V204" s="62"/>
      <c r="W204" s="62"/>
      <c r="X204" s="62"/>
      <c r="Y204" s="62"/>
      <c r="Z204" s="62"/>
      <c r="AA204" s="62"/>
      <c r="AB204" s="62"/>
      <c r="AC204" s="62"/>
      <c r="AD204" s="62"/>
      <c r="AE204" s="62"/>
      <c r="AF204" s="62"/>
      <c r="AG204" s="62"/>
      <c r="AH204" s="62"/>
      <c r="AI204" s="62"/>
      <c r="AJ204" s="62"/>
      <c r="AK204" s="62"/>
      <c r="AL204" s="62"/>
      <c r="AM204" s="62"/>
      <c r="AN204" s="62"/>
      <c r="AO204" s="62"/>
      <c r="AP204" s="62"/>
      <c r="AQ204" s="62"/>
      <c r="AR204" s="62"/>
      <c r="AS204" s="62"/>
      <c r="AT204" s="62"/>
      <c r="AU204" s="62"/>
      <c r="AV204" s="62"/>
      <c r="AW204" s="62"/>
      <c r="AX204" s="62"/>
    </row>
    <row r="205" spans="1:50" ht="14.25" customHeight="1" x14ac:dyDescent="0.3">
      <c r="A205" s="58"/>
      <c r="B205" s="58"/>
      <c r="C205" s="58"/>
      <c r="D205" s="58"/>
      <c r="E205" s="58"/>
      <c r="F205" s="58"/>
      <c r="G205" s="59"/>
      <c r="H205" s="60"/>
      <c r="I205" s="60"/>
      <c r="J205" s="59"/>
      <c r="K205" s="61"/>
      <c r="M205" s="62"/>
      <c r="N205" s="62"/>
      <c r="O205" s="62"/>
      <c r="P205" s="62"/>
      <c r="Q205" s="62"/>
      <c r="R205" s="62"/>
      <c r="S205" s="62"/>
      <c r="T205" s="62"/>
      <c r="U205" s="62"/>
      <c r="V205" s="62"/>
      <c r="W205" s="62"/>
      <c r="X205" s="62"/>
      <c r="Y205" s="62"/>
      <c r="Z205" s="62"/>
      <c r="AA205" s="62"/>
      <c r="AB205" s="62"/>
      <c r="AC205" s="62"/>
      <c r="AD205" s="62"/>
      <c r="AE205" s="62"/>
      <c r="AF205" s="62"/>
      <c r="AG205" s="62"/>
      <c r="AH205" s="62"/>
      <c r="AI205" s="62"/>
      <c r="AJ205" s="62"/>
      <c r="AK205" s="62"/>
      <c r="AL205" s="62"/>
      <c r="AM205" s="62"/>
      <c r="AN205" s="62"/>
      <c r="AO205" s="62"/>
      <c r="AP205" s="62"/>
      <c r="AQ205" s="62"/>
      <c r="AR205" s="62"/>
      <c r="AS205" s="62"/>
      <c r="AT205" s="62"/>
      <c r="AU205" s="62"/>
      <c r="AV205" s="62"/>
      <c r="AW205" s="62"/>
      <c r="AX205" s="62"/>
    </row>
    <row r="206" spans="1:50" ht="14.25" customHeight="1" x14ac:dyDescent="0.3">
      <c r="A206" s="58"/>
      <c r="B206" s="58"/>
      <c r="C206" s="58"/>
      <c r="D206" s="58"/>
      <c r="E206" s="58"/>
      <c r="F206" s="58"/>
      <c r="G206" s="59"/>
      <c r="H206" s="60"/>
      <c r="I206" s="60"/>
      <c r="J206" s="59"/>
      <c r="K206" s="61"/>
      <c r="M206" s="62"/>
      <c r="N206" s="62"/>
      <c r="O206" s="62"/>
      <c r="P206" s="62"/>
      <c r="Q206" s="62"/>
      <c r="R206" s="62"/>
      <c r="S206" s="62"/>
      <c r="T206" s="62"/>
      <c r="U206" s="62"/>
      <c r="V206" s="62"/>
      <c r="W206" s="62"/>
      <c r="X206" s="62"/>
      <c r="Y206" s="62"/>
      <c r="Z206" s="62"/>
      <c r="AA206" s="62"/>
      <c r="AB206" s="62"/>
      <c r="AC206" s="62"/>
      <c r="AD206" s="62"/>
      <c r="AE206" s="62"/>
      <c r="AF206" s="62"/>
      <c r="AG206" s="62"/>
      <c r="AH206" s="62"/>
      <c r="AI206" s="62"/>
      <c r="AJ206" s="62"/>
      <c r="AK206" s="62"/>
      <c r="AL206" s="62"/>
      <c r="AM206" s="62"/>
      <c r="AN206" s="62"/>
      <c r="AO206" s="62"/>
      <c r="AP206" s="62"/>
      <c r="AQ206" s="62"/>
      <c r="AR206" s="62"/>
      <c r="AS206" s="62"/>
      <c r="AT206" s="62"/>
      <c r="AU206" s="62"/>
      <c r="AV206" s="62"/>
      <c r="AW206" s="62"/>
      <c r="AX206" s="62"/>
    </row>
    <row r="207" spans="1:50" ht="14.25" customHeight="1" x14ac:dyDescent="0.3">
      <c r="A207" s="58"/>
      <c r="B207" s="58"/>
      <c r="C207" s="58"/>
      <c r="D207" s="58"/>
      <c r="E207" s="58"/>
      <c r="F207" s="58"/>
      <c r="G207" s="59"/>
      <c r="H207" s="60"/>
      <c r="I207" s="60"/>
      <c r="J207" s="59"/>
      <c r="K207" s="61"/>
      <c r="M207" s="62"/>
      <c r="N207" s="62"/>
      <c r="O207" s="62"/>
      <c r="P207" s="62"/>
      <c r="Q207" s="62"/>
      <c r="R207" s="62"/>
      <c r="S207" s="62"/>
      <c r="T207" s="62"/>
      <c r="U207" s="62"/>
      <c r="V207" s="62"/>
      <c r="W207" s="62"/>
      <c r="X207" s="62"/>
      <c r="Y207" s="62"/>
      <c r="Z207" s="62"/>
      <c r="AA207" s="62"/>
      <c r="AB207" s="62"/>
      <c r="AC207" s="62"/>
      <c r="AD207" s="62"/>
      <c r="AE207" s="62"/>
      <c r="AF207" s="62"/>
      <c r="AG207" s="62"/>
      <c r="AH207" s="62"/>
      <c r="AI207" s="62"/>
      <c r="AJ207" s="62"/>
      <c r="AK207" s="62"/>
      <c r="AL207" s="62"/>
      <c r="AM207" s="62"/>
      <c r="AN207" s="62"/>
      <c r="AO207" s="62"/>
      <c r="AP207" s="62"/>
      <c r="AQ207" s="62"/>
      <c r="AR207" s="62"/>
      <c r="AS207" s="62"/>
      <c r="AT207" s="62"/>
      <c r="AU207" s="62"/>
      <c r="AV207" s="62"/>
      <c r="AW207" s="62"/>
      <c r="AX207" s="62"/>
    </row>
    <row r="208" spans="1:50" ht="14.25" customHeight="1" x14ac:dyDescent="0.3">
      <c r="A208" s="58"/>
      <c r="B208" s="58"/>
      <c r="C208" s="58"/>
      <c r="D208" s="58"/>
      <c r="E208" s="58"/>
      <c r="F208" s="58"/>
      <c r="G208" s="59"/>
      <c r="H208" s="60"/>
      <c r="I208" s="60"/>
      <c r="J208" s="59"/>
      <c r="K208" s="61"/>
      <c r="M208" s="62"/>
      <c r="N208" s="62"/>
      <c r="O208" s="62"/>
      <c r="P208" s="62"/>
      <c r="Q208" s="62"/>
      <c r="R208" s="62"/>
      <c r="S208" s="62"/>
      <c r="T208" s="62"/>
      <c r="U208" s="62"/>
      <c r="V208" s="62"/>
      <c r="W208" s="62"/>
      <c r="X208" s="62"/>
      <c r="Y208" s="62"/>
      <c r="Z208" s="62"/>
      <c r="AA208" s="62"/>
      <c r="AB208" s="62"/>
      <c r="AC208" s="62"/>
      <c r="AD208" s="62"/>
      <c r="AE208" s="62"/>
      <c r="AF208" s="62"/>
      <c r="AG208" s="62"/>
      <c r="AH208" s="62"/>
      <c r="AI208" s="62"/>
      <c r="AJ208" s="62"/>
      <c r="AK208" s="62"/>
      <c r="AL208" s="62"/>
      <c r="AM208" s="62"/>
      <c r="AN208" s="62"/>
      <c r="AO208" s="62"/>
      <c r="AP208" s="62"/>
      <c r="AQ208" s="62"/>
      <c r="AR208" s="62"/>
      <c r="AS208" s="62"/>
      <c r="AT208" s="62"/>
      <c r="AU208" s="62"/>
      <c r="AV208" s="62"/>
      <c r="AW208" s="62"/>
      <c r="AX208" s="62"/>
    </row>
    <row r="209" spans="1:50" ht="14.25" customHeight="1" x14ac:dyDescent="0.3">
      <c r="A209" s="58"/>
      <c r="B209" s="58"/>
      <c r="C209" s="58"/>
      <c r="D209" s="58"/>
      <c r="E209" s="58"/>
      <c r="F209" s="58"/>
      <c r="G209" s="59"/>
      <c r="H209" s="60"/>
      <c r="I209" s="60"/>
      <c r="J209" s="59"/>
      <c r="K209" s="61"/>
      <c r="M209" s="62"/>
      <c r="N209" s="62"/>
      <c r="O209" s="62"/>
      <c r="P209" s="62"/>
      <c r="Q209" s="62"/>
      <c r="R209" s="62"/>
      <c r="S209" s="62"/>
      <c r="T209" s="62"/>
      <c r="U209" s="62"/>
      <c r="V209" s="62"/>
      <c r="W209" s="62"/>
      <c r="X209" s="62"/>
      <c r="Y209" s="62"/>
      <c r="Z209" s="62"/>
      <c r="AA209" s="62"/>
      <c r="AB209" s="62"/>
      <c r="AC209" s="62"/>
      <c r="AD209" s="62"/>
      <c r="AE209" s="62"/>
      <c r="AF209" s="62"/>
      <c r="AG209" s="62"/>
      <c r="AH209" s="62"/>
      <c r="AI209" s="62"/>
      <c r="AJ209" s="62"/>
      <c r="AK209" s="62"/>
      <c r="AL209" s="62"/>
      <c r="AM209" s="62"/>
      <c r="AN209" s="62"/>
      <c r="AO209" s="62"/>
      <c r="AP209" s="62"/>
      <c r="AQ209" s="62"/>
      <c r="AR209" s="62"/>
      <c r="AS209" s="62"/>
      <c r="AT209" s="62"/>
      <c r="AU209" s="62"/>
      <c r="AV209" s="62"/>
      <c r="AW209" s="62"/>
      <c r="AX209" s="62"/>
    </row>
    <row r="210" spans="1:50" ht="14.25" customHeight="1" x14ac:dyDescent="0.3">
      <c r="A210" s="58"/>
      <c r="B210" s="58"/>
      <c r="C210" s="58"/>
      <c r="D210" s="58"/>
      <c r="E210" s="58"/>
      <c r="F210" s="58"/>
      <c r="G210" s="59"/>
      <c r="H210" s="60"/>
      <c r="I210" s="60"/>
      <c r="J210" s="59"/>
      <c r="K210" s="61"/>
      <c r="M210" s="62"/>
      <c r="N210" s="62"/>
      <c r="O210" s="62"/>
      <c r="P210" s="62"/>
      <c r="Q210" s="62"/>
      <c r="R210" s="62"/>
      <c r="S210" s="62"/>
      <c r="T210" s="62"/>
      <c r="U210" s="62"/>
      <c r="V210" s="62"/>
      <c r="W210" s="62"/>
      <c r="X210" s="62"/>
      <c r="Y210" s="62"/>
      <c r="Z210" s="62"/>
      <c r="AA210" s="62"/>
      <c r="AB210" s="62"/>
      <c r="AC210" s="62"/>
      <c r="AD210" s="62"/>
      <c r="AE210" s="62"/>
      <c r="AF210" s="62"/>
      <c r="AG210" s="62"/>
      <c r="AH210" s="62"/>
      <c r="AI210" s="62"/>
      <c r="AJ210" s="62"/>
      <c r="AK210" s="62"/>
      <c r="AL210" s="62"/>
      <c r="AM210" s="62"/>
      <c r="AN210" s="62"/>
      <c r="AO210" s="62"/>
      <c r="AP210" s="62"/>
      <c r="AQ210" s="62"/>
      <c r="AR210" s="62"/>
      <c r="AS210" s="62"/>
      <c r="AT210" s="62"/>
      <c r="AU210" s="62"/>
      <c r="AV210" s="62"/>
      <c r="AW210" s="62"/>
      <c r="AX210" s="62"/>
    </row>
    <row r="211" spans="1:50" ht="14.25" customHeight="1" x14ac:dyDescent="0.3">
      <c r="A211" s="58"/>
      <c r="B211" s="58"/>
      <c r="C211" s="58"/>
      <c r="D211" s="58"/>
      <c r="E211" s="58"/>
      <c r="F211" s="58"/>
      <c r="G211" s="59"/>
      <c r="H211" s="60"/>
      <c r="I211" s="60"/>
      <c r="J211" s="59"/>
      <c r="K211" s="61"/>
      <c r="M211" s="62"/>
      <c r="N211" s="62"/>
      <c r="O211" s="62"/>
      <c r="P211" s="62"/>
      <c r="Q211" s="62"/>
      <c r="R211" s="62"/>
      <c r="S211" s="62"/>
      <c r="T211" s="62"/>
      <c r="U211" s="62"/>
      <c r="V211" s="62"/>
      <c r="W211" s="62"/>
      <c r="X211" s="62"/>
      <c r="Y211" s="62"/>
      <c r="Z211" s="62"/>
      <c r="AA211" s="62"/>
      <c r="AB211" s="62"/>
      <c r="AC211" s="62"/>
      <c r="AD211" s="62"/>
      <c r="AE211" s="62"/>
      <c r="AF211" s="62"/>
      <c r="AG211" s="62"/>
      <c r="AH211" s="62"/>
      <c r="AI211" s="62"/>
      <c r="AJ211" s="62"/>
      <c r="AK211" s="62"/>
      <c r="AL211" s="62"/>
      <c r="AM211" s="62"/>
      <c r="AN211" s="62"/>
      <c r="AO211" s="62"/>
      <c r="AP211" s="62"/>
      <c r="AQ211" s="62"/>
      <c r="AR211" s="62"/>
      <c r="AS211" s="62"/>
      <c r="AT211" s="62"/>
      <c r="AU211" s="62"/>
      <c r="AV211" s="62"/>
      <c r="AW211" s="62"/>
      <c r="AX211" s="62"/>
    </row>
    <row r="212" spans="1:50" ht="14.25" customHeight="1" x14ac:dyDescent="0.3">
      <c r="A212" s="58"/>
      <c r="B212" s="58"/>
      <c r="C212" s="58"/>
      <c r="D212" s="58"/>
      <c r="E212" s="58"/>
      <c r="F212" s="58"/>
      <c r="G212" s="59"/>
      <c r="H212" s="60"/>
      <c r="I212" s="60"/>
      <c r="J212" s="59"/>
      <c r="K212" s="61"/>
      <c r="M212" s="62"/>
      <c r="N212" s="62"/>
      <c r="O212" s="62"/>
      <c r="P212" s="62"/>
      <c r="Q212" s="62"/>
      <c r="R212" s="62"/>
      <c r="S212" s="62"/>
      <c r="T212" s="62"/>
      <c r="U212" s="62"/>
      <c r="V212" s="62"/>
      <c r="W212" s="62"/>
      <c r="X212" s="62"/>
      <c r="Y212" s="62"/>
      <c r="Z212" s="62"/>
      <c r="AA212" s="62"/>
      <c r="AB212" s="62"/>
      <c r="AC212" s="62"/>
      <c r="AD212" s="62"/>
      <c r="AE212" s="62"/>
      <c r="AF212" s="62"/>
      <c r="AG212" s="62"/>
      <c r="AH212" s="62"/>
      <c r="AI212" s="62"/>
      <c r="AJ212" s="62"/>
      <c r="AK212" s="62"/>
      <c r="AL212" s="62"/>
      <c r="AM212" s="62"/>
      <c r="AN212" s="62"/>
      <c r="AO212" s="62"/>
      <c r="AP212" s="62"/>
      <c r="AQ212" s="62"/>
      <c r="AR212" s="62"/>
      <c r="AS212" s="62"/>
      <c r="AT212" s="62"/>
      <c r="AU212" s="62"/>
      <c r="AV212" s="62"/>
      <c r="AW212" s="62"/>
      <c r="AX212" s="62"/>
    </row>
    <row r="213" spans="1:50" ht="14.25" customHeight="1" x14ac:dyDescent="0.3">
      <c r="A213" s="58"/>
      <c r="B213" s="58"/>
      <c r="C213" s="58"/>
      <c r="D213" s="58"/>
      <c r="E213" s="58"/>
      <c r="F213" s="58"/>
      <c r="G213" s="59"/>
      <c r="H213" s="60"/>
      <c r="I213" s="60"/>
      <c r="J213" s="59"/>
      <c r="K213" s="61"/>
      <c r="M213" s="62"/>
      <c r="N213" s="62"/>
      <c r="O213" s="62"/>
      <c r="P213" s="62"/>
      <c r="Q213" s="62"/>
      <c r="R213" s="62"/>
      <c r="S213" s="62"/>
      <c r="T213" s="62"/>
      <c r="U213" s="62"/>
      <c r="V213" s="62"/>
      <c r="W213" s="62"/>
      <c r="X213" s="62"/>
      <c r="Y213" s="62"/>
      <c r="Z213" s="62"/>
      <c r="AA213" s="62"/>
      <c r="AB213" s="62"/>
      <c r="AC213" s="62"/>
      <c r="AD213" s="62"/>
      <c r="AE213" s="62"/>
      <c r="AF213" s="62"/>
      <c r="AG213" s="62"/>
      <c r="AH213" s="62"/>
      <c r="AI213" s="62"/>
      <c r="AJ213" s="62"/>
      <c r="AK213" s="62"/>
      <c r="AL213" s="62"/>
      <c r="AM213" s="62"/>
      <c r="AN213" s="62"/>
      <c r="AO213" s="62"/>
      <c r="AP213" s="62"/>
      <c r="AQ213" s="62"/>
      <c r="AR213" s="62"/>
      <c r="AS213" s="62"/>
      <c r="AT213" s="62"/>
      <c r="AU213" s="62"/>
      <c r="AV213" s="62"/>
      <c r="AW213" s="62"/>
      <c r="AX213" s="62"/>
    </row>
    <row r="214" spans="1:50" ht="14.25" customHeight="1" x14ac:dyDescent="0.3">
      <c r="A214" s="58"/>
      <c r="B214" s="58"/>
      <c r="C214" s="58"/>
      <c r="D214" s="58"/>
      <c r="E214" s="58"/>
      <c r="F214" s="58"/>
      <c r="G214" s="59"/>
      <c r="H214" s="60"/>
      <c r="I214" s="60"/>
      <c r="J214" s="59"/>
      <c r="K214" s="61"/>
      <c r="M214" s="62"/>
      <c r="N214" s="62"/>
      <c r="O214" s="62"/>
      <c r="P214" s="62"/>
      <c r="Q214" s="62"/>
      <c r="R214" s="62"/>
      <c r="S214" s="62"/>
      <c r="T214" s="62"/>
      <c r="U214" s="62"/>
      <c r="V214" s="62"/>
      <c r="W214" s="62"/>
      <c r="X214" s="62"/>
      <c r="Y214" s="62"/>
      <c r="Z214" s="62"/>
      <c r="AA214" s="62"/>
      <c r="AB214" s="62"/>
      <c r="AC214" s="62"/>
      <c r="AD214" s="62"/>
      <c r="AE214" s="62"/>
      <c r="AF214" s="62"/>
      <c r="AG214" s="62"/>
      <c r="AH214" s="62"/>
      <c r="AI214" s="62"/>
      <c r="AJ214" s="62"/>
      <c r="AK214" s="62"/>
      <c r="AL214" s="62"/>
      <c r="AM214" s="62"/>
      <c r="AN214" s="62"/>
      <c r="AO214" s="62"/>
      <c r="AP214" s="62"/>
      <c r="AQ214" s="62"/>
      <c r="AR214" s="62"/>
      <c r="AS214" s="62"/>
      <c r="AT214" s="62"/>
      <c r="AU214" s="62"/>
      <c r="AV214" s="62"/>
      <c r="AW214" s="62"/>
      <c r="AX214" s="62"/>
    </row>
    <row r="215" spans="1:50" ht="14.25" customHeight="1" x14ac:dyDescent="0.3">
      <c r="A215" s="58"/>
      <c r="B215" s="58"/>
      <c r="C215" s="58"/>
      <c r="D215" s="58"/>
      <c r="E215" s="58"/>
      <c r="F215" s="58"/>
      <c r="G215" s="59"/>
      <c r="H215" s="60"/>
      <c r="I215" s="60"/>
      <c r="J215" s="59"/>
      <c r="K215" s="61"/>
      <c r="M215" s="62"/>
      <c r="N215" s="62"/>
      <c r="O215" s="62"/>
      <c r="P215" s="62"/>
      <c r="Q215" s="62"/>
      <c r="R215" s="62"/>
      <c r="S215" s="62"/>
      <c r="T215" s="62"/>
      <c r="U215" s="62"/>
      <c r="V215" s="62"/>
      <c r="W215" s="62"/>
      <c r="X215" s="62"/>
      <c r="Y215" s="62"/>
      <c r="Z215" s="62"/>
      <c r="AA215" s="62"/>
      <c r="AB215" s="62"/>
      <c r="AC215" s="62"/>
      <c r="AD215" s="62"/>
      <c r="AE215" s="62"/>
      <c r="AF215" s="62"/>
      <c r="AG215" s="62"/>
      <c r="AH215" s="62"/>
      <c r="AI215" s="62"/>
      <c r="AJ215" s="62"/>
      <c r="AK215" s="62"/>
      <c r="AL215" s="62"/>
      <c r="AM215" s="62"/>
      <c r="AN215" s="62"/>
      <c r="AO215" s="62"/>
      <c r="AP215" s="62"/>
      <c r="AQ215" s="62"/>
      <c r="AR215" s="62"/>
      <c r="AS215" s="62"/>
      <c r="AT215" s="62"/>
      <c r="AU215" s="62"/>
      <c r="AV215" s="62"/>
      <c r="AW215" s="62"/>
      <c r="AX215" s="62"/>
    </row>
    <row r="216" spans="1:50" ht="14.25" customHeight="1" x14ac:dyDescent="0.3">
      <c r="A216" s="58"/>
      <c r="B216" s="58"/>
      <c r="C216" s="58"/>
      <c r="D216" s="58"/>
      <c r="E216" s="58"/>
      <c r="F216" s="58"/>
      <c r="G216" s="59"/>
      <c r="H216" s="60"/>
      <c r="I216" s="60"/>
      <c r="J216" s="59"/>
      <c r="K216" s="61"/>
      <c r="M216" s="62"/>
      <c r="N216" s="62"/>
      <c r="O216" s="62"/>
      <c r="P216" s="62"/>
      <c r="Q216" s="62"/>
      <c r="R216" s="62"/>
      <c r="S216" s="62"/>
      <c r="T216" s="62"/>
      <c r="U216" s="62"/>
      <c r="V216" s="62"/>
      <c r="W216" s="62"/>
      <c r="X216" s="62"/>
      <c r="Y216" s="62"/>
      <c r="Z216" s="62"/>
      <c r="AA216" s="62"/>
      <c r="AB216" s="62"/>
      <c r="AC216" s="62"/>
      <c r="AD216" s="62"/>
      <c r="AE216" s="62"/>
      <c r="AF216" s="62"/>
      <c r="AG216" s="62"/>
      <c r="AH216" s="62"/>
      <c r="AI216" s="62"/>
      <c r="AJ216" s="62"/>
      <c r="AK216" s="62"/>
      <c r="AL216" s="62"/>
      <c r="AM216" s="62"/>
      <c r="AN216" s="62"/>
      <c r="AO216" s="62"/>
      <c r="AP216" s="62"/>
      <c r="AQ216" s="62"/>
      <c r="AR216" s="62"/>
      <c r="AS216" s="62"/>
      <c r="AT216" s="62"/>
      <c r="AU216" s="62"/>
      <c r="AV216" s="62"/>
      <c r="AW216" s="62"/>
      <c r="AX216" s="62"/>
    </row>
    <row r="217" spans="1:50" ht="14.25" customHeight="1" x14ac:dyDescent="0.3">
      <c r="A217" s="58"/>
      <c r="B217" s="58"/>
      <c r="C217" s="58"/>
      <c r="D217" s="58"/>
      <c r="E217" s="58"/>
      <c r="F217" s="58"/>
      <c r="G217" s="59"/>
      <c r="H217" s="60"/>
      <c r="I217" s="60"/>
      <c r="J217" s="59"/>
      <c r="K217" s="61"/>
      <c r="M217" s="62"/>
      <c r="N217" s="62"/>
      <c r="O217" s="62"/>
      <c r="P217" s="62"/>
      <c r="Q217" s="62"/>
      <c r="R217" s="62"/>
      <c r="S217" s="62"/>
      <c r="T217" s="62"/>
      <c r="U217" s="62"/>
      <c r="V217" s="62"/>
      <c r="W217" s="62"/>
      <c r="X217" s="62"/>
      <c r="Y217" s="62"/>
      <c r="Z217" s="62"/>
      <c r="AA217" s="62"/>
      <c r="AB217" s="62"/>
      <c r="AC217" s="62"/>
      <c r="AD217" s="62"/>
      <c r="AE217" s="62"/>
      <c r="AF217" s="62"/>
      <c r="AG217" s="62"/>
      <c r="AH217" s="62"/>
      <c r="AI217" s="62"/>
      <c r="AJ217" s="62"/>
      <c r="AK217" s="62"/>
      <c r="AL217" s="62"/>
      <c r="AM217" s="62"/>
      <c r="AN217" s="62"/>
      <c r="AO217" s="62"/>
      <c r="AP217" s="62"/>
      <c r="AQ217" s="62"/>
      <c r="AR217" s="62"/>
      <c r="AS217" s="62"/>
      <c r="AT217" s="62"/>
      <c r="AU217" s="62"/>
      <c r="AV217" s="62"/>
      <c r="AW217" s="62"/>
      <c r="AX217" s="62"/>
    </row>
    <row r="218" spans="1:50" ht="14.25" customHeight="1" x14ac:dyDescent="0.3">
      <c r="A218" s="58"/>
      <c r="B218" s="58"/>
      <c r="C218" s="58"/>
      <c r="D218" s="58"/>
      <c r="E218" s="58"/>
      <c r="F218" s="58"/>
      <c r="G218" s="59"/>
      <c r="H218" s="60"/>
      <c r="I218" s="60"/>
      <c r="J218" s="59"/>
      <c r="K218" s="61"/>
      <c r="M218" s="62"/>
      <c r="N218" s="62"/>
      <c r="O218" s="62"/>
      <c r="P218" s="62"/>
      <c r="Q218" s="62"/>
      <c r="R218" s="62"/>
      <c r="S218" s="62"/>
      <c r="T218" s="62"/>
      <c r="U218" s="62"/>
      <c r="V218" s="62"/>
      <c r="W218" s="62"/>
      <c r="X218" s="62"/>
      <c r="Y218" s="62"/>
      <c r="Z218" s="62"/>
      <c r="AA218" s="62"/>
      <c r="AB218" s="62"/>
      <c r="AC218" s="62"/>
      <c r="AD218" s="62"/>
      <c r="AE218" s="62"/>
      <c r="AF218" s="62"/>
      <c r="AG218" s="62"/>
      <c r="AH218" s="62"/>
      <c r="AI218" s="62"/>
      <c r="AJ218" s="62"/>
      <c r="AK218" s="62"/>
      <c r="AL218" s="62"/>
      <c r="AM218" s="62"/>
      <c r="AN218" s="62"/>
      <c r="AO218" s="62"/>
      <c r="AP218" s="62"/>
      <c r="AQ218" s="62"/>
      <c r="AR218" s="62"/>
      <c r="AS218" s="62"/>
      <c r="AT218" s="62"/>
      <c r="AU218" s="62"/>
      <c r="AV218" s="62"/>
      <c r="AW218" s="62"/>
      <c r="AX218" s="62"/>
    </row>
    <row r="219" spans="1:50" ht="14.25" customHeight="1" x14ac:dyDescent="0.3">
      <c r="A219" s="58"/>
      <c r="B219" s="58"/>
      <c r="C219" s="58"/>
      <c r="D219" s="58"/>
      <c r="E219" s="58"/>
      <c r="F219" s="58"/>
      <c r="G219" s="59"/>
      <c r="H219" s="60"/>
      <c r="I219" s="60"/>
      <c r="J219" s="59"/>
      <c r="K219" s="61"/>
      <c r="M219" s="62"/>
      <c r="N219" s="62"/>
      <c r="O219" s="62"/>
      <c r="P219" s="62"/>
      <c r="Q219" s="62"/>
      <c r="R219" s="62"/>
      <c r="S219" s="62"/>
      <c r="T219" s="62"/>
      <c r="U219" s="62"/>
      <c r="V219" s="62"/>
      <c r="W219" s="62"/>
      <c r="X219" s="62"/>
      <c r="Y219" s="62"/>
      <c r="Z219" s="62"/>
      <c r="AA219" s="62"/>
      <c r="AB219" s="62"/>
      <c r="AC219" s="62"/>
      <c r="AD219" s="62"/>
      <c r="AE219" s="62"/>
      <c r="AF219" s="62"/>
      <c r="AG219" s="62"/>
      <c r="AH219" s="62"/>
      <c r="AI219" s="62"/>
      <c r="AJ219" s="62"/>
      <c r="AK219" s="62"/>
      <c r="AL219" s="62"/>
      <c r="AM219" s="62"/>
      <c r="AN219" s="62"/>
      <c r="AO219" s="62"/>
      <c r="AP219" s="62"/>
      <c r="AQ219" s="62"/>
      <c r="AR219" s="62"/>
      <c r="AS219" s="62"/>
      <c r="AT219" s="62"/>
      <c r="AU219" s="62"/>
      <c r="AV219" s="62"/>
      <c r="AW219" s="62"/>
      <c r="AX219" s="62"/>
    </row>
    <row r="220" spans="1:50" ht="14.25" customHeight="1" x14ac:dyDescent="0.3">
      <c r="A220" s="58"/>
      <c r="B220" s="58"/>
      <c r="C220" s="58"/>
      <c r="D220" s="58"/>
      <c r="E220" s="58"/>
      <c r="F220" s="58"/>
      <c r="G220" s="59"/>
      <c r="H220" s="60"/>
      <c r="I220" s="60"/>
      <c r="J220" s="59"/>
      <c r="K220" s="61"/>
      <c r="M220" s="62"/>
      <c r="N220" s="62"/>
      <c r="O220" s="62"/>
      <c r="P220" s="62"/>
      <c r="Q220" s="62"/>
      <c r="R220" s="62"/>
      <c r="S220" s="62"/>
      <c r="T220" s="62"/>
      <c r="U220" s="62"/>
      <c r="V220" s="62"/>
      <c r="W220" s="62"/>
      <c r="X220" s="62"/>
      <c r="Y220" s="62"/>
      <c r="Z220" s="62"/>
      <c r="AA220" s="62"/>
      <c r="AB220" s="62"/>
      <c r="AC220" s="62"/>
      <c r="AD220" s="62"/>
      <c r="AE220" s="62"/>
      <c r="AF220" s="62"/>
      <c r="AG220" s="62"/>
      <c r="AH220" s="62"/>
      <c r="AI220" s="62"/>
      <c r="AJ220" s="62"/>
      <c r="AK220" s="62"/>
      <c r="AL220" s="62"/>
      <c r="AM220" s="62"/>
      <c r="AN220" s="62"/>
      <c r="AO220" s="62"/>
      <c r="AP220" s="62"/>
      <c r="AQ220" s="62"/>
      <c r="AR220" s="62"/>
      <c r="AS220" s="62"/>
      <c r="AT220" s="62"/>
      <c r="AU220" s="62"/>
      <c r="AV220" s="62"/>
      <c r="AW220" s="62"/>
      <c r="AX220" s="62"/>
    </row>
    <row r="221" spans="1:50" ht="14.25" customHeight="1" x14ac:dyDescent="0.3">
      <c r="A221" s="58"/>
      <c r="B221" s="58"/>
      <c r="C221" s="58"/>
      <c r="D221" s="58"/>
      <c r="E221" s="58"/>
      <c r="F221" s="58"/>
      <c r="G221" s="59"/>
      <c r="H221" s="60"/>
      <c r="I221" s="60"/>
      <c r="J221" s="59"/>
      <c r="K221" s="61"/>
      <c r="M221" s="62"/>
      <c r="N221" s="62"/>
      <c r="O221" s="62"/>
      <c r="P221" s="62"/>
      <c r="Q221" s="62"/>
      <c r="R221" s="62"/>
      <c r="S221" s="62"/>
      <c r="T221" s="62"/>
      <c r="U221" s="62"/>
      <c r="V221" s="62"/>
      <c r="W221" s="62"/>
      <c r="X221" s="62"/>
      <c r="Y221" s="62"/>
      <c r="Z221" s="62"/>
      <c r="AA221" s="62"/>
      <c r="AB221" s="62"/>
      <c r="AC221" s="62"/>
      <c r="AD221" s="62"/>
      <c r="AE221" s="62"/>
      <c r="AF221" s="62"/>
      <c r="AG221" s="62"/>
      <c r="AH221" s="62"/>
      <c r="AI221" s="62"/>
      <c r="AJ221" s="62"/>
      <c r="AK221" s="62"/>
      <c r="AL221" s="62"/>
      <c r="AM221" s="62"/>
      <c r="AN221" s="62"/>
      <c r="AO221" s="62"/>
      <c r="AP221" s="62"/>
      <c r="AQ221" s="62"/>
      <c r="AR221" s="62"/>
      <c r="AS221" s="62"/>
      <c r="AT221" s="62"/>
      <c r="AU221" s="62"/>
      <c r="AV221" s="62"/>
      <c r="AW221" s="62"/>
      <c r="AX221" s="62"/>
    </row>
    <row r="222" spans="1:50" ht="14.25" customHeight="1" x14ac:dyDescent="0.3">
      <c r="A222" s="58"/>
      <c r="B222" s="58"/>
      <c r="C222" s="58"/>
      <c r="D222" s="58"/>
      <c r="E222" s="58"/>
      <c r="F222" s="58"/>
      <c r="G222" s="59"/>
      <c r="H222" s="60"/>
      <c r="I222" s="60"/>
      <c r="J222" s="59"/>
      <c r="K222" s="61"/>
      <c r="M222" s="62"/>
      <c r="N222" s="62"/>
      <c r="O222" s="62"/>
      <c r="P222" s="62"/>
      <c r="Q222" s="62"/>
      <c r="R222" s="62"/>
      <c r="S222" s="62"/>
      <c r="T222" s="62"/>
      <c r="U222" s="62"/>
      <c r="V222" s="62"/>
      <c r="W222" s="62"/>
      <c r="X222" s="62"/>
      <c r="Y222" s="62"/>
      <c r="Z222" s="62"/>
      <c r="AA222" s="62"/>
      <c r="AB222" s="62"/>
      <c r="AC222" s="62"/>
      <c r="AD222" s="62"/>
      <c r="AE222" s="62"/>
      <c r="AF222" s="62"/>
      <c r="AG222" s="62"/>
      <c r="AH222" s="62"/>
      <c r="AI222" s="62"/>
      <c r="AJ222" s="62"/>
      <c r="AK222" s="62"/>
      <c r="AL222" s="62"/>
      <c r="AM222" s="62"/>
      <c r="AN222" s="62"/>
      <c r="AO222" s="62"/>
      <c r="AP222" s="62"/>
      <c r="AQ222" s="62"/>
      <c r="AR222" s="62"/>
      <c r="AS222" s="62"/>
      <c r="AT222" s="62"/>
      <c r="AU222" s="62"/>
      <c r="AV222" s="62"/>
      <c r="AW222" s="62"/>
      <c r="AX222" s="62"/>
    </row>
    <row r="223" spans="1:50" ht="14.25" customHeight="1" x14ac:dyDescent="0.3">
      <c r="A223" s="58"/>
      <c r="B223" s="58"/>
      <c r="C223" s="58"/>
      <c r="D223" s="58"/>
      <c r="E223" s="58"/>
      <c r="F223" s="58"/>
      <c r="G223" s="59"/>
      <c r="H223" s="60"/>
      <c r="I223" s="60"/>
      <c r="J223" s="59"/>
      <c r="K223" s="61"/>
      <c r="M223" s="62"/>
      <c r="N223" s="62"/>
      <c r="O223" s="62"/>
      <c r="P223" s="62"/>
      <c r="Q223" s="62"/>
      <c r="R223" s="62"/>
      <c r="S223" s="62"/>
      <c r="T223" s="62"/>
      <c r="U223" s="62"/>
      <c r="V223" s="62"/>
      <c r="W223" s="62"/>
      <c r="X223" s="62"/>
      <c r="Y223" s="62"/>
      <c r="Z223" s="62"/>
      <c r="AA223" s="62"/>
      <c r="AB223" s="62"/>
      <c r="AC223" s="62"/>
      <c r="AD223" s="62"/>
      <c r="AE223" s="62"/>
      <c r="AF223" s="62"/>
      <c r="AG223" s="62"/>
      <c r="AH223" s="62"/>
      <c r="AI223" s="62"/>
      <c r="AJ223" s="62"/>
      <c r="AK223" s="62"/>
      <c r="AL223" s="62"/>
      <c r="AM223" s="62"/>
      <c r="AN223" s="62"/>
      <c r="AO223" s="62"/>
      <c r="AP223" s="62"/>
      <c r="AQ223" s="62"/>
      <c r="AR223" s="62"/>
      <c r="AS223" s="62"/>
      <c r="AT223" s="62"/>
      <c r="AU223" s="62"/>
      <c r="AV223" s="62"/>
      <c r="AW223" s="62"/>
      <c r="AX223" s="62"/>
    </row>
    <row r="224" spans="1:50" ht="14.25" customHeight="1" x14ac:dyDescent="0.3">
      <c r="A224" s="58"/>
      <c r="B224" s="58"/>
      <c r="C224" s="58"/>
      <c r="D224" s="58"/>
      <c r="E224" s="58"/>
      <c r="F224" s="58"/>
      <c r="G224" s="59"/>
      <c r="H224" s="60"/>
      <c r="I224" s="60"/>
      <c r="J224" s="59"/>
      <c r="K224" s="61"/>
      <c r="M224" s="62"/>
      <c r="N224" s="62"/>
      <c r="O224" s="62"/>
      <c r="P224" s="62"/>
      <c r="Q224" s="62"/>
      <c r="R224" s="62"/>
      <c r="S224" s="62"/>
      <c r="T224" s="62"/>
      <c r="U224" s="62"/>
      <c r="V224" s="62"/>
      <c r="W224" s="62"/>
      <c r="X224" s="62"/>
      <c r="Y224" s="62"/>
      <c r="Z224" s="62"/>
      <c r="AA224" s="62"/>
      <c r="AB224" s="62"/>
      <c r="AC224" s="62"/>
      <c r="AD224" s="62"/>
      <c r="AE224" s="62"/>
      <c r="AF224" s="62"/>
      <c r="AG224" s="62"/>
      <c r="AH224" s="62"/>
      <c r="AI224" s="62"/>
      <c r="AJ224" s="62"/>
      <c r="AK224" s="62"/>
      <c r="AL224" s="62"/>
      <c r="AM224" s="62"/>
      <c r="AN224" s="62"/>
      <c r="AO224" s="62"/>
      <c r="AP224" s="62"/>
      <c r="AQ224" s="62"/>
      <c r="AR224" s="62"/>
      <c r="AS224" s="62"/>
      <c r="AT224" s="62"/>
      <c r="AU224" s="62"/>
      <c r="AV224" s="62"/>
      <c r="AW224" s="62"/>
      <c r="AX224" s="62"/>
    </row>
    <row r="225" spans="1:50" ht="14.25" customHeight="1" x14ac:dyDescent="0.3">
      <c r="A225" s="58"/>
      <c r="B225" s="58"/>
      <c r="C225" s="58"/>
      <c r="D225" s="58"/>
      <c r="E225" s="58"/>
      <c r="F225" s="58"/>
      <c r="G225" s="59"/>
      <c r="H225" s="60"/>
      <c r="I225" s="60"/>
      <c r="J225" s="59"/>
      <c r="K225" s="61"/>
      <c r="M225" s="62"/>
      <c r="N225" s="62"/>
      <c r="O225" s="62"/>
      <c r="P225" s="62"/>
      <c r="Q225" s="62"/>
      <c r="R225" s="62"/>
      <c r="S225" s="62"/>
      <c r="T225" s="62"/>
      <c r="U225" s="62"/>
      <c r="V225" s="62"/>
      <c r="W225" s="62"/>
      <c r="X225" s="62"/>
      <c r="Y225" s="62"/>
      <c r="Z225" s="62"/>
      <c r="AA225" s="62"/>
      <c r="AB225" s="62"/>
      <c r="AC225" s="62"/>
      <c r="AD225" s="62"/>
      <c r="AE225" s="62"/>
      <c r="AF225" s="62"/>
      <c r="AG225" s="62"/>
      <c r="AH225" s="62"/>
      <c r="AI225" s="62"/>
      <c r="AJ225" s="62"/>
      <c r="AK225" s="62"/>
      <c r="AL225" s="62"/>
      <c r="AM225" s="62"/>
      <c r="AN225" s="62"/>
      <c r="AO225" s="62"/>
      <c r="AP225" s="62"/>
      <c r="AQ225" s="62"/>
      <c r="AR225" s="62"/>
      <c r="AS225" s="62"/>
      <c r="AT225" s="62"/>
      <c r="AU225" s="62"/>
      <c r="AV225" s="62"/>
      <c r="AW225" s="62"/>
      <c r="AX225" s="62"/>
    </row>
    <row r="226" spans="1:50" ht="14.25" customHeight="1" x14ac:dyDescent="0.3">
      <c r="A226" s="58"/>
      <c r="B226" s="58"/>
      <c r="C226" s="58"/>
      <c r="D226" s="58"/>
      <c r="E226" s="58"/>
      <c r="F226" s="58"/>
      <c r="G226" s="59"/>
      <c r="H226" s="60"/>
      <c r="I226" s="60"/>
      <c r="J226" s="59"/>
      <c r="K226" s="61"/>
      <c r="M226" s="62"/>
      <c r="N226" s="62"/>
      <c r="O226" s="62"/>
      <c r="P226" s="62"/>
      <c r="Q226" s="62"/>
      <c r="R226" s="62"/>
      <c r="S226" s="62"/>
      <c r="T226" s="62"/>
      <c r="U226" s="62"/>
      <c r="V226" s="62"/>
      <c r="W226" s="62"/>
      <c r="X226" s="62"/>
      <c r="Y226" s="62"/>
      <c r="Z226" s="62"/>
      <c r="AA226" s="62"/>
      <c r="AB226" s="62"/>
      <c r="AC226" s="62"/>
      <c r="AD226" s="62"/>
      <c r="AE226" s="62"/>
      <c r="AF226" s="62"/>
      <c r="AG226" s="62"/>
      <c r="AH226" s="62"/>
      <c r="AI226" s="62"/>
      <c r="AJ226" s="62"/>
      <c r="AK226" s="62"/>
      <c r="AL226" s="62"/>
      <c r="AM226" s="62"/>
      <c r="AN226" s="62"/>
      <c r="AO226" s="62"/>
      <c r="AP226" s="62"/>
      <c r="AQ226" s="62"/>
      <c r="AR226" s="62"/>
      <c r="AS226" s="62"/>
      <c r="AT226" s="62"/>
      <c r="AU226" s="62"/>
      <c r="AV226" s="62"/>
      <c r="AW226" s="62"/>
      <c r="AX226" s="62"/>
    </row>
    <row r="227" spans="1:50" ht="14.25" customHeight="1" x14ac:dyDescent="0.3">
      <c r="A227" s="58"/>
      <c r="B227" s="58"/>
      <c r="C227" s="58"/>
      <c r="D227" s="58"/>
      <c r="E227" s="58"/>
      <c r="F227" s="58"/>
      <c r="G227" s="59"/>
      <c r="H227" s="60"/>
      <c r="I227" s="60"/>
      <c r="J227" s="59"/>
      <c r="K227" s="61"/>
      <c r="M227" s="62"/>
      <c r="N227" s="62"/>
      <c r="O227" s="62"/>
      <c r="P227" s="62"/>
      <c r="Q227" s="62"/>
      <c r="R227" s="62"/>
      <c r="S227" s="62"/>
      <c r="T227" s="62"/>
      <c r="U227" s="62"/>
      <c r="V227" s="62"/>
      <c r="W227" s="62"/>
      <c r="X227" s="62"/>
      <c r="Y227" s="62"/>
      <c r="Z227" s="62"/>
      <c r="AA227" s="62"/>
      <c r="AB227" s="62"/>
      <c r="AC227" s="62"/>
      <c r="AD227" s="62"/>
      <c r="AE227" s="62"/>
      <c r="AF227" s="62"/>
      <c r="AG227" s="62"/>
      <c r="AH227" s="62"/>
      <c r="AI227" s="62"/>
      <c r="AJ227" s="62"/>
      <c r="AK227" s="62"/>
      <c r="AL227" s="62"/>
      <c r="AM227" s="62"/>
      <c r="AN227" s="62"/>
      <c r="AO227" s="62"/>
      <c r="AP227" s="62"/>
      <c r="AQ227" s="62"/>
      <c r="AR227" s="62"/>
      <c r="AS227" s="62"/>
      <c r="AT227" s="62"/>
      <c r="AU227" s="62"/>
      <c r="AV227" s="62"/>
      <c r="AW227" s="62"/>
      <c r="AX227" s="62"/>
    </row>
    <row r="228" spans="1:50" ht="14.25" customHeight="1" x14ac:dyDescent="0.3">
      <c r="A228" s="58"/>
      <c r="B228" s="58"/>
      <c r="C228" s="58"/>
      <c r="D228" s="58"/>
      <c r="E228" s="58"/>
      <c r="F228" s="58"/>
      <c r="G228" s="59"/>
      <c r="H228" s="60"/>
      <c r="I228" s="60"/>
      <c r="J228" s="59"/>
      <c r="K228" s="61"/>
      <c r="M228" s="62"/>
      <c r="N228" s="62"/>
      <c r="O228" s="62"/>
      <c r="P228" s="62"/>
      <c r="Q228" s="62"/>
      <c r="R228" s="62"/>
      <c r="S228" s="62"/>
      <c r="T228" s="62"/>
      <c r="U228" s="62"/>
      <c r="V228" s="62"/>
      <c r="W228" s="62"/>
      <c r="X228" s="62"/>
      <c r="Y228" s="62"/>
      <c r="Z228" s="62"/>
      <c r="AA228" s="62"/>
      <c r="AB228" s="62"/>
      <c r="AC228" s="62"/>
      <c r="AD228" s="62"/>
      <c r="AE228" s="62"/>
      <c r="AF228" s="62"/>
      <c r="AG228" s="62"/>
      <c r="AH228" s="62"/>
      <c r="AI228" s="62"/>
      <c r="AJ228" s="62"/>
      <c r="AK228" s="62"/>
      <c r="AL228" s="62"/>
      <c r="AM228" s="62"/>
      <c r="AN228" s="62"/>
      <c r="AO228" s="62"/>
      <c r="AP228" s="62"/>
      <c r="AQ228" s="62"/>
      <c r="AR228" s="62"/>
      <c r="AS228" s="62"/>
      <c r="AT228" s="62"/>
      <c r="AU228" s="62"/>
      <c r="AV228" s="62"/>
      <c r="AW228" s="62"/>
      <c r="AX228" s="62"/>
    </row>
    <row r="229" spans="1:50" ht="14.25" customHeight="1" x14ac:dyDescent="0.3">
      <c r="A229" s="58"/>
      <c r="B229" s="58"/>
      <c r="C229" s="58"/>
      <c r="D229" s="58"/>
      <c r="E229" s="58"/>
      <c r="F229" s="58"/>
      <c r="G229" s="59"/>
      <c r="H229" s="60"/>
      <c r="I229" s="60"/>
      <c r="J229" s="59"/>
      <c r="K229" s="61"/>
      <c r="M229" s="62"/>
      <c r="N229" s="62"/>
      <c r="O229" s="62"/>
      <c r="P229" s="62"/>
      <c r="Q229" s="62"/>
      <c r="R229" s="62"/>
      <c r="S229" s="62"/>
      <c r="T229" s="62"/>
      <c r="U229" s="62"/>
      <c r="V229" s="62"/>
      <c r="W229" s="62"/>
      <c r="X229" s="62"/>
      <c r="Y229" s="62"/>
      <c r="Z229" s="62"/>
      <c r="AA229" s="62"/>
      <c r="AB229" s="62"/>
      <c r="AC229" s="62"/>
      <c r="AD229" s="62"/>
      <c r="AE229" s="62"/>
      <c r="AF229" s="62"/>
      <c r="AG229" s="62"/>
      <c r="AH229" s="62"/>
      <c r="AI229" s="62"/>
      <c r="AJ229" s="62"/>
      <c r="AK229" s="62"/>
      <c r="AL229" s="62"/>
      <c r="AM229" s="62"/>
      <c r="AN229" s="62"/>
      <c r="AO229" s="62"/>
      <c r="AP229" s="62"/>
      <c r="AQ229" s="62"/>
      <c r="AR229" s="62"/>
      <c r="AS229" s="62"/>
      <c r="AT229" s="62"/>
      <c r="AU229" s="62"/>
      <c r="AV229" s="62"/>
      <c r="AW229" s="62"/>
      <c r="AX229" s="62"/>
    </row>
    <row r="230" spans="1:50" ht="14.25" customHeight="1" x14ac:dyDescent="0.3">
      <c r="A230" s="58"/>
      <c r="B230" s="58"/>
      <c r="C230" s="58"/>
      <c r="D230" s="58"/>
      <c r="E230" s="58"/>
      <c r="F230" s="58"/>
      <c r="G230" s="59"/>
      <c r="H230" s="60"/>
      <c r="I230" s="60"/>
      <c r="J230" s="59"/>
      <c r="K230" s="61"/>
      <c r="M230" s="62"/>
      <c r="N230" s="62"/>
      <c r="O230" s="62"/>
      <c r="P230" s="62"/>
      <c r="Q230" s="62"/>
      <c r="R230" s="62"/>
      <c r="S230" s="62"/>
      <c r="T230" s="62"/>
      <c r="U230" s="62"/>
      <c r="V230" s="62"/>
      <c r="W230" s="62"/>
      <c r="X230" s="62"/>
      <c r="Y230" s="62"/>
      <c r="Z230" s="62"/>
      <c r="AA230" s="62"/>
      <c r="AB230" s="62"/>
      <c r="AC230" s="62"/>
      <c r="AD230" s="62"/>
      <c r="AE230" s="62"/>
      <c r="AF230" s="62"/>
      <c r="AG230" s="62"/>
      <c r="AH230" s="62"/>
      <c r="AI230" s="62"/>
      <c r="AJ230" s="62"/>
      <c r="AK230" s="62"/>
      <c r="AL230" s="62"/>
      <c r="AM230" s="62"/>
      <c r="AN230" s="62"/>
      <c r="AO230" s="62"/>
      <c r="AP230" s="62"/>
      <c r="AQ230" s="62"/>
      <c r="AR230" s="62"/>
      <c r="AS230" s="62"/>
      <c r="AT230" s="62"/>
      <c r="AU230" s="62"/>
      <c r="AV230" s="62"/>
      <c r="AW230" s="62"/>
      <c r="AX230" s="62"/>
    </row>
    <row r="231" spans="1:50" ht="14.25" customHeight="1" x14ac:dyDescent="0.3">
      <c r="A231" s="58"/>
      <c r="B231" s="58"/>
      <c r="C231" s="58"/>
      <c r="D231" s="58"/>
      <c r="E231" s="58"/>
      <c r="F231" s="58"/>
      <c r="G231" s="59"/>
      <c r="H231" s="60"/>
      <c r="I231" s="60"/>
      <c r="J231" s="59"/>
      <c r="K231" s="61"/>
      <c r="M231" s="62"/>
      <c r="N231" s="62"/>
      <c r="O231" s="62"/>
      <c r="P231" s="62"/>
      <c r="Q231" s="62"/>
      <c r="R231" s="62"/>
      <c r="S231" s="62"/>
      <c r="T231" s="62"/>
      <c r="U231" s="62"/>
      <c r="V231" s="62"/>
      <c r="W231" s="62"/>
      <c r="X231" s="62"/>
      <c r="Y231" s="62"/>
      <c r="Z231" s="62"/>
      <c r="AA231" s="62"/>
      <c r="AB231" s="62"/>
      <c r="AC231" s="62"/>
      <c r="AD231" s="62"/>
      <c r="AE231" s="62"/>
      <c r="AF231" s="62"/>
      <c r="AG231" s="62"/>
      <c r="AH231" s="62"/>
      <c r="AI231" s="62"/>
      <c r="AJ231" s="62"/>
      <c r="AK231" s="62"/>
      <c r="AL231" s="62"/>
      <c r="AM231" s="62"/>
      <c r="AN231" s="62"/>
      <c r="AO231" s="62"/>
      <c r="AP231" s="62"/>
      <c r="AQ231" s="62"/>
      <c r="AR231" s="62"/>
      <c r="AS231" s="62"/>
      <c r="AT231" s="62"/>
      <c r="AU231" s="62"/>
      <c r="AV231" s="62"/>
      <c r="AW231" s="62"/>
      <c r="AX231" s="62"/>
    </row>
    <row r="232" spans="1:50" ht="14.25" customHeight="1" x14ac:dyDescent="0.3">
      <c r="A232" s="58"/>
      <c r="B232" s="58"/>
      <c r="C232" s="58"/>
      <c r="D232" s="58"/>
      <c r="E232" s="58"/>
      <c r="F232" s="58"/>
      <c r="G232" s="59"/>
      <c r="H232" s="60"/>
      <c r="I232" s="60"/>
      <c r="J232" s="59"/>
      <c r="K232" s="61"/>
      <c r="M232" s="62"/>
      <c r="N232" s="62"/>
      <c r="O232" s="62"/>
      <c r="P232" s="62"/>
      <c r="Q232" s="62"/>
      <c r="R232" s="62"/>
      <c r="S232" s="62"/>
      <c r="T232" s="62"/>
      <c r="U232" s="62"/>
      <c r="V232" s="62"/>
      <c r="W232" s="62"/>
      <c r="X232" s="62"/>
      <c r="Y232" s="62"/>
      <c r="Z232" s="62"/>
      <c r="AA232" s="62"/>
      <c r="AB232" s="62"/>
      <c r="AC232" s="62"/>
      <c r="AD232" s="62"/>
      <c r="AE232" s="62"/>
      <c r="AF232" s="62"/>
      <c r="AG232" s="62"/>
      <c r="AH232" s="62"/>
      <c r="AI232" s="62"/>
      <c r="AJ232" s="62"/>
      <c r="AK232" s="62"/>
      <c r="AL232" s="62"/>
      <c r="AM232" s="62"/>
      <c r="AN232" s="62"/>
      <c r="AO232" s="62"/>
      <c r="AP232" s="62"/>
      <c r="AQ232" s="62"/>
      <c r="AR232" s="62"/>
      <c r="AS232" s="62"/>
      <c r="AT232" s="62"/>
      <c r="AU232" s="62"/>
      <c r="AV232" s="62"/>
      <c r="AW232" s="62"/>
      <c r="AX232" s="62"/>
    </row>
    <row r="233" spans="1:50" ht="14.25" customHeight="1" x14ac:dyDescent="0.3">
      <c r="A233" s="58"/>
      <c r="B233" s="58"/>
      <c r="C233" s="58"/>
      <c r="D233" s="58"/>
      <c r="E233" s="58"/>
      <c r="F233" s="58"/>
      <c r="G233" s="59"/>
      <c r="H233" s="60"/>
      <c r="I233" s="60"/>
      <c r="J233" s="59"/>
      <c r="K233" s="61"/>
      <c r="M233" s="62"/>
      <c r="N233" s="62"/>
      <c r="O233" s="62"/>
      <c r="P233" s="62"/>
      <c r="Q233" s="62"/>
      <c r="R233" s="62"/>
      <c r="S233" s="62"/>
      <c r="T233" s="62"/>
      <c r="U233" s="62"/>
      <c r="V233" s="62"/>
      <c r="W233" s="62"/>
      <c r="X233" s="62"/>
      <c r="Y233" s="62"/>
      <c r="Z233" s="62"/>
      <c r="AA233" s="62"/>
      <c r="AB233" s="62"/>
      <c r="AC233" s="62"/>
      <c r="AD233" s="62"/>
      <c r="AE233" s="62"/>
      <c r="AF233" s="62"/>
      <c r="AG233" s="62"/>
      <c r="AH233" s="62"/>
      <c r="AI233" s="62"/>
      <c r="AJ233" s="62"/>
      <c r="AK233" s="62"/>
      <c r="AL233" s="62"/>
      <c r="AM233" s="62"/>
      <c r="AN233" s="62"/>
      <c r="AO233" s="62"/>
      <c r="AP233" s="62"/>
      <c r="AQ233" s="62"/>
      <c r="AR233" s="62"/>
      <c r="AS233" s="62"/>
      <c r="AT233" s="62"/>
      <c r="AU233" s="62"/>
      <c r="AV233" s="62"/>
      <c r="AW233" s="62"/>
      <c r="AX233" s="62"/>
    </row>
    <row r="234" spans="1:50" ht="14.25" customHeight="1" x14ac:dyDescent="0.3">
      <c r="A234" s="58"/>
      <c r="B234" s="58"/>
      <c r="C234" s="58"/>
      <c r="D234" s="58"/>
      <c r="E234" s="58"/>
      <c r="F234" s="58"/>
      <c r="G234" s="59"/>
      <c r="H234" s="60"/>
      <c r="I234" s="60"/>
      <c r="J234" s="59"/>
      <c r="K234" s="61"/>
      <c r="M234" s="62"/>
      <c r="N234" s="62"/>
      <c r="O234" s="62"/>
      <c r="P234" s="62"/>
      <c r="Q234" s="62"/>
      <c r="R234" s="62"/>
      <c r="S234" s="62"/>
      <c r="T234" s="62"/>
      <c r="U234" s="62"/>
      <c r="V234" s="62"/>
      <c r="W234" s="62"/>
      <c r="X234" s="62"/>
      <c r="Y234" s="62"/>
      <c r="Z234" s="62"/>
      <c r="AA234" s="62"/>
      <c r="AB234" s="62"/>
      <c r="AC234" s="62"/>
      <c r="AD234" s="62"/>
      <c r="AE234" s="62"/>
      <c r="AF234" s="62"/>
      <c r="AG234" s="62"/>
      <c r="AH234" s="62"/>
      <c r="AI234" s="62"/>
      <c r="AJ234" s="62"/>
      <c r="AK234" s="62"/>
      <c r="AL234" s="62"/>
      <c r="AM234" s="62"/>
      <c r="AN234" s="62"/>
      <c r="AO234" s="62"/>
      <c r="AP234" s="62"/>
      <c r="AQ234" s="62"/>
      <c r="AR234" s="62"/>
      <c r="AS234" s="62"/>
      <c r="AT234" s="62"/>
      <c r="AU234" s="62"/>
      <c r="AV234" s="62"/>
      <c r="AW234" s="62"/>
      <c r="AX234" s="62"/>
    </row>
    <row r="235" spans="1:50" ht="14.25" customHeight="1" x14ac:dyDescent="0.3">
      <c r="A235" s="58"/>
      <c r="B235" s="58"/>
      <c r="C235" s="58"/>
      <c r="D235" s="58"/>
      <c r="E235" s="58"/>
      <c r="F235" s="58"/>
      <c r="G235" s="59"/>
      <c r="H235" s="60"/>
      <c r="I235" s="60"/>
      <c r="J235" s="59"/>
      <c r="K235" s="61"/>
      <c r="M235" s="62"/>
      <c r="N235" s="62"/>
      <c r="O235" s="62"/>
      <c r="P235" s="62"/>
      <c r="Q235" s="62"/>
      <c r="R235" s="62"/>
      <c r="S235" s="62"/>
      <c r="T235" s="62"/>
      <c r="U235" s="62"/>
      <c r="V235" s="62"/>
      <c r="W235" s="62"/>
      <c r="X235" s="62"/>
      <c r="Y235" s="62"/>
      <c r="Z235" s="62"/>
      <c r="AA235" s="62"/>
      <c r="AB235" s="62"/>
      <c r="AC235" s="62"/>
      <c r="AD235" s="62"/>
      <c r="AE235" s="62"/>
      <c r="AF235" s="62"/>
      <c r="AG235" s="62"/>
      <c r="AH235" s="62"/>
      <c r="AI235" s="62"/>
      <c r="AJ235" s="62"/>
      <c r="AK235" s="62"/>
      <c r="AL235" s="62"/>
      <c r="AM235" s="62"/>
      <c r="AN235" s="62"/>
      <c r="AO235" s="62"/>
      <c r="AP235" s="62"/>
      <c r="AQ235" s="62"/>
      <c r="AR235" s="62"/>
      <c r="AS235" s="62"/>
      <c r="AT235" s="62"/>
      <c r="AU235" s="62"/>
      <c r="AV235" s="62"/>
      <c r="AW235" s="62"/>
      <c r="AX235" s="62"/>
    </row>
    <row r="236" spans="1:50" ht="14.25" customHeight="1" x14ac:dyDescent="0.3">
      <c r="A236" s="58"/>
      <c r="B236" s="58"/>
      <c r="C236" s="58"/>
      <c r="D236" s="58"/>
      <c r="E236" s="58"/>
      <c r="F236" s="58"/>
      <c r="G236" s="59"/>
      <c r="H236" s="60"/>
      <c r="I236" s="60"/>
      <c r="J236" s="59"/>
      <c r="K236" s="61"/>
      <c r="M236" s="62"/>
      <c r="N236" s="62"/>
      <c r="O236" s="62"/>
      <c r="P236" s="62"/>
      <c r="Q236" s="62"/>
      <c r="R236" s="62"/>
      <c r="S236" s="62"/>
      <c r="T236" s="62"/>
      <c r="U236" s="62"/>
      <c r="V236" s="62"/>
      <c r="W236" s="62"/>
      <c r="X236" s="62"/>
      <c r="Y236" s="62"/>
      <c r="Z236" s="62"/>
      <c r="AA236" s="62"/>
      <c r="AB236" s="62"/>
      <c r="AC236" s="62"/>
      <c r="AD236" s="62"/>
      <c r="AE236" s="62"/>
      <c r="AF236" s="62"/>
      <c r="AG236" s="62"/>
      <c r="AH236" s="62"/>
      <c r="AI236" s="62"/>
      <c r="AJ236" s="62"/>
      <c r="AK236" s="62"/>
      <c r="AL236" s="62"/>
      <c r="AM236" s="62"/>
      <c r="AN236" s="62"/>
      <c r="AO236" s="62"/>
      <c r="AP236" s="62"/>
      <c r="AQ236" s="62"/>
      <c r="AR236" s="62"/>
      <c r="AS236" s="62"/>
      <c r="AT236" s="62"/>
      <c r="AU236" s="62"/>
      <c r="AV236" s="62"/>
      <c r="AW236" s="62"/>
      <c r="AX236" s="62"/>
    </row>
    <row r="237" spans="1:50" ht="14.25" customHeight="1" x14ac:dyDescent="0.3">
      <c r="A237" s="58"/>
      <c r="B237" s="58"/>
      <c r="C237" s="58"/>
      <c r="D237" s="58"/>
      <c r="E237" s="58"/>
      <c r="F237" s="58"/>
      <c r="G237" s="59"/>
      <c r="H237" s="60"/>
      <c r="I237" s="60"/>
      <c r="J237" s="59"/>
      <c r="K237" s="61"/>
      <c r="M237" s="62"/>
      <c r="N237" s="62"/>
      <c r="O237" s="62"/>
      <c r="P237" s="62"/>
      <c r="Q237" s="62"/>
      <c r="R237" s="62"/>
      <c r="S237" s="62"/>
      <c r="T237" s="62"/>
      <c r="U237" s="62"/>
      <c r="V237" s="62"/>
      <c r="W237" s="62"/>
      <c r="X237" s="62"/>
      <c r="Y237" s="62"/>
      <c r="Z237" s="62"/>
      <c r="AA237" s="62"/>
      <c r="AB237" s="62"/>
      <c r="AC237" s="62"/>
      <c r="AD237" s="62"/>
      <c r="AE237" s="62"/>
      <c r="AF237" s="62"/>
      <c r="AG237" s="62"/>
      <c r="AH237" s="62"/>
      <c r="AI237" s="62"/>
      <c r="AJ237" s="62"/>
      <c r="AK237" s="62"/>
      <c r="AL237" s="62"/>
      <c r="AM237" s="62"/>
      <c r="AN237" s="62"/>
      <c r="AO237" s="62"/>
      <c r="AP237" s="62"/>
      <c r="AQ237" s="62"/>
      <c r="AR237" s="62"/>
      <c r="AS237" s="62"/>
      <c r="AT237" s="62"/>
      <c r="AU237" s="62"/>
      <c r="AV237" s="62"/>
      <c r="AW237" s="62"/>
      <c r="AX237" s="62"/>
    </row>
    <row r="238" spans="1:50" ht="14.25" customHeight="1" x14ac:dyDescent="0.3">
      <c r="A238" s="58"/>
      <c r="B238" s="58"/>
      <c r="C238" s="58"/>
      <c r="D238" s="58"/>
      <c r="E238" s="58"/>
      <c r="F238" s="58"/>
      <c r="G238" s="59"/>
      <c r="H238" s="60"/>
      <c r="I238" s="60"/>
      <c r="J238" s="59"/>
      <c r="K238" s="61"/>
      <c r="M238" s="62"/>
      <c r="N238" s="62"/>
      <c r="O238" s="62"/>
      <c r="P238" s="62"/>
      <c r="Q238" s="62"/>
      <c r="R238" s="62"/>
      <c r="S238" s="62"/>
      <c r="T238" s="62"/>
      <c r="U238" s="62"/>
      <c r="V238" s="62"/>
      <c r="W238" s="62"/>
      <c r="X238" s="62"/>
      <c r="Y238" s="62"/>
      <c r="Z238" s="62"/>
      <c r="AA238" s="62"/>
      <c r="AB238" s="62"/>
      <c r="AC238" s="62"/>
      <c r="AD238" s="62"/>
      <c r="AE238" s="62"/>
      <c r="AF238" s="62"/>
      <c r="AG238" s="62"/>
      <c r="AH238" s="62"/>
      <c r="AI238" s="62"/>
      <c r="AJ238" s="62"/>
      <c r="AK238" s="62"/>
      <c r="AL238" s="62"/>
      <c r="AM238" s="62"/>
      <c r="AN238" s="62"/>
      <c r="AO238" s="62"/>
      <c r="AP238" s="62"/>
      <c r="AQ238" s="62"/>
      <c r="AR238" s="62"/>
      <c r="AS238" s="62"/>
      <c r="AT238" s="62"/>
      <c r="AU238" s="62"/>
      <c r="AV238" s="62"/>
      <c r="AW238" s="62"/>
      <c r="AX238" s="62"/>
    </row>
    <row r="239" spans="1:50" ht="14.25" customHeight="1" x14ac:dyDescent="0.3">
      <c r="A239" s="58"/>
      <c r="B239" s="58"/>
      <c r="C239" s="58"/>
      <c r="D239" s="58"/>
      <c r="E239" s="58"/>
      <c r="F239" s="58"/>
      <c r="G239" s="59"/>
      <c r="H239" s="60"/>
      <c r="I239" s="60"/>
      <c r="J239" s="59"/>
      <c r="K239" s="61"/>
      <c r="M239" s="62"/>
      <c r="N239" s="62"/>
      <c r="O239" s="62"/>
      <c r="P239" s="62"/>
      <c r="Q239" s="62"/>
      <c r="R239" s="62"/>
      <c r="S239" s="62"/>
      <c r="T239" s="62"/>
      <c r="U239" s="62"/>
      <c r="V239" s="62"/>
      <c r="W239" s="62"/>
      <c r="X239" s="62"/>
      <c r="Y239" s="62"/>
      <c r="Z239" s="62"/>
      <c r="AA239" s="62"/>
      <c r="AB239" s="62"/>
      <c r="AC239" s="62"/>
      <c r="AD239" s="62"/>
      <c r="AE239" s="62"/>
      <c r="AF239" s="62"/>
      <c r="AG239" s="62"/>
      <c r="AH239" s="62"/>
      <c r="AI239" s="62"/>
      <c r="AJ239" s="62"/>
      <c r="AK239" s="62"/>
      <c r="AL239" s="62"/>
      <c r="AM239" s="62"/>
      <c r="AN239" s="62"/>
      <c r="AO239" s="62"/>
      <c r="AP239" s="62"/>
      <c r="AQ239" s="62"/>
      <c r="AR239" s="62"/>
      <c r="AS239" s="62"/>
      <c r="AT239" s="62"/>
      <c r="AU239" s="62"/>
      <c r="AV239" s="62"/>
      <c r="AW239" s="62"/>
      <c r="AX239" s="62"/>
    </row>
    <row r="240" spans="1:50" ht="14.25" customHeight="1" x14ac:dyDescent="0.3">
      <c r="A240" s="58"/>
      <c r="B240" s="58"/>
      <c r="C240" s="58"/>
      <c r="D240" s="58"/>
      <c r="E240" s="58"/>
      <c r="F240" s="58"/>
      <c r="G240" s="59"/>
      <c r="H240" s="60"/>
      <c r="I240" s="60"/>
      <c r="J240" s="59"/>
      <c r="K240" s="61"/>
      <c r="M240" s="62"/>
      <c r="N240" s="62"/>
      <c r="O240" s="62"/>
      <c r="P240" s="62"/>
      <c r="Q240" s="62"/>
      <c r="R240" s="62"/>
      <c r="S240" s="62"/>
      <c r="T240" s="62"/>
      <c r="U240" s="62"/>
      <c r="V240" s="62"/>
      <c r="W240" s="62"/>
      <c r="X240" s="62"/>
      <c r="Y240" s="62"/>
      <c r="Z240" s="62"/>
      <c r="AA240" s="62"/>
      <c r="AB240" s="62"/>
      <c r="AC240" s="62"/>
      <c r="AD240" s="62"/>
      <c r="AE240" s="62"/>
      <c r="AF240" s="62"/>
      <c r="AG240" s="62"/>
      <c r="AH240" s="62"/>
      <c r="AI240" s="62"/>
      <c r="AJ240" s="62"/>
      <c r="AK240" s="62"/>
      <c r="AL240" s="62"/>
      <c r="AM240" s="62"/>
      <c r="AN240" s="62"/>
      <c r="AO240" s="62"/>
      <c r="AP240" s="62"/>
      <c r="AQ240" s="62"/>
      <c r="AR240" s="62"/>
      <c r="AS240" s="62"/>
      <c r="AT240" s="62"/>
      <c r="AU240" s="62"/>
      <c r="AV240" s="62"/>
      <c r="AW240" s="62"/>
      <c r="AX240" s="62"/>
    </row>
    <row r="241" spans="1:50" ht="14.25" customHeight="1" x14ac:dyDescent="0.3">
      <c r="A241" s="58"/>
      <c r="B241" s="58"/>
      <c r="C241" s="58"/>
      <c r="D241" s="58"/>
      <c r="E241" s="58"/>
      <c r="F241" s="58"/>
      <c r="G241" s="59"/>
      <c r="H241" s="60"/>
      <c r="I241" s="60"/>
      <c r="J241" s="59"/>
      <c r="K241" s="61"/>
      <c r="M241" s="62"/>
      <c r="N241" s="62"/>
      <c r="O241" s="62"/>
      <c r="P241" s="62"/>
      <c r="Q241" s="62"/>
      <c r="R241" s="62"/>
      <c r="S241" s="62"/>
      <c r="T241" s="62"/>
      <c r="U241" s="62"/>
      <c r="V241" s="62"/>
      <c r="W241" s="62"/>
      <c r="X241" s="62"/>
      <c r="Y241" s="62"/>
      <c r="Z241" s="62"/>
      <c r="AA241" s="62"/>
      <c r="AB241" s="62"/>
      <c r="AC241" s="62"/>
      <c r="AD241" s="62"/>
      <c r="AE241" s="62"/>
      <c r="AF241" s="62"/>
      <c r="AG241" s="62"/>
      <c r="AH241" s="62"/>
      <c r="AI241" s="62"/>
      <c r="AJ241" s="62"/>
      <c r="AK241" s="62"/>
      <c r="AL241" s="62"/>
      <c r="AM241" s="62"/>
      <c r="AN241" s="62"/>
      <c r="AO241" s="62"/>
      <c r="AP241" s="62"/>
      <c r="AQ241" s="62"/>
      <c r="AR241" s="62"/>
      <c r="AS241" s="62"/>
      <c r="AT241" s="62"/>
      <c r="AU241" s="62"/>
      <c r="AV241" s="62"/>
      <c r="AW241" s="62"/>
      <c r="AX241" s="62"/>
    </row>
    <row r="242" spans="1:50" ht="14.25" customHeight="1" x14ac:dyDescent="0.3">
      <c r="A242" s="58"/>
      <c r="B242" s="58"/>
      <c r="C242" s="58"/>
      <c r="D242" s="58"/>
      <c r="E242" s="58"/>
      <c r="F242" s="58"/>
      <c r="G242" s="59"/>
      <c r="H242" s="60"/>
      <c r="I242" s="60"/>
      <c r="J242" s="59"/>
      <c r="K242" s="61"/>
      <c r="M242" s="62"/>
      <c r="N242" s="62"/>
      <c r="O242" s="62"/>
      <c r="P242" s="62"/>
      <c r="Q242" s="62"/>
      <c r="R242" s="62"/>
      <c r="S242" s="62"/>
      <c r="T242" s="62"/>
      <c r="U242" s="62"/>
      <c r="V242" s="62"/>
      <c r="W242" s="62"/>
      <c r="X242" s="62"/>
      <c r="Y242" s="62"/>
      <c r="Z242" s="62"/>
      <c r="AA242" s="62"/>
      <c r="AB242" s="62"/>
      <c r="AC242" s="62"/>
      <c r="AD242" s="62"/>
      <c r="AE242" s="62"/>
      <c r="AF242" s="62"/>
      <c r="AG242" s="62"/>
      <c r="AH242" s="62"/>
      <c r="AI242" s="62"/>
      <c r="AJ242" s="62"/>
      <c r="AK242" s="62"/>
      <c r="AL242" s="62"/>
      <c r="AM242" s="62"/>
      <c r="AN242" s="62"/>
      <c r="AO242" s="62"/>
      <c r="AP242" s="62"/>
      <c r="AQ242" s="62"/>
      <c r="AR242" s="62"/>
      <c r="AS242" s="62"/>
      <c r="AT242" s="62"/>
      <c r="AU242" s="62"/>
      <c r="AV242" s="62"/>
      <c r="AW242" s="62"/>
      <c r="AX242" s="62"/>
    </row>
    <row r="243" spans="1:50" ht="14.25" customHeight="1" x14ac:dyDescent="0.3">
      <c r="A243" s="58"/>
      <c r="B243" s="58"/>
      <c r="C243" s="58"/>
      <c r="D243" s="58"/>
      <c r="E243" s="58"/>
      <c r="F243" s="58"/>
      <c r="G243" s="59"/>
      <c r="H243" s="60"/>
      <c r="I243" s="60"/>
      <c r="J243" s="59"/>
      <c r="K243" s="61"/>
      <c r="M243" s="62"/>
      <c r="N243" s="62"/>
      <c r="O243" s="62"/>
      <c r="P243" s="62"/>
      <c r="Q243" s="62"/>
      <c r="R243" s="62"/>
      <c r="S243" s="62"/>
      <c r="T243" s="62"/>
      <c r="U243" s="62"/>
      <c r="V243" s="62"/>
      <c r="W243" s="62"/>
      <c r="X243" s="62"/>
      <c r="Y243" s="62"/>
      <c r="Z243" s="62"/>
      <c r="AA243" s="62"/>
      <c r="AB243" s="62"/>
      <c r="AC243" s="62"/>
      <c r="AD243" s="62"/>
      <c r="AE243" s="62"/>
      <c r="AF243" s="62"/>
      <c r="AG243" s="62"/>
      <c r="AH243" s="62"/>
      <c r="AI243" s="62"/>
      <c r="AJ243" s="62"/>
      <c r="AK243" s="62"/>
      <c r="AL243" s="62"/>
      <c r="AM243" s="62"/>
      <c r="AN243" s="62"/>
      <c r="AO243" s="62"/>
      <c r="AP243" s="62"/>
      <c r="AQ243" s="62"/>
      <c r="AR243" s="62"/>
      <c r="AS243" s="62"/>
      <c r="AT243" s="62"/>
      <c r="AU243" s="62"/>
      <c r="AV243" s="62"/>
      <c r="AW243" s="62"/>
      <c r="AX243" s="62"/>
    </row>
    <row r="244" spans="1:50" ht="14.25" customHeight="1" x14ac:dyDescent="0.3">
      <c r="A244" s="58"/>
      <c r="B244" s="58"/>
      <c r="C244" s="58"/>
      <c r="D244" s="58"/>
      <c r="E244" s="58"/>
      <c r="F244" s="58"/>
      <c r="G244" s="59"/>
      <c r="H244" s="60"/>
      <c r="I244" s="60"/>
      <c r="J244" s="59"/>
      <c r="K244" s="61"/>
      <c r="M244" s="62"/>
      <c r="N244" s="62"/>
      <c r="O244" s="62"/>
      <c r="P244" s="62"/>
      <c r="Q244" s="62"/>
      <c r="R244" s="62"/>
      <c r="S244" s="62"/>
      <c r="T244" s="62"/>
      <c r="U244" s="62"/>
      <c r="V244" s="62"/>
      <c r="W244" s="62"/>
      <c r="X244" s="62"/>
      <c r="Y244" s="62"/>
      <c r="Z244" s="62"/>
      <c r="AA244" s="62"/>
      <c r="AB244" s="62"/>
      <c r="AC244" s="62"/>
      <c r="AD244" s="62"/>
      <c r="AE244" s="62"/>
      <c r="AF244" s="62"/>
      <c r="AG244" s="62"/>
      <c r="AH244" s="62"/>
      <c r="AI244" s="62"/>
      <c r="AJ244" s="62"/>
      <c r="AK244" s="62"/>
      <c r="AL244" s="62"/>
      <c r="AM244" s="62"/>
      <c r="AN244" s="62"/>
      <c r="AO244" s="62"/>
      <c r="AP244" s="62"/>
      <c r="AQ244" s="62"/>
      <c r="AR244" s="62"/>
      <c r="AS244" s="62"/>
      <c r="AT244" s="62"/>
      <c r="AU244" s="62"/>
      <c r="AV244" s="62"/>
      <c r="AW244" s="62"/>
      <c r="AX244" s="62"/>
    </row>
    <row r="245" spans="1:50" ht="14.25" customHeight="1" x14ac:dyDescent="0.3">
      <c r="A245" s="58"/>
      <c r="B245" s="58"/>
      <c r="C245" s="58"/>
      <c r="D245" s="58"/>
      <c r="E245" s="58"/>
      <c r="F245" s="58"/>
      <c r="G245" s="59"/>
      <c r="H245" s="60"/>
      <c r="I245" s="60"/>
      <c r="J245" s="59"/>
      <c r="K245" s="61"/>
      <c r="M245" s="62"/>
      <c r="N245" s="62"/>
      <c r="O245" s="62"/>
      <c r="P245" s="62"/>
      <c r="Q245" s="62"/>
      <c r="R245" s="62"/>
      <c r="S245" s="62"/>
      <c r="T245" s="62"/>
      <c r="U245" s="62"/>
      <c r="V245" s="62"/>
      <c r="W245" s="62"/>
      <c r="X245" s="62"/>
      <c r="Y245" s="62"/>
      <c r="Z245" s="62"/>
      <c r="AA245" s="62"/>
      <c r="AB245" s="62"/>
      <c r="AC245" s="62"/>
      <c r="AD245" s="62"/>
      <c r="AE245" s="62"/>
      <c r="AF245" s="62"/>
      <c r="AG245" s="62"/>
      <c r="AH245" s="62"/>
      <c r="AI245" s="62"/>
      <c r="AJ245" s="62"/>
      <c r="AK245" s="62"/>
      <c r="AL245" s="62"/>
      <c r="AM245" s="62"/>
      <c r="AN245" s="62"/>
      <c r="AO245" s="62"/>
      <c r="AP245" s="62"/>
      <c r="AQ245" s="62"/>
      <c r="AR245" s="62"/>
      <c r="AS245" s="62"/>
      <c r="AT245" s="62"/>
      <c r="AU245" s="62"/>
      <c r="AV245" s="62"/>
      <c r="AW245" s="62"/>
      <c r="AX245" s="62"/>
    </row>
    <row r="246" spans="1:50" ht="14.25" customHeight="1" x14ac:dyDescent="0.3">
      <c r="A246" s="58"/>
      <c r="B246" s="58"/>
      <c r="C246" s="58"/>
      <c r="D246" s="58"/>
      <c r="E246" s="58"/>
      <c r="F246" s="58"/>
      <c r="G246" s="59"/>
      <c r="H246" s="60"/>
      <c r="I246" s="60"/>
      <c r="J246" s="59"/>
      <c r="K246" s="61"/>
      <c r="M246" s="62"/>
      <c r="N246" s="62"/>
      <c r="O246" s="62"/>
      <c r="P246" s="62"/>
      <c r="Q246" s="62"/>
      <c r="R246" s="62"/>
      <c r="S246" s="62"/>
      <c r="T246" s="62"/>
      <c r="U246" s="62"/>
      <c r="V246" s="62"/>
      <c r="W246" s="62"/>
      <c r="X246" s="62"/>
      <c r="Y246" s="62"/>
      <c r="Z246" s="62"/>
      <c r="AA246" s="62"/>
      <c r="AB246" s="62"/>
      <c r="AC246" s="62"/>
      <c r="AD246" s="62"/>
      <c r="AE246" s="62"/>
      <c r="AF246" s="62"/>
      <c r="AG246" s="62"/>
      <c r="AH246" s="62"/>
      <c r="AI246" s="62"/>
      <c r="AJ246" s="62"/>
      <c r="AK246" s="62"/>
      <c r="AL246" s="62"/>
      <c r="AM246" s="62"/>
      <c r="AN246" s="62"/>
      <c r="AO246" s="62"/>
      <c r="AP246" s="62"/>
      <c r="AQ246" s="62"/>
      <c r="AR246" s="62"/>
      <c r="AS246" s="62"/>
      <c r="AT246" s="62"/>
      <c r="AU246" s="62"/>
      <c r="AV246" s="62"/>
      <c r="AW246" s="62"/>
      <c r="AX246" s="62"/>
    </row>
    <row r="247" spans="1:50" ht="14.25" customHeight="1" x14ac:dyDescent="0.3">
      <c r="A247" s="58"/>
      <c r="B247" s="58"/>
      <c r="C247" s="58"/>
      <c r="D247" s="58"/>
      <c r="E247" s="58"/>
      <c r="F247" s="58"/>
      <c r="G247" s="59"/>
      <c r="H247" s="60"/>
      <c r="I247" s="60"/>
      <c r="J247" s="59"/>
      <c r="K247" s="61"/>
      <c r="M247" s="62"/>
      <c r="N247" s="62"/>
      <c r="O247" s="62"/>
      <c r="P247" s="62"/>
      <c r="Q247" s="62"/>
      <c r="R247" s="62"/>
      <c r="S247" s="62"/>
      <c r="T247" s="62"/>
      <c r="U247" s="62"/>
      <c r="V247" s="62"/>
      <c r="W247" s="62"/>
      <c r="X247" s="62"/>
      <c r="Y247" s="62"/>
      <c r="Z247" s="62"/>
      <c r="AA247" s="62"/>
      <c r="AB247" s="62"/>
      <c r="AC247" s="62"/>
      <c r="AD247" s="62"/>
      <c r="AE247" s="62"/>
      <c r="AF247" s="62"/>
      <c r="AG247" s="62"/>
      <c r="AH247" s="62"/>
      <c r="AI247" s="62"/>
      <c r="AJ247" s="62"/>
      <c r="AK247" s="62"/>
      <c r="AL247" s="62"/>
      <c r="AM247" s="62"/>
      <c r="AN247" s="62"/>
      <c r="AO247" s="62"/>
      <c r="AP247" s="62"/>
      <c r="AQ247" s="62"/>
      <c r="AR247" s="62"/>
      <c r="AS247" s="62"/>
      <c r="AT247" s="62"/>
      <c r="AU247" s="62"/>
      <c r="AV247" s="62"/>
      <c r="AW247" s="62"/>
      <c r="AX247" s="62"/>
    </row>
    <row r="248" spans="1:50" ht="14.25" customHeight="1" x14ac:dyDescent="0.3">
      <c r="A248" s="58"/>
      <c r="B248" s="58"/>
      <c r="C248" s="58"/>
      <c r="D248" s="58"/>
      <c r="E248" s="58"/>
      <c r="F248" s="58"/>
      <c r="G248" s="59"/>
      <c r="H248" s="60"/>
      <c r="I248" s="60"/>
      <c r="J248" s="59"/>
      <c r="K248" s="61"/>
      <c r="M248" s="62"/>
      <c r="N248" s="62"/>
      <c r="O248" s="62"/>
      <c r="P248" s="62"/>
      <c r="Q248" s="62"/>
      <c r="R248" s="62"/>
      <c r="S248" s="62"/>
      <c r="T248" s="62"/>
      <c r="U248" s="62"/>
      <c r="V248" s="62"/>
      <c r="W248" s="62"/>
      <c r="X248" s="62"/>
      <c r="Y248" s="62"/>
      <c r="Z248" s="62"/>
      <c r="AA248" s="62"/>
      <c r="AB248" s="62"/>
      <c r="AC248" s="62"/>
      <c r="AD248" s="62"/>
      <c r="AE248" s="62"/>
      <c r="AF248" s="62"/>
      <c r="AG248" s="62"/>
      <c r="AH248" s="62"/>
      <c r="AI248" s="62"/>
      <c r="AJ248" s="62"/>
      <c r="AK248" s="62"/>
      <c r="AL248" s="62"/>
      <c r="AM248" s="62"/>
      <c r="AN248" s="62"/>
      <c r="AO248" s="62"/>
      <c r="AP248" s="62"/>
      <c r="AQ248" s="62"/>
      <c r="AR248" s="62"/>
      <c r="AS248" s="62"/>
      <c r="AT248" s="62"/>
      <c r="AU248" s="62"/>
      <c r="AV248" s="62"/>
      <c r="AW248" s="62"/>
      <c r="AX248" s="62"/>
    </row>
    <row r="249" spans="1:50" ht="14.25" customHeight="1" x14ac:dyDescent="0.3">
      <c r="A249" s="58"/>
      <c r="B249" s="58"/>
      <c r="C249" s="58"/>
      <c r="D249" s="58"/>
      <c r="E249" s="58"/>
      <c r="F249" s="58"/>
      <c r="G249" s="59"/>
      <c r="H249" s="60"/>
      <c r="I249" s="60"/>
      <c r="J249" s="59"/>
      <c r="K249" s="61"/>
      <c r="M249" s="62"/>
      <c r="N249" s="62"/>
      <c r="O249" s="62"/>
      <c r="P249" s="62"/>
      <c r="Q249" s="62"/>
      <c r="R249" s="62"/>
      <c r="S249" s="62"/>
      <c r="T249" s="62"/>
      <c r="U249" s="62"/>
      <c r="V249" s="62"/>
      <c r="W249" s="62"/>
      <c r="X249" s="62"/>
      <c r="Y249" s="62"/>
      <c r="Z249" s="62"/>
      <c r="AA249" s="62"/>
      <c r="AB249" s="62"/>
      <c r="AC249" s="62"/>
      <c r="AD249" s="62"/>
      <c r="AE249" s="62"/>
      <c r="AF249" s="62"/>
      <c r="AG249" s="62"/>
      <c r="AH249" s="62"/>
      <c r="AI249" s="62"/>
      <c r="AJ249" s="62"/>
      <c r="AK249" s="62"/>
      <c r="AL249" s="62"/>
      <c r="AM249" s="62"/>
      <c r="AN249" s="62"/>
      <c r="AO249" s="62"/>
      <c r="AP249" s="62"/>
      <c r="AQ249" s="62"/>
      <c r="AR249" s="62"/>
      <c r="AS249" s="62"/>
      <c r="AT249" s="62"/>
      <c r="AU249" s="62"/>
      <c r="AV249" s="62"/>
      <c r="AW249" s="62"/>
      <c r="AX249" s="62"/>
    </row>
    <row r="250" spans="1:50" ht="14.25" customHeight="1" x14ac:dyDescent="0.3">
      <c r="A250" s="58"/>
      <c r="B250" s="58"/>
      <c r="C250" s="58"/>
      <c r="D250" s="58"/>
      <c r="E250" s="58"/>
      <c r="F250" s="58"/>
      <c r="G250" s="59"/>
      <c r="H250" s="60"/>
      <c r="I250" s="60"/>
      <c r="J250" s="59"/>
      <c r="K250" s="61"/>
      <c r="M250" s="62"/>
      <c r="N250" s="62"/>
      <c r="O250" s="62"/>
      <c r="P250" s="62"/>
      <c r="Q250" s="62"/>
      <c r="R250" s="62"/>
      <c r="S250" s="62"/>
      <c r="T250" s="62"/>
      <c r="U250" s="62"/>
      <c r="V250" s="62"/>
      <c r="W250" s="62"/>
      <c r="X250" s="62"/>
      <c r="Y250" s="62"/>
      <c r="Z250" s="62"/>
      <c r="AA250" s="62"/>
      <c r="AB250" s="62"/>
      <c r="AC250" s="62"/>
      <c r="AD250" s="62"/>
      <c r="AE250" s="62"/>
      <c r="AF250" s="62"/>
      <c r="AG250" s="62"/>
      <c r="AH250" s="62"/>
      <c r="AI250" s="62"/>
      <c r="AJ250" s="62"/>
      <c r="AK250" s="62"/>
      <c r="AL250" s="62"/>
      <c r="AM250" s="62"/>
      <c r="AN250" s="62"/>
      <c r="AO250" s="62"/>
      <c r="AP250" s="62"/>
      <c r="AQ250" s="62"/>
      <c r="AR250" s="62"/>
      <c r="AS250" s="62"/>
      <c r="AT250" s="62"/>
      <c r="AU250" s="62"/>
      <c r="AV250" s="62"/>
      <c r="AW250" s="62"/>
      <c r="AX250" s="62"/>
    </row>
    <row r="251" spans="1:50" ht="14.25" customHeight="1" x14ac:dyDescent="0.3">
      <c r="A251" s="58"/>
      <c r="B251" s="58"/>
      <c r="C251" s="58"/>
      <c r="D251" s="58"/>
      <c r="E251" s="58"/>
      <c r="F251" s="58"/>
      <c r="G251" s="59"/>
      <c r="H251" s="60"/>
      <c r="I251" s="60"/>
      <c r="J251" s="59"/>
      <c r="K251" s="61"/>
      <c r="M251" s="62"/>
      <c r="N251" s="62"/>
      <c r="O251" s="62"/>
      <c r="P251" s="62"/>
      <c r="Q251" s="62"/>
      <c r="R251" s="62"/>
      <c r="S251" s="62"/>
      <c r="T251" s="62"/>
      <c r="U251" s="62"/>
      <c r="V251" s="62"/>
      <c r="W251" s="62"/>
      <c r="X251" s="62"/>
      <c r="Y251" s="62"/>
      <c r="Z251" s="62"/>
      <c r="AA251" s="62"/>
      <c r="AB251" s="62"/>
      <c r="AC251" s="62"/>
      <c r="AD251" s="62"/>
      <c r="AE251" s="62"/>
      <c r="AF251" s="62"/>
      <c r="AG251" s="62"/>
      <c r="AH251" s="62"/>
      <c r="AI251" s="62"/>
      <c r="AJ251" s="62"/>
      <c r="AK251" s="62"/>
      <c r="AL251" s="62"/>
      <c r="AM251" s="62"/>
      <c r="AN251" s="62"/>
      <c r="AO251" s="62"/>
      <c r="AP251" s="62"/>
      <c r="AQ251" s="62"/>
      <c r="AR251" s="62"/>
      <c r="AS251" s="62"/>
      <c r="AT251" s="62"/>
      <c r="AU251" s="62"/>
      <c r="AV251" s="62"/>
      <c r="AW251" s="62"/>
      <c r="AX251" s="62"/>
    </row>
    <row r="252" spans="1:50" ht="14.25" customHeight="1" x14ac:dyDescent="0.3">
      <c r="A252" s="58"/>
      <c r="B252" s="58"/>
      <c r="C252" s="58"/>
      <c r="D252" s="58"/>
      <c r="E252" s="58"/>
      <c r="F252" s="58"/>
      <c r="G252" s="59"/>
      <c r="H252" s="60"/>
      <c r="I252" s="60"/>
      <c r="J252" s="59"/>
      <c r="K252" s="61"/>
      <c r="M252" s="62"/>
      <c r="N252" s="62"/>
      <c r="O252" s="62"/>
      <c r="P252" s="62"/>
      <c r="Q252" s="62"/>
      <c r="R252" s="62"/>
      <c r="S252" s="62"/>
      <c r="T252" s="62"/>
      <c r="U252" s="62"/>
      <c r="V252" s="62"/>
      <c r="W252" s="62"/>
      <c r="X252" s="62"/>
      <c r="Y252" s="62"/>
      <c r="Z252" s="62"/>
      <c r="AA252" s="62"/>
      <c r="AB252" s="62"/>
      <c r="AC252" s="62"/>
      <c r="AD252" s="62"/>
      <c r="AE252" s="62"/>
      <c r="AF252" s="62"/>
      <c r="AG252" s="62"/>
      <c r="AH252" s="62"/>
      <c r="AI252" s="62"/>
      <c r="AJ252" s="62"/>
      <c r="AK252" s="62"/>
      <c r="AL252" s="62"/>
      <c r="AM252" s="62"/>
      <c r="AN252" s="62"/>
      <c r="AO252" s="62"/>
      <c r="AP252" s="62"/>
      <c r="AQ252" s="62"/>
      <c r="AR252" s="62"/>
      <c r="AS252" s="62"/>
      <c r="AT252" s="62"/>
      <c r="AU252" s="62"/>
      <c r="AV252" s="62"/>
      <c r="AW252" s="62"/>
      <c r="AX252" s="62"/>
    </row>
    <row r="253" spans="1:50" ht="14.25" customHeight="1" x14ac:dyDescent="0.3">
      <c r="A253" s="58"/>
      <c r="B253" s="58"/>
      <c r="C253" s="58"/>
      <c r="D253" s="58"/>
      <c r="E253" s="58"/>
      <c r="F253" s="58"/>
      <c r="G253" s="59"/>
      <c r="H253" s="60"/>
      <c r="I253" s="60"/>
      <c r="J253" s="59"/>
      <c r="K253" s="61"/>
      <c r="M253" s="62"/>
      <c r="N253" s="62"/>
      <c r="O253" s="62"/>
      <c r="P253" s="62"/>
      <c r="Q253" s="62"/>
      <c r="R253" s="62"/>
      <c r="S253" s="62"/>
      <c r="T253" s="62"/>
      <c r="U253" s="62"/>
      <c r="V253" s="62"/>
      <c r="W253" s="62"/>
      <c r="X253" s="62"/>
      <c r="Y253" s="62"/>
      <c r="Z253" s="62"/>
      <c r="AA253" s="62"/>
      <c r="AB253" s="62"/>
      <c r="AC253" s="62"/>
      <c r="AD253" s="62"/>
      <c r="AE253" s="62"/>
      <c r="AF253" s="62"/>
      <c r="AG253" s="62"/>
      <c r="AH253" s="62"/>
      <c r="AI253" s="62"/>
      <c r="AJ253" s="62"/>
      <c r="AK253" s="62"/>
      <c r="AL253" s="62"/>
      <c r="AM253" s="62"/>
      <c r="AN253" s="62"/>
      <c r="AO253" s="62"/>
      <c r="AP253" s="62"/>
      <c r="AQ253" s="62"/>
      <c r="AR253" s="62"/>
      <c r="AS253" s="62"/>
      <c r="AT253" s="62"/>
      <c r="AU253" s="62"/>
      <c r="AV253" s="62"/>
      <c r="AW253" s="62"/>
      <c r="AX253" s="62"/>
    </row>
    <row r="254" spans="1:50" ht="14.25" customHeight="1" x14ac:dyDescent="0.3">
      <c r="A254" s="58"/>
      <c r="B254" s="58"/>
      <c r="C254" s="58"/>
      <c r="D254" s="58"/>
      <c r="E254" s="58"/>
      <c r="F254" s="58"/>
      <c r="G254" s="59"/>
      <c r="H254" s="60"/>
      <c r="I254" s="60"/>
      <c r="J254" s="59"/>
      <c r="K254" s="61"/>
      <c r="M254" s="62"/>
      <c r="N254" s="62"/>
      <c r="O254" s="62"/>
      <c r="P254" s="62"/>
      <c r="Q254" s="62"/>
      <c r="R254" s="62"/>
      <c r="S254" s="62"/>
      <c r="T254" s="62"/>
      <c r="U254" s="62"/>
      <c r="V254" s="62"/>
      <c r="W254" s="62"/>
      <c r="X254" s="62"/>
      <c r="Y254" s="62"/>
      <c r="Z254" s="62"/>
      <c r="AA254" s="62"/>
      <c r="AB254" s="62"/>
      <c r="AC254" s="62"/>
      <c r="AD254" s="62"/>
      <c r="AE254" s="62"/>
      <c r="AF254" s="62"/>
      <c r="AG254" s="62"/>
      <c r="AH254" s="62"/>
      <c r="AI254" s="62"/>
      <c r="AJ254" s="62"/>
      <c r="AK254" s="62"/>
      <c r="AL254" s="62"/>
      <c r="AM254" s="62"/>
      <c r="AN254" s="62"/>
      <c r="AO254" s="62"/>
      <c r="AP254" s="62"/>
      <c r="AQ254" s="62"/>
      <c r="AR254" s="62"/>
      <c r="AS254" s="62"/>
      <c r="AT254" s="62"/>
      <c r="AU254" s="62"/>
      <c r="AV254" s="62"/>
      <c r="AW254" s="62"/>
      <c r="AX254" s="62"/>
    </row>
    <row r="255" spans="1:50" ht="14.25" customHeight="1" x14ac:dyDescent="0.3">
      <c r="A255" s="58"/>
      <c r="B255" s="58"/>
      <c r="C255" s="58"/>
      <c r="D255" s="58"/>
      <c r="E255" s="58"/>
      <c r="F255" s="58"/>
      <c r="G255" s="59"/>
      <c r="H255" s="60"/>
      <c r="I255" s="60"/>
      <c r="J255" s="59"/>
      <c r="K255" s="61"/>
      <c r="M255" s="62"/>
      <c r="N255" s="62"/>
      <c r="O255" s="62"/>
      <c r="P255" s="62"/>
      <c r="Q255" s="62"/>
      <c r="R255" s="62"/>
      <c r="S255" s="62"/>
      <c r="T255" s="62"/>
      <c r="U255" s="62"/>
      <c r="V255" s="62"/>
      <c r="W255" s="62"/>
      <c r="X255" s="62"/>
      <c r="Y255" s="62"/>
      <c r="Z255" s="62"/>
      <c r="AA255" s="62"/>
      <c r="AB255" s="62"/>
      <c r="AC255" s="62"/>
      <c r="AD255" s="62"/>
      <c r="AE255" s="62"/>
      <c r="AF255" s="62"/>
      <c r="AG255" s="62"/>
      <c r="AH255" s="62"/>
      <c r="AI255" s="62"/>
      <c r="AJ255" s="62"/>
      <c r="AK255" s="62"/>
      <c r="AL255" s="62"/>
      <c r="AM255" s="62"/>
      <c r="AN255" s="62"/>
      <c r="AO255" s="62"/>
      <c r="AP255" s="62"/>
      <c r="AQ255" s="62"/>
      <c r="AR255" s="62"/>
      <c r="AS255" s="62"/>
      <c r="AT255" s="62"/>
      <c r="AU255" s="62"/>
      <c r="AV255" s="62"/>
      <c r="AW255" s="62"/>
      <c r="AX255" s="62"/>
    </row>
    <row r="256" spans="1:50" ht="14.25" customHeight="1" x14ac:dyDescent="0.3">
      <c r="A256" s="58"/>
      <c r="B256" s="58"/>
      <c r="C256" s="58"/>
      <c r="D256" s="58"/>
      <c r="E256" s="58"/>
      <c r="F256" s="58"/>
      <c r="G256" s="59"/>
      <c r="H256" s="60"/>
      <c r="I256" s="60"/>
      <c r="J256" s="59"/>
      <c r="K256" s="61"/>
      <c r="M256" s="62"/>
      <c r="N256" s="62"/>
      <c r="O256" s="62"/>
      <c r="P256" s="62"/>
      <c r="Q256" s="62"/>
      <c r="R256" s="62"/>
      <c r="S256" s="62"/>
      <c r="T256" s="62"/>
      <c r="U256" s="62"/>
      <c r="V256" s="62"/>
      <c r="W256" s="62"/>
      <c r="X256" s="62"/>
      <c r="Y256" s="62"/>
      <c r="Z256" s="62"/>
      <c r="AA256" s="62"/>
      <c r="AB256" s="62"/>
      <c r="AC256" s="62"/>
      <c r="AD256" s="62"/>
      <c r="AE256" s="62"/>
      <c r="AF256" s="62"/>
      <c r="AG256" s="62"/>
      <c r="AH256" s="62"/>
      <c r="AI256" s="62"/>
      <c r="AJ256" s="62"/>
      <c r="AK256" s="62"/>
      <c r="AL256" s="62"/>
      <c r="AM256" s="62"/>
      <c r="AN256" s="62"/>
      <c r="AO256" s="62"/>
      <c r="AP256" s="62"/>
      <c r="AQ256" s="62"/>
      <c r="AR256" s="62"/>
      <c r="AS256" s="62"/>
      <c r="AT256" s="62"/>
      <c r="AU256" s="62"/>
      <c r="AV256" s="62"/>
      <c r="AW256" s="62"/>
      <c r="AX256" s="62"/>
    </row>
    <row r="257" spans="1:50" ht="14.25" customHeight="1" x14ac:dyDescent="0.3">
      <c r="A257" s="58"/>
      <c r="B257" s="58"/>
      <c r="C257" s="58"/>
      <c r="D257" s="58"/>
      <c r="E257" s="58"/>
      <c r="F257" s="58"/>
      <c r="G257" s="59"/>
      <c r="H257" s="60"/>
      <c r="I257" s="60"/>
      <c r="J257" s="59"/>
      <c r="K257" s="61"/>
      <c r="M257" s="62"/>
      <c r="N257" s="62"/>
      <c r="O257" s="62"/>
      <c r="P257" s="62"/>
      <c r="Q257" s="62"/>
      <c r="R257" s="62"/>
      <c r="S257" s="62"/>
      <c r="T257" s="62"/>
      <c r="U257" s="62"/>
      <c r="V257" s="62"/>
      <c r="W257" s="62"/>
      <c r="X257" s="62"/>
      <c r="Y257" s="62"/>
      <c r="Z257" s="62"/>
      <c r="AA257" s="62"/>
      <c r="AB257" s="62"/>
      <c r="AC257" s="62"/>
      <c r="AD257" s="62"/>
      <c r="AE257" s="62"/>
      <c r="AF257" s="62"/>
      <c r="AG257" s="62"/>
      <c r="AH257" s="62"/>
      <c r="AI257" s="62"/>
      <c r="AJ257" s="62"/>
      <c r="AK257" s="62"/>
      <c r="AL257" s="62"/>
      <c r="AM257" s="62"/>
      <c r="AN257" s="62"/>
      <c r="AO257" s="62"/>
      <c r="AP257" s="62"/>
      <c r="AQ257" s="62"/>
      <c r="AR257" s="62"/>
      <c r="AS257" s="62"/>
      <c r="AT257" s="62"/>
      <c r="AU257" s="62"/>
      <c r="AV257" s="62"/>
      <c r="AW257" s="62"/>
      <c r="AX257" s="62"/>
    </row>
    <row r="258" spans="1:50" ht="14.25" customHeight="1" x14ac:dyDescent="0.3">
      <c r="A258" s="58"/>
      <c r="B258" s="58"/>
      <c r="C258" s="58"/>
      <c r="D258" s="58"/>
      <c r="E258" s="58"/>
      <c r="F258" s="58"/>
      <c r="G258" s="59"/>
      <c r="H258" s="60"/>
      <c r="I258" s="60"/>
      <c r="J258" s="59"/>
      <c r="K258" s="61"/>
      <c r="M258" s="62"/>
      <c r="N258" s="62"/>
      <c r="O258" s="62"/>
      <c r="P258" s="62"/>
      <c r="Q258" s="62"/>
      <c r="R258" s="62"/>
      <c r="S258" s="62"/>
      <c r="T258" s="62"/>
      <c r="U258" s="62"/>
      <c r="V258" s="62"/>
      <c r="W258" s="62"/>
      <c r="X258" s="62"/>
      <c r="Y258" s="62"/>
      <c r="Z258" s="62"/>
      <c r="AA258" s="62"/>
      <c r="AB258" s="62"/>
      <c r="AC258" s="62"/>
      <c r="AD258" s="62"/>
      <c r="AE258" s="62"/>
      <c r="AF258" s="62"/>
      <c r="AG258" s="62"/>
      <c r="AH258" s="62"/>
      <c r="AI258" s="62"/>
      <c r="AJ258" s="62"/>
      <c r="AK258" s="62"/>
      <c r="AL258" s="62"/>
      <c r="AM258" s="62"/>
      <c r="AN258" s="62"/>
      <c r="AO258" s="62"/>
      <c r="AP258" s="62"/>
      <c r="AQ258" s="62"/>
      <c r="AR258" s="62"/>
      <c r="AS258" s="62"/>
      <c r="AT258" s="62"/>
      <c r="AU258" s="62"/>
      <c r="AV258" s="62"/>
      <c r="AW258" s="62"/>
      <c r="AX258" s="62"/>
    </row>
    <row r="259" spans="1:50" ht="14.25" customHeight="1" x14ac:dyDescent="0.3">
      <c r="A259" s="58"/>
      <c r="B259" s="58"/>
      <c r="C259" s="58"/>
      <c r="D259" s="58"/>
      <c r="E259" s="58"/>
      <c r="F259" s="58"/>
      <c r="G259" s="59"/>
      <c r="H259" s="60"/>
      <c r="I259" s="60"/>
      <c r="J259" s="59"/>
      <c r="K259" s="61"/>
      <c r="M259" s="62"/>
      <c r="N259" s="62"/>
      <c r="O259" s="62"/>
      <c r="P259" s="62"/>
      <c r="Q259" s="62"/>
      <c r="R259" s="62"/>
      <c r="S259" s="62"/>
      <c r="T259" s="62"/>
      <c r="U259" s="62"/>
      <c r="V259" s="62"/>
      <c r="W259" s="62"/>
      <c r="X259" s="62"/>
      <c r="Y259" s="62"/>
      <c r="Z259" s="62"/>
      <c r="AA259" s="62"/>
      <c r="AB259" s="62"/>
      <c r="AC259" s="62"/>
      <c r="AD259" s="62"/>
      <c r="AE259" s="62"/>
      <c r="AF259" s="62"/>
      <c r="AG259" s="62"/>
      <c r="AH259" s="62"/>
      <c r="AI259" s="62"/>
      <c r="AJ259" s="62"/>
      <c r="AK259" s="62"/>
      <c r="AL259" s="62"/>
      <c r="AM259" s="62"/>
      <c r="AN259" s="62"/>
      <c r="AO259" s="62"/>
      <c r="AP259" s="62"/>
      <c r="AQ259" s="62"/>
      <c r="AR259" s="62"/>
      <c r="AS259" s="62"/>
      <c r="AT259" s="62"/>
      <c r="AU259" s="62"/>
      <c r="AV259" s="62"/>
      <c r="AW259" s="62"/>
      <c r="AX259" s="62"/>
    </row>
    <row r="260" spans="1:50" ht="14.25" customHeight="1" x14ac:dyDescent="0.3">
      <c r="A260" s="58"/>
      <c r="B260" s="58"/>
      <c r="C260" s="58"/>
      <c r="D260" s="58"/>
      <c r="E260" s="58"/>
      <c r="F260" s="58"/>
      <c r="G260" s="59"/>
      <c r="H260" s="60"/>
      <c r="I260" s="60"/>
      <c r="J260" s="59"/>
      <c r="K260" s="61"/>
      <c r="M260" s="62"/>
      <c r="N260" s="62"/>
      <c r="O260" s="62"/>
      <c r="P260" s="62"/>
      <c r="Q260" s="62"/>
      <c r="R260" s="62"/>
      <c r="S260" s="62"/>
      <c r="T260" s="62"/>
      <c r="U260" s="62"/>
      <c r="V260" s="62"/>
      <c r="W260" s="62"/>
      <c r="X260" s="62"/>
      <c r="Y260" s="62"/>
      <c r="Z260" s="62"/>
      <c r="AA260" s="62"/>
      <c r="AB260" s="62"/>
      <c r="AC260" s="62"/>
      <c r="AD260" s="62"/>
      <c r="AE260" s="62"/>
      <c r="AF260" s="62"/>
      <c r="AG260" s="62"/>
      <c r="AH260" s="62"/>
      <c r="AI260" s="62"/>
      <c r="AJ260" s="62"/>
      <c r="AK260" s="62"/>
      <c r="AL260" s="62"/>
      <c r="AM260" s="62"/>
      <c r="AN260" s="62"/>
      <c r="AO260" s="62"/>
      <c r="AP260" s="62"/>
      <c r="AQ260" s="62"/>
      <c r="AR260" s="62"/>
      <c r="AS260" s="62"/>
      <c r="AT260" s="62"/>
      <c r="AU260" s="62"/>
      <c r="AV260" s="62"/>
      <c r="AW260" s="62"/>
      <c r="AX260" s="62"/>
    </row>
    <row r="261" spans="1:50" ht="14.25" customHeight="1" x14ac:dyDescent="0.3">
      <c r="A261" s="58"/>
      <c r="B261" s="58"/>
      <c r="C261" s="58"/>
      <c r="D261" s="58"/>
      <c r="E261" s="58"/>
      <c r="F261" s="58"/>
      <c r="G261" s="59"/>
      <c r="H261" s="60"/>
      <c r="I261" s="60"/>
      <c r="J261" s="59"/>
      <c r="K261" s="61"/>
      <c r="M261" s="62"/>
      <c r="N261" s="62"/>
      <c r="O261" s="62"/>
      <c r="P261" s="62"/>
      <c r="Q261" s="62"/>
      <c r="R261" s="62"/>
      <c r="S261" s="62"/>
      <c r="T261" s="62"/>
      <c r="U261" s="62"/>
      <c r="V261" s="62"/>
      <c r="W261" s="62"/>
      <c r="X261" s="62"/>
      <c r="Y261" s="62"/>
      <c r="Z261" s="62"/>
      <c r="AA261" s="62"/>
      <c r="AB261" s="62"/>
      <c r="AC261" s="62"/>
      <c r="AD261" s="62"/>
      <c r="AE261" s="62"/>
      <c r="AF261" s="62"/>
      <c r="AG261" s="62"/>
      <c r="AH261" s="62"/>
      <c r="AI261" s="62"/>
      <c r="AJ261" s="62"/>
      <c r="AK261" s="62"/>
      <c r="AL261" s="62"/>
      <c r="AM261" s="62"/>
      <c r="AN261" s="62"/>
      <c r="AO261" s="62"/>
      <c r="AP261" s="62"/>
      <c r="AQ261" s="62"/>
      <c r="AR261" s="62"/>
      <c r="AS261" s="62"/>
      <c r="AT261" s="62"/>
      <c r="AU261" s="62"/>
      <c r="AV261" s="62"/>
      <c r="AW261" s="62"/>
      <c r="AX261" s="62"/>
    </row>
    <row r="262" spans="1:50" ht="14.25" customHeight="1" x14ac:dyDescent="0.3">
      <c r="A262" s="58"/>
      <c r="B262" s="58"/>
      <c r="C262" s="58"/>
      <c r="D262" s="58"/>
      <c r="E262" s="58"/>
      <c r="F262" s="58"/>
      <c r="G262" s="59"/>
      <c r="H262" s="60"/>
      <c r="I262" s="60"/>
      <c r="J262" s="59"/>
      <c r="K262" s="61"/>
      <c r="M262" s="62"/>
      <c r="N262" s="62"/>
      <c r="O262" s="62"/>
      <c r="P262" s="62"/>
      <c r="Q262" s="62"/>
      <c r="R262" s="62"/>
      <c r="S262" s="62"/>
      <c r="T262" s="62"/>
      <c r="U262" s="62"/>
      <c r="V262" s="62"/>
      <c r="W262" s="62"/>
      <c r="X262" s="62"/>
      <c r="Y262" s="62"/>
      <c r="Z262" s="62"/>
      <c r="AA262" s="62"/>
      <c r="AB262" s="62"/>
      <c r="AC262" s="62"/>
      <c r="AD262" s="62"/>
      <c r="AE262" s="62"/>
      <c r="AF262" s="62"/>
      <c r="AG262" s="62"/>
      <c r="AH262" s="62"/>
      <c r="AI262" s="62"/>
      <c r="AJ262" s="62"/>
      <c r="AK262" s="62"/>
      <c r="AL262" s="62"/>
      <c r="AM262" s="62"/>
      <c r="AN262" s="62"/>
      <c r="AO262" s="62"/>
      <c r="AP262" s="62"/>
      <c r="AQ262" s="62"/>
      <c r="AR262" s="62"/>
      <c r="AS262" s="62"/>
      <c r="AT262" s="62"/>
      <c r="AU262" s="62"/>
      <c r="AV262" s="62"/>
      <c r="AW262" s="62"/>
      <c r="AX262" s="62"/>
    </row>
    <row r="263" spans="1:50" ht="14.25" customHeight="1" x14ac:dyDescent="0.3">
      <c r="A263" s="58"/>
      <c r="B263" s="58"/>
      <c r="C263" s="58"/>
      <c r="D263" s="58"/>
      <c r="E263" s="58"/>
      <c r="F263" s="58"/>
      <c r="G263" s="59"/>
      <c r="H263" s="60"/>
      <c r="I263" s="60"/>
      <c r="J263" s="59"/>
      <c r="K263" s="61"/>
      <c r="M263" s="62"/>
      <c r="N263" s="62"/>
      <c r="O263" s="62"/>
      <c r="P263" s="62"/>
      <c r="Q263" s="62"/>
      <c r="R263" s="62"/>
      <c r="S263" s="62"/>
      <c r="T263" s="62"/>
      <c r="U263" s="62"/>
      <c r="V263" s="62"/>
      <c r="W263" s="62"/>
      <c r="X263" s="62"/>
      <c r="Y263" s="62"/>
      <c r="Z263" s="62"/>
      <c r="AA263" s="62"/>
      <c r="AB263" s="62"/>
      <c r="AC263" s="62"/>
      <c r="AD263" s="62"/>
      <c r="AE263" s="62"/>
      <c r="AF263" s="62"/>
      <c r="AG263" s="62"/>
      <c r="AH263" s="62"/>
      <c r="AI263" s="62"/>
      <c r="AJ263" s="62"/>
      <c r="AK263" s="62"/>
      <c r="AL263" s="62"/>
      <c r="AM263" s="62"/>
      <c r="AN263" s="62"/>
      <c r="AO263" s="62"/>
      <c r="AP263" s="62"/>
      <c r="AQ263" s="62"/>
      <c r="AR263" s="62"/>
      <c r="AS263" s="62"/>
      <c r="AT263" s="62"/>
      <c r="AU263" s="62"/>
      <c r="AV263" s="62"/>
      <c r="AW263" s="62"/>
      <c r="AX263" s="62"/>
    </row>
    <row r="264" spans="1:50" ht="14.25" customHeight="1" x14ac:dyDescent="0.3">
      <c r="A264" s="58"/>
      <c r="B264" s="58"/>
      <c r="C264" s="58"/>
      <c r="D264" s="58"/>
      <c r="E264" s="58"/>
      <c r="F264" s="58"/>
      <c r="G264" s="59"/>
      <c r="H264" s="60"/>
      <c r="I264" s="60"/>
      <c r="J264" s="59"/>
      <c r="K264" s="61"/>
      <c r="M264" s="62"/>
      <c r="N264" s="62"/>
      <c r="O264" s="62"/>
      <c r="P264" s="62"/>
      <c r="Q264" s="62"/>
      <c r="R264" s="62"/>
      <c r="S264" s="62"/>
      <c r="T264" s="62"/>
      <c r="U264" s="62"/>
      <c r="V264" s="62"/>
      <c r="W264" s="62"/>
      <c r="X264" s="62"/>
      <c r="Y264" s="62"/>
      <c r="Z264" s="62"/>
      <c r="AA264" s="62"/>
      <c r="AB264" s="62"/>
      <c r="AC264" s="62"/>
      <c r="AD264" s="62"/>
      <c r="AE264" s="62"/>
      <c r="AF264" s="62"/>
      <c r="AG264" s="62"/>
      <c r="AH264" s="62"/>
      <c r="AI264" s="62"/>
      <c r="AJ264" s="62"/>
      <c r="AK264" s="62"/>
      <c r="AL264" s="62"/>
      <c r="AM264" s="62"/>
      <c r="AN264" s="62"/>
      <c r="AO264" s="62"/>
      <c r="AP264" s="62"/>
      <c r="AQ264" s="62"/>
      <c r="AR264" s="62"/>
      <c r="AS264" s="62"/>
      <c r="AT264" s="62"/>
      <c r="AU264" s="62"/>
      <c r="AV264" s="62"/>
      <c r="AW264" s="62"/>
      <c r="AX264" s="62"/>
    </row>
    <row r="265" spans="1:50" ht="14.25" customHeight="1" x14ac:dyDescent="0.3">
      <c r="A265" s="58"/>
      <c r="B265" s="58"/>
      <c r="C265" s="58"/>
      <c r="D265" s="58"/>
      <c r="E265" s="58"/>
      <c r="F265" s="58"/>
      <c r="G265" s="59"/>
      <c r="H265" s="60"/>
      <c r="I265" s="60"/>
      <c r="J265" s="59"/>
      <c r="K265" s="61"/>
      <c r="M265" s="62"/>
      <c r="N265" s="62"/>
      <c r="O265" s="62"/>
      <c r="P265" s="62"/>
      <c r="Q265" s="62"/>
      <c r="R265" s="62"/>
      <c r="S265" s="62"/>
      <c r="T265" s="62"/>
      <c r="U265" s="62"/>
      <c r="V265" s="62"/>
      <c r="W265" s="62"/>
      <c r="X265" s="62"/>
      <c r="Y265" s="62"/>
      <c r="Z265" s="62"/>
      <c r="AA265" s="62"/>
      <c r="AB265" s="62"/>
      <c r="AC265" s="62"/>
      <c r="AD265" s="62"/>
      <c r="AE265" s="62"/>
      <c r="AF265" s="62"/>
      <c r="AG265" s="62"/>
      <c r="AH265" s="62"/>
      <c r="AI265" s="62"/>
      <c r="AJ265" s="62"/>
      <c r="AK265" s="62"/>
      <c r="AL265" s="62"/>
      <c r="AM265" s="62"/>
      <c r="AN265" s="62"/>
      <c r="AO265" s="62"/>
      <c r="AP265" s="62"/>
      <c r="AQ265" s="62"/>
      <c r="AR265" s="62"/>
      <c r="AS265" s="62"/>
      <c r="AT265" s="62"/>
      <c r="AU265" s="62"/>
      <c r="AV265" s="62"/>
      <c r="AW265" s="62"/>
      <c r="AX265" s="62"/>
    </row>
    <row r="266" spans="1:50" ht="14.25" customHeight="1" x14ac:dyDescent="0.3">
      <c r="A266" s="58"/>
      <c r="B266" s="58"/>
      <c r="C266" s="58"/>
      <c r="D266" s="58"/>
      <c r="E266" s="58"/>
      <c r="F266" s="58"/>
      <c r="G266" s="59"/>
      <c r="H266" s="60"/>
      <c r="I266" s="60"/>
      <c r="J266" s="59"/>
      <c r="K266" s="61"/>
      <c r="M266" s="62"/>
      <c r="N266" s="62"/>
      <c r="O266" s="62"/>
      <c r="P266" s="62"/>
      <c r="Q266" s="62"/>
      <c r="R266" s="62"/>
      <c r="S266" s="62"/>
      <c r="T266" s="62"/>
      <c r="U266" s="62"/>
      <c r="V266" s="62"/>
      <c r="W266" s="62"/>
      <c r="X266" s="62"/>
      <c r="Y266" s="62"/>
      <c r="Z266" s="62"/>
      <c r="AA266" s="62"/>
      <c r="AB266" s="62"/>
      <c r="AC266" s="62"/>
      <c r="AD266" s="62"/>
      <c r="AE266" s="62"/>
      <c r="AF266" s="62"/>
      <c r="AG266" s="62"/>
      <c r="AH266" s="62"/>
      <c r="AI266" s="62"/>
      <c r="AJ266" s="62"/>
      <c r="AK266" s="62"/>
      <c r="AL266" s="62"/>
      <c r="AM266" s="62"/>
      <c r="AN266" s="62"/>
      <c r="AO266" s="62"/>
      <c r="AP266" s="62"/>
      <c r="AQ266" s="62"/>
      <c r="AR266" s="62"/>
      <c r="AS266" s="62"/>
      <c r="AT266" s="62"/>
      <c r="AU266" s="62"/>
      <c r="AV266" s="62"/>
      <c r="AW266" s="62"/>
      <c r="AX266" s="62"/>
    </row>
    <row r="267" spans="1:50" ht="14.25" customHeight="1" x14ac:dyDescent="0.3">
      <c r="A267" s="58"/>
      <c r="B267" s="58"/>
      <c r="C267" s="58"/>
      <c r="D267" s="58"/>
      <c r="E267" s="58"/>
      <c r="F267" s="58"/>
      <c r="G267" s="59"/>
      <c r="H267" s="60"/>
      <c r="I267" s="60"/>
      <c r="J267" s="59"/>
      <c r="K267" s="61"/>
      <c r="M267" s="62"/>
      <c r="N267" s="62"/>
      <c r="O267" s="62"/>
      <c r="P267" s="62"/>
      <c r="Q267" s="62"/>
      <c r="R267" s="62"/>
      <c r="S267" s="62"/>
      <c r="T267" s="62"/>
      <c r="U267" s="62"/>
      <c r="V267" s="62"/>
      <c r="W267" s="62"/>
      <c r="X267" s="62"/>
      <c r="Y267" s="62"/>
      <c r="Z267" s="62"/>
      <c r="AA267" s="62"/>
      <c r="AB267" s="62"/>
      <c r="AC267" s="62"/>
      <c r="AD267" s="62"/>
      <c r="AE267" s="62"/>
      <c r="AF267" s="62"/>
      <c r="AG267" s="62"/>
      <c r="AH267" s="62"/>
      <c r="AI267" s="62"/>
      <c r="AJ267" s="62"/>
      <c r="AK267" s="62"/>
      <c r="AL267" s="62"/>
      <c r="AM267" s="62"/>
      <c r="AN267" s="62"/>
      <c r="AO267" s="62"/>
      <c r="AP267" s="62"/>
      <c r="AQ267" s="62"/>
      <c r="AR267" s="62"/>
      <c r="AS267" s="62"/>
      <c r="AT267" s="62"/>
      <c r="AU267" s="62"/>
      <c r="AV267" s="62"/>
      <c r="AW267" s="62"/>
      <c r="AX267" s="62"/>
    </row>
    <row r="268" spans="1:50" ht="14.25" customHeight="1" x14ac:dyDescent="0.3">
      <c r="A268" s="58"/>
      <c r="B268" s="58"/>
      <c r="C268" s="58"/>
      <c r="D268" s="58"/>
      <c r="E268" s="58"/>
      <c r="F268" s="58"/>
      <c r="G268" s="59"/>
      <c r="H268" s="60"/>
      <c r="I268" s="60"/>
      <c r="J268" s="59"/>
      <c r="K268" s="61"/>
      <c r="M268" s="62"/>
      <c r="N268" s="62"/>
      <c r="O268" s="62"/>
      <c r="P268" s="62"/>
      <c r="Q268" s="62"/>
      <c r="R268" s="62"/>
      <c r="S268" s="62"/>
      <c r="T268" s="62"/>
      <c r="U268" s="62"/>
      <c r="V268" s="62"/>
      <c r="W268" s="62"/>
      <c r="X268" s="62"/>
      <c r="Y268" s="62"/>
      <c r="Z268" s="62"/>
      <c r="AA268" s="62"/>
      <c r="AB268" s="62"/>
      <c r="AC268" s="62"/>
      <c r="AD268" s="62"/>
      <c r="AE268" s="62"/>
      <c r="AF268" s="62"/>
      <c r="AG268" s="62"/>
      <c r="AH268" s="62"/>
      <c r="AI268" s="62"/>
      <c r="AJ268" s="62"/>
      <c r="AK268" s="62"/>
      <c r="AL268" s="62"/>
      <c r="AM268" s="62"/>
      <c r="AN268" s="62"/>
      <c r="AO268" s="62"/>
      <c r="AP268" s="62"/>
      <c r="AQ268" s="62"/>
      <c r="AR268" s="62"/>
      <c r="AS268" s="62"/>
      <c r="AT268" s="62"/>
      <c r="AU268" s="62"/>
      <c r="AV268" s="62"/>
      <c r="AW268" s="62"/>
      <c r="AX268" s="62"/>
    </row>
    <row r="269" spans="1:50" ht="14.25" customHeight="1" x14ac:dyDescent="0.3">
      <c r="A269" s="58"/>
      <c r="B269" s="58"/>
      <c r="C269" s="58"/>
      <c r="D269" s="58"/>
      <c r="E269" s="58"/>
      <c r="F269" s="58"/>
      <c r="G269" s="59"/>
      <c r="H269" s="60"/>
      <c r="I269" s="60"/>
      <c r="J269" s="59"/>
      <c r="K269" s="61"/>
      <c r="M269" s="62"/>
      <c r="N269" s="62"/>
      <c r="O269" s="62"/>
      <c r="P269" s="62"/>
      <c r="Q269" s="62"/>
      <c r="R269" s="62"/>
      <c r="S269" s="62"/>
      <c r="T269" s="62"/>
      <c r="U269" s="62"/>
      <c r="V269" s="62"/>
      <c r="W269" s="62"/>
      <c r="X269" s="62"/>
      <c r="Y269" s="62"/>
      <c r="Z269" s="62"/>
      <c r="AA269" s="62"/>
      <c r="AB269" s="62"/>
      <c r="AC269" s="62"/>
      <c r="AD269" s="62"/>
      <c r="AE269" s="62"/>
      <c r="AF269" s="62"/>
      <c r="AG269" s="62"/>
      <c r="AH269" s="62"/>
      <c r="AI269" s="62"/>
      <c r="AJ269" s="62"/>
      <c r="AK269" s="62"/>
      <c r="AL269" s="62"/>
      <c r="AM269" s="62"/>
      <c r="AN269" s="62"/>
      <c r="AO269" s="62"/>
      <c r="AP269" s="62"/>
      <c r="AQ269" s="62"/>
      <c r="AR269" s="62"/>
      <c r="AS269" s="62"/>
      <c r="AT269" s="62"/>
      <c r="AU269" s="62"/>
      <c r="AV269" s="62"/>
      <c r="AW269" s="62"/>
      <c r="AX269" s="62"/>
    </row>
    <row r="270" spans="1:50" ht="14.25" customHeight="1" x14ac:dyDescent="0.3">
      <c r="A270" s="58"/>
      <c r="B270" s="58"/>
      <c r="C270" s="58"/>
      <c r="D270" s="58"/>
      <c r="E270" s="58"/>
      <c r="F270" s="58"/>
      <c r="G270" s="59"/>
      <c r="H270" s="60"/>
      <c r="I270" s="60"/>
      <c r="J270" s="59"/>
      <c r="K270" s="61"/>
      <c r="M270" s="62"/>
      <c r="N270" s="62"/>
      <c r="O270" s="62"/>
      <c r="P270" s="62"/>
      <c r="Q270" s="62"/>
      <c r="R270" s="62"/>
      <c r="S270" s="62"/>
      <c r="T270" s="62"/>
      <c r="U270" s="62"/>
      <c r="V270" s="62"/>
      <c r="W270" s="62"/>
      <c r="X270" s="62"/>
      <c r="Y270" s="62"/>
      <c r="Z270" s="62"/>
      <c r="AA270" s="62"/>
      <c r="AB270" s="62"/>
      <c r="AC270" s="62"/>
      <c r="AD270" s="62"/>
      <c r="AE270" s="62"/>
      <c r="AF270" s="62"/>
      <c r="AG270" s="62"/>
      <c r="AH270" s="62"/>
      <c r="AI270" s="62"/>
      <c r="AJ270" s="62"/>
      <c r="AK270" s="62"/>
      <c r="AL270" s="62"/>
      <c r="AM270" s="62"/>
      <c r="AN270" s="62"/>
      <c r="AO270" s="62"/>
      <c r="AP270" s="62"/>
      <c r="AQ270" s="62"/>
      <c r="AR270" s="62"/>
      <c r="AS270" s="62"/>
      <c r="AT270" s="62"/>
      <c r="AU270" s="62"/>
      <c r="AV270" s="62"/>
      <c r="AW270" s="62"/>
      <c r="AX270" s="62"/>
    </row>
    <row r="271" spans="1:50" ht="14.25" customHeight="1" x14ac:dyDescent="0.3">
      <c r="A271" s="58"/>
      <c r="B271" s="58"/>
      <c r="C271" s="58"/>
      <c r="D271" s="58"/>
      <c r="E271" s="58"/>
      <c r="F271" s="58"/>
      <c r="G271" s="59"/>
      <c r="H271" s="60"/>
      <c r="I271" s="60"/>
      <c r="J271" s="59"/>
      <c r="K271" s="61"/>
      <c r="M271" s="62"/>
      <c r="N271" s="62"/>
      <c r="O271" s="62"/>
      <c r="P271" s="62"/>
      <c r="Q271" s="62"/>
      <c r="R271" s="62"/>
      <c r="S271" s="62"/>
      <c r="T271" s="62"/>
      <c r="U271" s="62"/>
      <c r="V271" s="62"/>
      <c r="W271" s="62"/>
      <c r="X271" s="62"/>
      <c r="Y271" s="62"/>
      <c r="Z271" s="62"/>
      <c r="AA271" s="62"/>
      <c r="AB271" s="62"/>
      <c r="AC271" s="62"/>
      <c r="AD271" s="62"/>
      <c r="AE271" s="62"/>
      <c r="AF271" s="62"/>
      <c r="AG271" s="62"/>
      <c r="AH271" s="62"/>
      <c r="AI271" s="62"/>
      <c r="AJ271" s="62"/>
      <c r="AK271" s="62"/>
      <c r="AL271" s="62"/>
      <c r="AM271" s="62"/>
      <c r="AN271" s="62"/>
      <c r="AO271" s="62"/>
      <c r="AP271" s="62"/>
      <c r="AQ271" s="62"/>
      <c r="AR271" s="62"/>
      <c r="AS271" s="62"/>
      <c r="AT271" s="62"/>
      <c r="AU271" s="62"/>
      <c r="AV271" s="62"/>
      <c r="AW271" s="62"/>
      <c r="AX271" s="62"/>
    </row>
    <row r="272" spans="1:50" ht="14.25" customHeight="1" x14ac:dyDescent="0.3">
      <c r="A272" s="58"/>
      <c r="B272" s="58"/>
      <c r="C272" s="58"/>
      <c r="D272" s="58"/>
      <c r="E272" s="58"/>
      <c r="F272" s="58"/>
      <c r="G272" s="59"/>
      <c r="H272" s="60"/>
      <c r="I272" s="60"/>
      <c r="J272" s="59"/>
      <c r="K272" s="61"/>
      <c r="M272" s="62"/>
      <c r="N272" s="62"/>
      <c r="O272" s="62"/>
      <c r="P272" s="62"/>
      <c r="Q272" s="62"/>
      <c r="R272" s="62"/>
      <c r="S272" s="62"/>
      <c r="T272" s="62"/>
      <c r="U272" s="62"/>
      <c r="V272" s="62"/>
      <c r="W272" s="62"/>
      <c r="X272" s="62"/>
      <c r="Y272" s="62"/>
      <c r="Z272" s="62"/>
      <c r="AA272" s="62"/>
      <c r="AB272" s="62"/>
      <c r="AC272" s="62"/>
      <c r="AD272" s="62"/>
      <c r="AE272" s="62"/>
      <c r="AF272" s="62"/>
      <c r="AG272" s="62"/>
      <c r="AH272" s="62"/>
      <c r="AI272" s="62"/>
      <c r="AJ272" s="62"/>
      <c r="AK272" s="62"/>
      <c r="AL272" s="62"/>
      <c r="AM272" s="62"/>
      <c r="AN272" s="62"/>
      <c r="AO272" s="62"/>
      <c r="AP272" s="62"/>
      <c r="AQ272" s="62"/>
      <c r="AR272" s="62"/>
      <c r="AS272" s="62"/>
      <c r="AT272" s="62"/>
      <c r="AU272" s="62"/>
      <c r="AV272" s="62"/>
      <c r="AW272" s="62"/>
      <c r="AX272" s="62"/>
    </row>
    <row r="273" spans="1:50" ht="14.25" customHeight="1" x14ac:dyDescent="0.3">
      <c r="A273" s="58"/>
      <c r="B273" s="58"/>
      <c r="C273" s="58"/>
      <c r="D273" s="58"/>
      <c r="E273" s="58"/>
      <c r="F273" s="58"/>
      <c r="G273" s="59"/>
      <c r="H273" s="60"/>
      <c r="I273" s="60"/>
      <c r="J273" s="59"/>
      <c r="K273" s="61"/>
      <c r="M273" s="62"/>
      <c r="N273" s="62"/>
      <c r="O273" s="62"/>
      <c r="P273" s="62"/>
      <c r="Q273" s="62"/>
      <c r="R273" s="62"/>
      <c r="S273" s="62"/>
      <c r="T273" s="62"/>
      <c r="U273" s="62"/>
      <c r="V273" s="62"/>
      <c r="W273" s="62"/>
      <c r="X273" s="62"/>
      <c r="Y273" s="62"/>
      <c r="Z273" s="62"/>
      <c r="AA273" s="62"/>
      <c r="AB273" s="62"/>
      <c r="AC273" s="62"/>
      <c r="AD273" s="62"/>
      <c r="AE273" s="62"/>
      <c r="AF273" s="62"/>
      <c r="AG273" s="62"/>
      <c r="AH273" s="62"/>
      <c r="AI273" s="62"/>
      <c r="AJ273" s="62"/>
      <c r="AK273" s="62"/>
      <c r="AL273" s="62"/>
      <c r="AM273" s="62"/>
      <c r="AN273" s="62"/>
      <c r="AO273" s="62"/>
      <c r="AP273" s="62"/>
      <c r="AQ273" s="62"/>
      <c r="AR273" s="62"/>
      <c r="AS273" s="62"/>
      <c r="AT273" s="62"/>
      <c r="AU273" s="62"/>
      <c r="AV273" s="62"/>
      <c r="AW273" s="62"/>
      <c r="AX273" s="62"/>
    </row>
    <row r="274" spans="1:50" ht="14.25" customHeight="1" x14ac:dyDescent="0.3">
      <c r="A274" s="58"/>
      <c r="B274" s="58"/>
      <c r="C274" s="58"/>
      <c r="D274" s="58"/>
      <c r="E274" s="58"/>
      <c r="F274" s="58"/>
      <c r="G274" s="59"/>
      <c r="H274" s="60"/>
      <c r="I274" s="60"/>
      <c r="J274" s="59"/>
      <c r="K274" s="61"/>
      <c r="M274" s="62"/>
      <c r="N274" s="62"/>
      <c r="O274" s="62"/>
      <c r="P274" s="62"/>
      <c r="Q274" s="62"/>
      <c r="R274" s="62"/>
      <c r="S274" s="62"/>
      <c r="T274" s="62"/>
      <c r="U274" s="62"/>
      <c r="V274" s="62"/>
      <c r="W274" s="62"/>
      <c r="X274" s="62"/>
      <c r="Y274" s="62"/>
      <c r="Z274" s="62"/>
      <c r="AA274" s="62"/>
      <c r="AB274" s="62"/>
      <c r="AC274" s="62"/>
      <c r="AD274" s="62"/>
      <c r="AE274" s="62"/>
      <c r="AF274" s="62"/>
      <c r="AG274" s="62"/>
      <c r="AH274" s="62"/>
      <c r="AI274" s="62"/>
      <c r="AJ274" s="62"/>
      <c r="AK274" s="62"/>
      <c r="AL274" s="62"/>
      <c r="AM274" s="62"/>
      <c r="AN274" s="62"/>
      <c r="AO274" s="62"/>
      <c r="AP274" s="62"/>
      <c r="AQ274" s="62"/>
      <c r="AR274" s="62"/>
      <c r="AS274" s="62"/>
      <c r="AT274" s="62"/>
      <c r="AU274" s="62"/>
      <c r="AV274" s="62"/>
      <c r="AW274" s="62"/>
      <c r="AX274" s="62"/>
    </row>
    <row r="275" spans="1:50" ht="14.25" customHeight="1" x14ac:dyDescent="0.3">
      <c r="A275" s="58"/>
      <c r="B275" s="58"/>
      <c r="C275" s="58"/>
      <c r="D275" s="58"/>
      <c r="E275" s="58"/>
      <c r="F275" s="58"/>
      <c r="G275" s="59"/>
      <c r="H275" s="60"/>
      <c r="I275" s="60"/>
      <c r="J275" s="59"/>
      <c r="K275" s="61"/>
      <c r="M275" s="62"/>
      <c r="N275" s="62"/>
      <c r="O275" s="62"/>
      <c r="P275" s="62"/>
      <c r="Q275" s="62"/>
      <c r="R275" s="62"/>
      <c r="S275" s="62"/>
      <c r="T275" s="62"/>
      <c r="U275" s="62"/>
      <c r="V275" s="62"/>
      <c r="W275" s="62"/>
      <c r="X275" s="62"/>
      <c r="Y275" s="62"/>
      <c r="Z275" s="62"/>
      <c r="AA275" s="62"/>
      <c r="AB275" s="62"/>
      <c r="AC275" s="62"/>
      <c r="AD275" s="62"/>
      <c r="AE275" s="62"/>
      <c r="AF275" s="62"/>
      <c r="AG275" s="62"/>
      <c r="AH275" s="62"/>
      <c r="AI275" s="62"/>
      <c r="AJ275" s="62"/>
      <c r="AK275" s="62"/>
      <c r="AL275" s="62"/>
      <c r="AM275" s="62"/>
      <c r="AN275" s="62"/>
      <c r="AO275" s="62"/>
      <c r="AP275" s="62"/>
      <c r="AQ275" s="62"/>
      <c r="AR275" s="62"/>
      <c r="AS275" s="62"/>
      <c r="AT275" s="62"/>
      <c r="AU275" s="62"/>
      <c r="AV275" s="62"/>
      <c r="AW275" s="62"/>
      <c r="AX275" s="62"/>
    </row>
    <row r="276" spans="1:50" ht="14.25" customHeight="1" x14ac:dyDescent="0.3">
      <c r="A276" s="58"/>
      <c r="B276" s="58"/>
      <c r="C276" s="58"/>
      <c r="D276" s="58"/>
      <c r="E276" s="58"/>
      <c r="F276" s="58"/>
      <c r="G276" s="59"/>
      <c r="H276" s="60"/>
      <c r="I276" s="60"/>
      <c r="J276" s="59"/>
      <c r="K276" s="61"/>
      <c r="M276" s="62"/>
      <c r="N276" s="62"/>
      <c r="O276" s="62"/>
      <c r="P276" s="62"/>
      <c r="Q276" s="62"/>
      <c r="R276" s="62"/>
      <c r="S276" s="62"/>
      <c r="T276" s="62"/>
      <c r="U276" s="62"/>
      <c r="V276" s="62"/>
      <c r="W276" s="62"/>
      <c r="X276" s="62"/>
      <c r="Y276" s="62"/>
      <c r="Z276" s="62"/>
      <c r="AA276" s="62"/>
      <c r="AB276" s="62"/>
      <c r="AC276" s="62"/>
      <c r="AD276" s="62"/>
      <c r="AE276" s="62"/>
      <c r="AF276" s="62"/>
      <c r="AG276" s="62"/>
      <c r="AH276" s="62"/>
      <c r="AI276" s="62"/>
      <c r="AJ276" s="62"/>
      <c r="AK276" s="62"/>
      <c r="AL276" s="62"/>
      <c r="AM276" s="62"/>
      <c r="AN276" s="62"/>
      <c r="AO276" s="62"/>
      <c r="AP276" s="62"/>
      <c r="AQ276" s="62"/>
      <c r="AR276" s="62"/>
      <c r="AS276" s="62"/>
      <c r="AT276" s="62"/>
      <c r="AU276" s="62"/>
      <c r="AV276" s="62"/>
      <c r="AW276" s="62"/>
      <c r="AX276" s="62"/>
    </row>
    <row r="277" spans="1:50" ht="14.25" customHeight="1" x14ac:dyDescent="0.3">
      <c r="A277" s="58"/>
      <c r="B277" s="58"/>
      <c r="C277" s="58"/>
      <c r="D277" s="58"/>
      <c r="E277" s="58"/>
      <c r="F277" s="58"/>
      <c r="G277" s="59"/>
      <c r="H277" s="60"/>
      <c r="I277" s="60"/>
      <c r="J277" s="59"/>
      <c r="K277" s="61"/>
      <c r="M277" s="62"/>
      <c r="N277" s="62"/>
      <c r="O277" s="62"/>
      <c r="P277" s="62"/>
      <c r="Q277" s="62"/>
      <c r="R277" s="62"/>
      <c r="S277" s="62"/>
      <c r="T277" s="62"/>
      <c r="U277" s="62"/>
      <c r="V277" s="62"/>
      <c r="W277" s="62"/>
      <c r="X277" s="62"/>
      <c r="Y277" s="62"/>
      <c r="Z277" s="62"/>
      <c r="AA277" s="62"/>
      <c r="AB277" s="62"/>
      <c r="AC277" s="62"/>
      <c r="AD277" s="62"/>
      <c r="AE277" s="62"/>
      <c r="AF277" s="62"/>
      <c r="AG277" s="62"/>
      <c r="AH277" s="62"/>
      <c r="AI277" s="62"/>
      <c r="AJ277" s="62"/>
      <c r="AK277" s="62"/>
      <c r="AL277" s="62"/>
      <c r="AM277" s="62"/>
      <c r="AN277" s="62"/>
      <c r="AO277" s="62"/>
      <c r="AP277" s="62"/>
      <c r="AQ277" s="62"/>
      <c r="AR277" s="62"/>
      <c r="AS277" s="62"/>
      <c r="AT277" s="62"/>
      <c r="AU277" s="62"/>
      <c r="AV277" s="62"/>
      <c r="AW277" s="62"/>
      <c r="AX277" s="62"/>
    </row>
    <row r="278" spans="1:50" ht="14.25" customHeight="1" x14ac:dyDescent="0.3">
      <c r="A278" s="58"/>
      <c r="B278" s="58"/>
      <c r="C278" s="58"/>
      <c r="D278" s="58"/>
      <c r="E278" s="58"/>
      <c r="F278" s="58"/>
      <c r="G278" s="59"/>
      <c r="H278" s="60"/>
      <c r="I278" s="60"/>
      <c r="J278" s="59"/>
      <c r="K278" s="61"/>
      <c r="M278" s="62"/>
      <c r="N278" s="62"/>
      <c r="O278" s="62"/>
      <c r="P278" s="62"/>
      <c r="Q278" s="62"/>
      <c r="R278" s="62"/>
      <c r="S278" s="62"/>
      <c r="T278" s="62"/>
      <c r="U278" s="62"/>
      <c r="V278" s="62"/>
      <c r="W278" s="62"/>
      <c r="X278" s="62"/>
      <c r="Y278" s="62"/>
      <c r="Z278" s="62"/>
      <c r="AA278" s="62"/>
      <c r="AB278" s="62"/>
      <c r="AC278" s="62"/>
      <c r="AD278" s="62"/>
      <c r="AE278" s="62"/>
      <c r="AF278" s="62"/>
      <c r="AG278" s="62"/>
      <c r="AH278" s="62"/>
      <c r="AI278" s="62"/>
      <c r="AJ278" s="62"/>
      <c r="AK278" s="62"/>
      <c r="AL278" s="62"/>
      <c r="AM278" s="62"/>
      <c r="AN278" s="62"/>
      <c r="AO278" s="62"/>
      <c r="AP278" s="62"/>
      <c r="AQ278" s="62"/>
      <c r="AR278" s="62"/>
      <c r="AS278" s="62"/>
      <c r="AT278" s="62"/>
      <c r="AU278" s="62"/>
      <c r="AV278" s="62"/>
      <c r="AW278" s="62"/>
      <c r="AX278" s="62"/>
    </row>
    <row r="279" spans="1:50" ht="14.25" customHeight="1" x14ac:dyDescent="0.3">
      <c r="A279" s="58"/>
      <c r="B279" s="58"/>
      <c r="C279" s="58"/>
      <c r="D279" s="58"/>
      <c r="E279" s="58"/>
      <c r="F279" s="58"/>
      <c r="G279" s="59"/>
      <c r="H279" s="60"/>
      <c r="I279" s="60"/>
      <c r="J279" s="59"/>
      <c r="K279" s="61"/>
      <c r="M279" s="62"/>
      <c r="N279" s="62"/>
      <c r="O279" s="62"/>
      <c r="P279" s="62"/>
      <c r="Q279" s="62"/>
      <c r="R279" s="62"/>
      <c r="S279" s="62"/>
      <c r="T279" s="62"/>
      <c r="U279" s="62"/>
      <c r="V279" s="62"/>
      <c r="W279" s="62"/>
      <c r="X279" s="62"/>
      <c r="Y279" s="62"/>
      <c r="Z279" s="62"/>
      <c r="AA279" s="62"/>
      <c r="AB279" s="62"/>
      <c r="AC279" s="62"/>
      <c r="AD279" s="62"/>
      <c r="AE279" s="62"/>
      <c r="AF279" s="62"/>
      <c r="AG279" s="62"/>
      <c r="AH279" s="62"/>
      <c r="AI279" s="62"/>
      <c r="AJ279" s="62"/>
      <c r="AK279" s="62"/>
      <c r="AL279" s="62"/>
      <c r="AM279" s="62"/>
      <c r="AN279" s="62"/>
      <c r="AO279" s="62"/>
      <c r="AP279" s="62"/>
      <c r="AQ279" s="62"/>
      <c r="AR279" s="62"/>
      <c r="AS279" s="62"/>
      <c r="AT279" s="62"/>
      <c r="AU279" s="62"/>
      <c r="AV279" s="62"/>
      <c r="AW279" s="62"/>
      <c r="AX279" s="62"/>
    </row>
    <row r="280" spans="1:50" ht="14.25" customHeight="1" x14ac:dyDescent="0.3">
      <c r="A280" s="58"/>
      <c r="B280" s="58"/>
      <c r="C280" s="58"/>
      <c r="D280" s="58"/>
      <c r="E280" s="58"/>
      <c r="F280" s="58"/>
      <c r="G280" s="59"/>
      <c r="H280" s="60"/>
      <c r="I280" s="60"/>
      <c r="J280" s="59"/>
      <c r="K280" s="61"/>
      <c r="M280" s="62"/>
      <c r="N280" s="62"/>
      <c r="O280" s="62"/>
      <c r="P280" s="62"/>
      <c r="Q280" s="62"/>
      <c r="R280" s="62"/>
      <c r="S280" s="62"/>
      <c r="T280" s="62"/>
      <c r="U280" s="62"/>
      <c r="V280" s="62"/>
      <c r="W280" s="62"/>
      <c r="X280" s="62"/>
      <c r="Y280" s="62"/>
      <c r="Z280" s="62"/>
      <c r="AA280" s="62"/>
      <c r="AB280" s="62"/>
      <c r="AC280" s="62"/>
      <c r="AD280" s="62"/>
      <c r="AE280" s="62"/>
      <c r="AF280" s="62"/>
      <c r="AG280" s="62"/>
      <c r="AH280" s="62"/>
      <c r="AI280" s="62"/>
      <c r="AJ280" s="62"/>
      <c r="AK280" s="62"/>
      <c r="AL280" s="62"/>
      <c r="AM280" s="62"/>
      <c r="AN280" s="62"/>
      <c r="AO280" s="62"/>
      <c r="AP280" s="62"/>
      <c r="AQ280" s="62"/>
      <c r="AR280" s="62"/>
      <c r="AS280" s="62"/>
      <c r="AT280" s="62"/>
      <c r="AU280" s="62"/>
      <c r="AV280" s="62"/>
      <c r="AW280" s="62"/>
      <c r="AX280" s="62"/>
    </row>
    <row r="281" spans="1:50" ht="14.25" customHeight="1" x14ac:dyDescent="0.3">
      <c r="A281" s="58"/>
      <c r="B281" s="58"/>
      <c r="C281" s="58"/>
      <c r="D281" s="58"/>
      <c r="E281" s="58"/>
      <c r="F281" s="58"/>
      <c r="G281" s="59"/>
      <c r="H281" s="60"/>
      <c r="I281" s="60"/>
      <c r="J281" s="59"/>
      <c r="K281" s="61"/>
      <c r="M281" s="62"/>
      <c r="N281" s="62"/>
      <c r="O281" s="62"/>
      <c r="P281" s="62"/>
      <c r="Q281" s="62"/>
      <c r="R281" s="62"/>
      <c r="S281" s="62"/>
      <c r="T281" s="62"/>
      <c r="U281" s="62"/>
      <c r="V281" s="62"/>
      <c r="W281" s="62"/>
      <c r="X281" s="62"/>
      <c r="Y281" s="62"/>
      <c r="Z281" s="62"/>
      <c r="AA281" s="62"/>
      <c r="AB281" s="62"/>
      <c r="AC281" s="62"/>
      <c r="AD281" s="62"/>
      <c r="AE281" s="62"/>
      <c r="AF281" s="62"/>
      <c r="AG281" s="62"/>
      <c r="AH281" s="62"/>
      <c r="AI281" s="62"/>
      <c r="AJ281" s="62"/>
      <c r="AK281" s="62"/>
      <c r="AL281" s="62"/>
      <c r="AM281" s="62"/>
      <c r="AN281" s="62"/>
      <c r="AO281" s="62"/>
      <c r="AP281" s="62"/>
      <c r="AQ281" s="62"/>
      <c r="AR281" s="62"/>
      <c r="AS281" s="62"/>
      <c r="AT281" s="62"/>
      <c r="AU281" s="62"/>
      <c r="AV281" s="62"/>
      <c r="AW281" s="62"/>
      <c r="AX281" s="62"/>
    </row>
    <row r="282" spans="1:50" ht="14.25" customHeight="1" x14ac:dyDescent="0.3">
      <c r="A282" s="58"/>
      <c r="B282" s="58"/>
      <c r="C282" s="58"/>
      <c r="D282" s="58"/>
      <c r="E282" s="58"/>
      <c r="F282" s="58"/>
      <c r="G282" s="59"/>
      <c r="H282" s="60"/>
      <c r="I282" s="60"/>
      <c r="J282" s="59"/>
      <c r="K282" s="61"/>
      <c r="M282" s="62"/>
      <c r="N282" s="62"/>
      <c r="O282" s="62"/>
      <c r="P282" s="62"/>
      <c r="Q282" s="62"/>
      <c r="R282" s="62"/>
      <c r="S282" s="62"/>
      <c r="T282" s="62"/>
      <c r="U282" s="62"/>
      <c r="V282" s="62"/>
      <c r="W282" s="62"/>
      <c r="X282" s="62"/>
      <c r="Y282" s="62"/>
      <c r="Z282" s="62"/>
      <c r="AA282" s="62"/>
      <c r="AB282" s="62"/>
      <c r="AC282" s="62"/>
      <c r="AD282" s="62"/>
      <c r="AE282" s="62"/>
      <c r="AF282" s="62"/>
      <c r="AG282" s="62"/>
      <c r="AH282" s="62"/>
      <c r="AI282" s="62"/>
      <c r="AJ282" s="62"/>
      <c r="AK282" s="62"/>
      <c r="AL282" s="62"/>
      <c r="AM282" s="62"/>
      <c r="AN282" s="62"/>
      <c r="AO282" s="62"/>
      <c r="AP282" s="62"/>
      <c r="AQ282" s="62"/>
      <c r="AR282" s="62"/>
      <c r="AS282" s="62"/>
      <c r="AT282" s="62"/>
      <c r="AU282" s="62"/>
      <c r="AV282" s="62"/>
      <c r="AW282" s="62"/>
      <c r="AX282" s="62"/>
    </row>
    <row r="283" spans="1:50" ht="14.25" customHeight="1" x14ac:dyDescent="0.3">
      <c r="A283" s="58"/>
      <c r="B283" s="58"/>
      <c r="C283" s="58"/>
      <c r="D283" s="58"/>
      <c r="E283" s="58"/>
      <c r="F283" s="58"/>
      <c r="G283" s="59"/>
      <c r="H283" s="60"/>
      <c r="I283" s="60"/>
      <c r="J283" s="59"/>
      <c r="K283" s="61"/>
      <c r="M283" s="62"/>
      <c r="N283" s="62"/>
      <c r="O283" s="62"/>
      <c r="P283" s="62"/>
      <c r="Q283" s="62"/>
      <c r="R283" s="62"/>
      <c r="S283" s="62"/>
      <c r="T283" s="62"/>
      <c r="U283" s="62"/>
      <c r="V283" s="62"/>
      <c r="W283" s="62"/>
      <c r="X283" s="62"/>
      <c r="Y283" s="62"/>
      <c r="Z283" s="62"/>
      <c r="AA283" s="62"/>
      <c r="AB283" s="62"/>
      <c r="AC283" s="62"/>
      <c r="AD283" s="62"/>
      <c r="AE283" s="62"/>
      <c r="AF283" s="62"/>
      <c r="AG283" s="62"/>
      <c r="AH283" s="62"/>
      <c r="AI283" s="62"/>
      <c r="AJ283" s="62"/>
      <c r="AK283" s="62"/>
      <c r="AL283" s="62"/>
      <c r="AM283" s="62"/>
      <c r="AN283" s="62"/>
      <c r="AO283" s="62"/>
      <c r="AP283" s="62"/>
      <c r="AQ283" s="62"/>
      <c r="AR283" s="62"/>
      <c r="AS283" s="62"/>
      <c r="AT283" s="62"/>
      <c r="AU283" s="62"/>
      <c r="AV283" s="62"/>
      <c r="AW283" s="62"/>
      <c r="AX283" s="62"/>
    </row>
    <row r="284" spans="1:50" ht="14.25" customHeight="1" x14ac:dyDescent="0.3">
      <c r="A284" s="58"/>
      <c r="B284" s="58"/>
      <c r="C284" s="58"/>
      <c r="D284" s="58"/>
      <c r="E284" s="58"/>
      <c r="F284" s="58"/>
      <c r="G284" s="59"/>
      <c r="H284" s="60"/>
      <c r="I284" s="60"/>
      <c r="J284" s="59"/>
      <c r="K284" s="61"/>
      <c r="M284" s="62"/>
      <c r="N284" s="62"/>
      <c r="O284" s="62"/>
      <c r="P284" s="62"/>
      <c r="Q284" s="62"/>
      <c r="R284" s="62"/>
      <c r="S284" s="62"/>
      <c r="T284" s="62"/>
      <c r="U284" s="62"/>
      <c r="V284" s="62"/>
      <c r="W284" s="62"/>
      <c r="X284" s="62"/>
      <c r="Y284" s="62"/>
      <c r="Z284" s="62"/>
      <c r="AA284" s="62"/>
      <c r="AB284" s="62"/>
      <c r="AC284" s="62"/>
      <c r="AD284" s="62"/>
      <c r="AE284" s="62"/>
      <c r="AF284" s="62"/>
      <c r="AG284" s="62"/>
      <c r="AH284" s="62"/>
      <c r="AI284" s="62"/>
      <c r="AJ284" s="62"/>
      <c r="AK284" s="62"/>
      <c r="AL284" s="62"/>
      <c r="AM284" s="62"/>
      <c r="AN284" s="62"/>
      <c r="AO284" s="62"/>
      <c r="AP284" s="62"/>
      <c r="AQ284" s="62"/>
      <c r="AR284" s="62"/>
      <c r="AS284" s="62"/>
      <c r="AT284" s="62"/>
      <c r="AU284" s="62"/>
      <c r="AV284" s="62"/>
      <c r="AW284" s="62"/>
      <c r="AX284" s="62"/>
    </row>
    <row r="285" spans="1:50" ht="14.25" customHeight="1" x14ac:dyDescent="0.3">
      <c r="A285" s="58"/>
      <c r="B285" s="58"/>
      <c r="C285" s="58"/>
      <c r="D285" s="58"/>
      <c r="E285" s="58"/>
      <c r="F285" s="58"/>
      <c r="G285" s="59"/>
      <c r="H285" s="60"/>
      <c r="I285" s="60"/>
      <c r="J285" s="59"/>
      <c r="K285" s="61"/>
      <c r="M285" s="62"/>
      <c r="N285" s="62"/>
      <c r="O285" s="62"/>
      <c r="P285" s="62"/>
      <c r="Q285" s="62"/>
      <c r="R285" s="62"/>
      <c r="S285" s="62"/>
      <c r="T285" s="62"/>
      <c r="U285" s="62"/>
      <c r="V285" s="62"/>
      <c r="W285" s="62"/>
      <c r="X285" s="62"/>
      <c r="Y285" s="62"/>
      <c r="Z285" s="62"/>
      <c r="AA285" s="62"/>
      <c r="AB285" s="62"/>
      <c r="AC285" s="62"/>
      <c r="AD285" s="62"/>
      <c r="AE285" s="62"/>
      <c r="AF285" s="62"/>
      <c r="AG285" s="62"/>
      <c r="AH285" s="62"/>
      <c r="AI285" s="62"/>
      <c r="AJ285" s="62"/>
      <c r="AK285" s="62"/>
      <c r="AL285" s="62"/>
      <c r="AM285" s="62"/>
      <c r="AN285" s="62"/>
      <c r="AO285" s="62"/>
      <c r="AP285" s="62"/>
      <c r="AQ285" s="62"/>
      <c r="AR285" s="62"/>
      <c r="AS285" s="62"/>
      <c r="AT285" s="62"/>
      <c r="AU285" s="62"/>
      <c r="AV285" s="62"/>
      <c r="AW285" s="62"/>
      <c r="AX285" s="62"/>
    </row>
    <row r="286" spans="1:50" ht="14.25" customHeight="1" x14ac:dyDescent="0.3">
      <c r="A286" s="58"/>
      <c r="B286" s="58"/>
      <c r="C286" s="58"/>
      <c r="D286" s="58"/>
      <c r="E286" s="58"/>
      <c r="F286" s="58"/>
      <c r="G286" s="59"/>
      <c r="H286" s="60"/>
      <c r="I286" s="60"/>
      <c r="J286" s="59"/>
      <c r="K286" s="61"/>
      <c r="M286" s="62"/>
      <c r="N286" s="62"/>
      <c r="O286" s="62"/>
      <c r="P286" s="62"/>
      <c r="Q286" s="62"/>
      <c r="R286" s="62"/>
      <c r="S286" s="62"/>
      <c r="T286" s="62"/>
      <c r="U286" s="62"/>
      <c r="V286" s="62"/>
      <c r="W286" s="62"/>
      <c r="X286" s="62"/>
      <c r="Y286" s="62"/>
      <c r="Z286" s="62"/>
      <c r="AA286" s="62"/>
      <c r="AB286" s="62"/>
      <c r="AC286" s="62"/>
      <c r="AD286" s="62"/>
      <c r="AE286" s="62"/>
      <c r="AF286" s="62"/>
      <c r="AG286" s="62"/>
      <c r="AH286" s="62"/>
      <c r="AI286" s="62"/>
      <c r="AJ286" s="62"/>
      <c r="AK286" s="62"/>
      <c r="AL286" s="62"/>
      <c r="AM286" s="62"/>
      <c r="AN286" s="62"/>
      <c r="AO286" s="62"/>
      <c r="AP286" s="62"/>
      <c r="AQ286" s="62"/>
      <c r="AR286" s="62"/>
      <c r="AS286" s="62"/>
      <c r="AT286" s="62"/>
      <c r="AU286" s="62"/>
      <c r="AV286" s="62"/>
      <c r="AW286" s="62"/>
      <c r="AX286" s="62"/>
    </row>
    <row r="287" spans="1:50" ht="14.25" customHeight="1" x14ac:dyDescent="0.3">
      <c r="A287" s="58"/>
      <c r="B287" s="58"/>
      <c r="C287" s="58"/>
      <c r="D287" s="58"/>
      <c r="E287" s="58"/>
      <c r="F287" s="58"/>
      <c r="G287" s="59"/>
      <c r="H287" s="60"/>
      <c r="I287" s="60"/>
      <c r="J287" s="59"/>
      <c r="K287" s="61"/>
      <c r="M287" s="62"/>
      <c r="N287" s="62"/>
      <c r="O287" s="62"/>
      <c r="P287" s="62"/>
      <c r="Q287" s="62"/>
      <c r="R287" s="62"/>
      <c r="S287" s="62"/>
      <c r="T287" s="62"/>
      <c r="U287" s="62"/>
      <c r="V287" s="62"/>
      <c r="W287" s="62"/>
      <c r="X287" s="62"/>
      <c r="Y287" s="62"/>
      <c r="Z287" s="62"/>
      <c r="AA287" s="62"/>
      <c r="AB287" s="62"/>
      <c r="AC287" s="62"/>
      <c r="AD287" s="62"/>
      <c r="AE287" s="62"/>
      <c r="AF287" s="62"/>
      <c r="AG287" s="62"/>
      <c r="AH287" s="62"/>
      <c r="AI287" s="62"/>
      <c r="AJ287" s="62"/>
      <c r="AK287" s="62"/>
      <c r="AL287" s="62"/>
      <c r="AM287" s="62"/>
      <c r="AN287" s="62"/>
      <c r="AO287" s="62"/>
      <c r="AP287" s="62"/>
      <c r="AQ287" s="62"/>
      <c r="AR287" s="62"/>
      <c r="AS287" s="62"/>
      <c r="AT287" s="62"/>
      <c r="AU287" s="62"/>
      <c r="AV287" s="62"/>
      <c r="AW287" s="62"/>
      <c r="AX287" s="62"/>
    </row>
    <row r="288" spans="1:50" ht="14.25" customHeight="1" x14ac:dyDescent="0.3">
      <c r="A288" s="58"/>
      <c r="B288" s="58"/>
      <c r="C288" s="58"/>
      <c r="D288" s="58"/>
      <c r="E288" s="58"/>
      <c r="F288" s="58"/>
      <c r="G288" s="59"/>
      <c r="H288" s="60"/>
      <c r="I288" s="60"/>
      <c r="J288" s="59"/>
      <c r="K288" s="61"/>
      <c r="M288" s="62"/>
      <c r="N288" s="62"/>
      <c r="O288" s="62"/>
      <c r="P288" s="62"/>
      <c r="Q288" s="62"/>
      <c r="R288" s="62"/>
      <c r="S288" s="62"/>
      <c r="T288" s="62"/>
      <c r="U288" s="62"/>
      <c r="V288" s="62"/>
      <c r="W288" s="62"/>
      <c r="X288" s="62"/>
      <c r="Y288" s="62"/>
      <c r="Z288" s="62"/>
      <c r="AA288" s="62"/>
      <c r="AB288" s="62"/>
      <c r="AC288" s="62"/>
      <c r="AD288" s="62"/>
      <c r="AE288" s="62"/>
      <c r="AF288" s="62"/>
      <c r="AG288" s="62"/>
      <c r="AH288" s="62"/>
      <c r="AI288" s="62"/>
      <c r="AJ288" s="62"/>
      <c r="AK288" s="62"/>
      <c r="AL288" s="62"/>
      <c r="AM288" s="62"/>
      <c r="AN288" s="62"/>
      <c r="AO288" s="62"/>
      <c r="AP288" s="62"/>
      <c r="AQ288" s="62"/>
      <c r="AR288" s="62"/>
      <c r="AS288" s="62"/>
      <c r="AT288" s="62"/>
      <c r="AU288" s="62"/>
      <c r="AV288" s="62"/>
      <c r="AW288" s="62"/>
      <c r="AX288" s="62"/>
    </row>
    <row r="289" spans="1:50" ht="14.25" customHeight="1" x14ac:dyDescent="0.3">
      <c r="A289" s="58"/>
      <c r="B289" s="58"/>
      <c r="C289" s="58"/>
      <c r="D289" s="58"/>
      <c r="E289" s="58"/>
      <c r="F289" s="58"/>
      <c r="G289" s="59"/>
      <c r="H289" s="60"/>
      <c r="I289" s="60"/>
      <c r="J289" s="59"/>
      <c r="K289" s="61"/>
      <c r="M289" s="62"/>
      <c r="N289" s="62"/>
      <c r="O289" s="62"/>
      <c r="P289" s="62"/>
      <c r="Q289" s="62"/>
      <c r="R289" s="62"/>
      <c r="S289" s="62"/>
      <c r="T289" s="62"/>
      <c r="U289" s="62"/>
      <c r="V289" s="62"/>
      <c r="W289" s="62"/>
      <c r="X289" s="62"/>
      <c r="Y289" s="62"/>
      <c r="Z289" s="62"/>
      <c r="AA289" s="62"/>
      <c r="AB289" s="62"/>
      <c r="AC289" s="62"/>
      <c r="AD289" s="62"/>
      <c r="AE289" s="62"/>
      <c r="AF289" s="62"/>
      <c r="AG289" s="62"/>
      <c r="AH289" s="62"/>
      <c r="AI289" s="62"/>
      <c r="AJ289" s="62"/>
      <c r="AK289" s="62"/>
      <c r="AL289" s="62"/>
      <c r="AM289" s="62"/>
      <c r="AN289" s="62"/>
      <c r="AO289" s="62"/>
      <c r="AP289" s="62"/>
      <c r="AQ289" s="62"/>
      <c r="AR289" s="62"/>
      <c r="AS289" s="62"/>
      <c r="AT289" s="62"/>
      <c r="AU289" s="62"/>
      <c r="AV289" s="62"/>
      <c r="AW289" s="62"/>
      <c r="AX289" s="62"/>
    </row>
    <row r="290" spans="1:50" ht="14.25" customHeight="1" x14ac:dyDescent="0.3">
      <c r="A290" s="58"/>
      <c r="B290" s="58"/>
      <c r="C290" s="58"/>
      <c r="D290" s="58"/>
      <c r="E290" s="58"/>
      <c r="F290" s="58"/>
      <c r="G290" s="59"/>
      <c r="H290" s="60"/>
      <c r="I290" s="60"/>
      <c r="J290" s="59"/>
      <c r="K290" s="61"/>
      <c r="M290" s="62"/>
      <c r="N290" s="62"/>
      <c r="O290" s="62"/>
      <c r="P290" s="62"/>
      <c r="Q290" s="62"/>
      <c r="R290" s="62"/>
      <c r="S290" s="62"/>
      <c r="T290" s="62"/>
      <c r="U290" s="62"/>
      <c r="V290" s="62"/>
      <c r="W290" s="62"/>
      <c r="X290" s="62"/>
      <c r="Y290" s="62"/>
      <c r="Z290" s="62"/>
      <c r="AA290" s="62"/>
      <c r="AB290" s="62"/>
      <c r="AC290" s="62"/>
      <c r="AD290" s="62"/>
      <c r="AE290" s="62"/>
      <c r="AF290" s="62"/>
      <c r="AG290" s="62"/>
      <c r="AH290" s="62"/>
      <c r="AI290" s="62"/>
      <c r="AJ290" s="62"/>
      <c r="AK290" s="62"/>
      <c r="AL290" s="62"/>
      <c r="AM290" s="62"/>
      <c r="AN290" s="62"/>
      <c r="AO290" s="62"/>
      <c r="AP290" s="62"/>
      <c r="AQ290" s="62"/>
      <c r="AR290" s="62"/>
      <c r="AS290" s="62"/>
      <c r="AT290" s="62"/>
      <c r="AU290" s="62"/>
      <c r="AV290" s="62"/>
      <c r="AW290" s="62"/>
      <c r="AX290" s="62"/>
    </row>
    <row r="291" spans="1:50" ht="14.25" customHeight="1" x14ac:dyDescent="0.3">
      <c r="A291" s="58"/>
      <c r="B291" s="58"/>
      <c r="C291" s="58"/>
      <c r="D291" s="58"/>
      <c r="E291" s="58"/>
      <c r="F291" s="58"/>
      <c r="G291" s="59"/>
      <c r="H291" s="60"/>
      <c r="I291" s="60"/>
      <c r="J291" s="59"/>
      <c r="K291" s="61"/>
      <c r="M291" s="62"/>
      <c r="N291" s="62"/>
      <c r="O291" s="62"/>
      <c r="P291" s="62"/>
      <c r="Q291" s="62"/>
      <c r="R291" s="62"/>
      <c r="S291" s="62"/>
      <c r="T291" s="62"/>
      <c r="U291" s="62"/>
      <c r="V291" s="62"/>
      <c r="W291" s="62"/>
      <c r="X291" s="62"/>
      <c r="Y291" s="62"/>
      <c r="Z291" s="62"/>
      <c r="AA291" s="62"/>
      <c r="AB291" s="62"/>
      <c r="AC291" s="62"/>
      <c r="AD291" s="62"/>
      <c r="AE291" s="62"/>
      <c r="AF291" s="62"/>
      <c r="AG291" s="62"/>
      <c r="AH291" s="62"/>
      <c r="AI291" s="62"/>
      <c r="AJ291" s="62"/>
      <c r="AK291" s="62"/>
      <c r="AL291" s="62"/>
      <c r="AM291" s="62"/>
      <c r="AN291" s="62"/>
      <c r="AO291" s="62"/>
      <c r="AP291" s="62"/>
      <c r="AQ291" s="62"/>
      <c r="AR291" s="62"/>
      <c r="AS291" s="62"/>
      <c r="AT291" s="62"/>
      <c r="AU291" s="62"/>
      <c r="AV291" s="62"/>
      <c r="AW291" s="62"/>
      <c r="AX291" s="62"/>
    </row>
    <row r="292" spans="1:50" ht="14.25" customHeight="1" x14ac:dyDescent="0.3">
      <c r="A292" s="58"/>
      <c r="B292" s="58"/>
      <c r="C292" s="58"/>
      <c r="D292" s="58"/>
      <c r="E292" s="58"/>
      <c r="F292" s="58"/>
      <c r="G292" s="59"/>
      <c r="H292" s="60"/>
      <c r="I292" s="60"/>
      <c r="J292" s="59"/>
      <c r="K292" s="61"/>
      <c r="M292" s="62"/>
      <c r="N292" s="62"/>
      <c r="O292" s="62"/>
      <c r="P292" s="62"/>
      <c r="Q292" s="62"/>
      <c r="R292" s="62"/>
      <c r="S292" s="62"/>
      <c r="T292" s="62"/>
      <c r="U292" s="62"/>
      <c r="V292" s="62"/>
      <c r="W292" s="62"/>
      <c r="X292" s="62"/>
      <c r="Y292" s="62"/>
      <c r="Z292" s="62"/>
      <c r="AA292" s="62"/>
      <c r="AB292" s="62"/>
      <c r="AC292" s="62"/>
      <c r="AD292" s="62"/>
      <c r="AE292" s="62"/>
      <c r="AF292" s="62"/>
      <c r="AG292" s="62"/>
      <c r="AH292" s="62"/>
      <c r="AI292" s="62"/>
      <c r="AJ292" s="62"/>
      <c r="AK292" s="62"/>
      <c r="AL292" s="62"/>
      <c r="AM292" s="62"/>
      <c r="AN292" s="62"/>
      <c r="AO292" s="62"/>
      <c r="AP292" s="62"/>
      <c r="AQ292" s="62"/>
      <c r="AR292" s="62"/>
      <c r="AS292" s="62"/>
      <c r="AT292" s="62"/>
      <c r="AU292" s="62"/>
      <c r="AV292" s="62"/>
      <c r="AW292" s="62"/>
      <c r="AX292" s="62"/>
    </row>
    <row r="293" spans="1:50" ht="14.25" customHeight="1" x14ac:dyDescent="0.3">
      <c r="A293" s="58"/>
      <c r="B293" s="58"/>
      <c r="C293" s="58"/>
      <c r="D293" s="58"/>
      <c r="E293" s="58"/>
      <c r="F293" s="58"/>
      <c r="G293" s="59"/>
      <c r="H293" s="60"/>
      <c r="I293" s="60"/>
      <c r="J293" s="59"/>
      <c r="K293" s="61"/>
      <c r="M293" s="62"/>
      <c r="N293" s="62"/>
      <c r="O293" s="62"/>
      <c r="P293" s="62"/>
      <c r="Q293" s="62"/>
      <c r="R293" s="62"/>
      <c r="S293" s="62"/>
      <c r="T293" s="62"/>
      <c r="U293" s="62"/>
      <c r="V293" s="62"/>
      <c r="W293" s="62"/>
      <c r="X293" s="62"/>
      <c r="Y293" s="62"/>
      <c r="Z293" s="62"/>
      <c r="AA293" s="62"/>
      <c r="AB293" s="62"/>
      <c r="AC293" s="62"/>
      <c r="AD293" s="62"/>
      <c r="AE293" s="62"/>
      <c r="AF293" s="62"/>
      <c r="AG293" s="62"/>
      <c r="AH293" s="62"/>
      <c r="AI293" s="62"/>
      <c r="AJ293" s="62"/>
      <c r="AK293" s="62"/>
      <c r="AL293" s="62"/>
      <c r="AM293" s="62"/>
      <c r="AN293" s="62"/>
      <c r="AO293" s="62"/>
      <c r="AP293" s="62"/>
      <c r="AQ293" s="62"/>
      <c r="AR293" s="62"/>
      <c r="AS293" s="62"/>
      <c r="AT293" s="62"/>
      <c r="AU293" s="62"/>
      <c r="AV293" s="62"/>
      <c r="AW293" s="62"/>
      <c r="AX293" s="62"/>
    </row>
    <row r="294" spans="1:50" ht="14.25" customHeight="1" x14ac:dyDescent="0.3">
      <c r="A294" s="58"/>
      <c r="B294" s="58"/>
      <c r="C294" s="58"/>
      <c r="D294" s="58"/>
      <c r="E294" s="58"/>
      <c r="F294" s="58"/>
      <c r="G294" s="59"/>
      <c r="H294" s="60"/>
      <c r="I294" s="60"/>
      <c r="J294" s="59"/>
      <c r="K294" s="61"/>
      <c r="M294" s="62"/>
      <c r="N294" s="62"/>
      <c r="O294" s="62"/>
      <c r="P294" s="62"/>
      <c r="Q294" s="62"/>
      <c r="R294" s="62"/>
      <c r="S294" s="62"/>
      <c r="T294" s="62"/>
      <c r="U294" s="62"/>
      <c r="V294" s="62"/>
      <c r="W294" s="62"/>
      <c r="X294" s="62"/>
      <c r="Y294" s="62"/>
      <c r="Z294" s="62"/>
      <c r="AA294" s="62"/>
      <c r="AB294" s="62"/>
      <c r="AC294" s="62"/>
      <c r="AD294" s="62"/>
      <c r="AE294" s="62"/>
      <c r="AF294" s="62"/>
      <c r="AG294" s="62"/>
      <c r="AH294" s="62"/>
      <c r="AI294" s="62"/>
      <c r="AJ294" s="62"/>
      <c r="AK294" s="62"/>
      <c r="AL294" s="62"/>
      <c r="AM294" s="62"/>
      <c r="AN294" s="62"/>
      <c r="AO294" s="62"/>
      <c r="AP294" s="62"/>
      <c r="AQ294" s="62"/>
      <c r="AR294" s="62"/>
      <c r="AS294" s="62"/>
      <c r="AT294" s="62"/>
      <c r="AU294" s="62"/>
      <c r="AV294" s="62"/>
      <c r="AW294" s="62"/>
      <c r="AX294" s="62"/>
    </row>
    <row r="295" spans="1:50" ht="14.25" customHeight="1" x14ac:dyDescent="0.3">
      <c r="A295" s="58"/>
      <c r="B295" s="58"/>
      <c r="C295" s="58"/>
      <c r="D295" s="58"/>
      <c r="E295" s="58"/>
      <c r="F295" s="58"/>
      <c r="G295" s="59"/>
      <c r="H295" s="60"/>
      <c r="I295" s="60"/>
      <c r="J295" s="59"/>
      <c r="K295" s="61"/>
      <c r="M295" s="62"/>
      <c r="N295" s="62"/>
      <c r="O295" s="62"/>
      <c r="P295" s="62"/>
      <c r="Q295" s="62"/>
      <c r="R295" s="62"/>
      <c r="S295" s="62"/>
      <c r="T295" s="62"/>
      <c r="U295" s="62"/>
      <c r="V295" s="62"/>
      <c r="W295" s="62"/>
      <c r="X295" s="62"/>
      <c r="Y295" s="62"/>
      <c r="Z295" s="62"/>
      <c r="AA295" s="62"/>
      <c r="AB295" s="62"/>
      <c r="AC295" s="62"/>
      <c r="AD295" s="62"/>
      <c r="AE295" s="62"/>
      <c r="AF295" s="62"/>
      <c r="AG295" s="62"/>
      <c r="AH295" s="62"/>
      <c r="AI295" s="62"/>
      <c r="AJ295" s="62"/>
      <c r="AK295" s="62"/>
      <c r="AL295" s="62"/>
      <c r="AM295" s="62"/>
      <c r="AN295" s="62"/>
      <c r="AO295" s="62"/>
      <c r="AP295" s="62"/>
      <c r="AQ295" s="62"/>
      <c r="AR295" s="62"/>
      <c r="AS295" s="62"/>
      <c r="AT295" s="62"/>
      <c r="AU295" s="62"/>
      <c r="AV295" s="62"/>
      <c r="AW295" s="62"/>
      <c r="AX295" s="62"/>
    </row>
    <row r="296" spans="1:50" ht="14.25" customHeight="1" x14ac:dyDescent="0.3">
      <c r="A296" s="58"/>
      <c r="B296" s="58"/>
      <c r="C296" s="58"/>
      <c r="D296" s="58"/>
      <c r="E296" s="58"/>
      <c r="F296" s="58"/>
      <c r="G296" s="59"/>
      <c r="H296" s="60"/>
      <c r="I296" s="60"/>
      <c r="J296" s="59"/>
      <c r="K296" s="61"/>
      <c r="M296" s="62"/>
      <c r="N296" s="62"/>
      <c r="O296" s="62"/>
      <c r="P296" s="62"/>
      <c r="Q296" s="62"/>
      <c r="R296" s="62"/>
      <c r="S296" s="62"/>
      <c r="T296" s="62"/>
      <c r="U296" s="62"/>
      <c r="V296" s="62"/>
      <c r="W296" s="62"/>
      <c r="X296" s="62"/>
      <c r="Y296" s="62"/>
      <c r="Z296" s="62"/>
      <c r="AA296" s="62"/>
      <c r="AB296" s="62"/>
      <c r="AC296" s="62"/>
      <c r="AD296" s="62"/>
      <c r="AE296" s="62"/>
      <c r="AF296" s="62"/>
      <c r="AG296" s="62"/>
      <c r="AH296" s="62"/>
      <c r="AI296" s="62"/>
      <c r="AJ296" s="62"/>
      <c r="AK296" s="62"/>
      <c r="AL296" s="62"/>
      <c r="AM296" s="62"/>
      <c r="AN296" s="62"/>
      <c r="AO296" s="62"/>
      <c r="AP296" s="62"/>
      <c r="AQ296" s="62"/>
      <c r="AR296" s="62"/>
      <c r="AS296" s="62"/>
      <c r="AT296" s="62"/>
      <c r="AU296" s="62"/>
      <c r="AV296" s="62"/>
      <c r="AW296" s="62"/>
      <c r="AX296" s="62"/>
    </row>
    <row r="297" spans="1:50" ht="14.25" customHeight="1" x14ac:dyDescent="0.3">
      <c r="A297" s="58"/>
      <c r="B297" s="58"/>
      <c r="C297" s="58"/>
      <c r="D297" s="58"/>
      <c r="E297" s="58"/>
      <c r="F297" s="58"/>
      <c r="G297" s="59"/>
      <c r="H297" s="60"/>
      <c r="I297" s="60"/>
      <c r="J297" s="59"/>
      <c r="K297" s="61"/>
      <c r="M297" s="62"/>
      <c r="N297" s="62"/>
      <c r="O297" s="62"/>
      <c r="P297" s="62"/>
      <c r="Q297" s="62"/>
      <c r="R297" s="62"/>
      <c r="S297" s="62"/>
      <c r="T297" s="62"/>
      <c r="U297" s="62"/>
      <c r="V297" s="62"/>
      <c r="W297" s="62"/>
      <c r="X297" s="62"/>
      <c r="Y297" s="62"/>
      <c r="Z297" s="62"/>
      <c r="AA297" s="62"/>
      <c r="AB297" s="62"/>
      <c r="AC297" s="62"/>
      <c r="AD297" s="62"/>
      <c r="AE297" s="62"/>
      <c r="AF297" s="62"/>
      <c r="AG297" s="62"/>
      <c r="AH297" s="62"/>
      <c r="AI297" s="62"/>
      <c r="AJ297" s="62"/>
      <c r="AK297" s="62"/>
      <c r="AL297" s="62"/>
      <c r="AM297" s="62"/>
      <c r="AN297" s="62"/>
      <c r="AO297" s="62"/>
      <c r="AP297" s="62"/>
      <c r="AQ297" s="62"/>
      <c r="AR297" s="62"/>
      <c r="AS297" s="62"/>
      <c r="AT297" s="62"/>
      <c r="AU297" s="62"/>
      <c r="AV297" s="62"/>
      <c r="AW297" s="62"/>
      <c r="AX297" s="62"/>
    </row>
    <row r="298" spans="1:50" ht="14.25" customHeight="1" x14ac:dyDescent="0.3">
      <c r="A298" s="58"/>
      <c r="B298" s="58"/>
      <c r="C298" s="58"/>
      <c r="D298" s="58"/>
      <c r="E298" s="58"/>
      <c r="F298" s="58"/>
      <c r="G298" s="59"/>
      <c r="H298" s="60"/>
      <c r="I298" s="60"/>
      <c r="J298" s="59"/>
      <c r="K298" s="61"/>
      <c r="M298" s="62"/>
      <c r="N298" s="62"/>
      <c r="O298" s="62"/>
      <c r="P298" s="62"/>
      <c r="Q298" s="62"/>
      <c r="R298" s="62"/>
      <c r="S298" s="62"/>
      <c r="T298" s="62"/>
      <c r="U298" s="62"/>
      <c r="V298" s="62"/>
      <c r="W298" s="62"/>
      <c r="X298" s="62"/>
      <c r="Y298" s="62"/>
      <c r="Z298" s="62"/>
      <c r="AA298" s="62"/>
      <c r="AB298" s="62"/>
      <c r="AC298" s="62"/>
      <c r="AD298" s="62"/>
      <c r="AE298" s="62"/>
      <c r="AF298" s="62"/>
      <c r="AG298" s="62"/>
      <c r="AH298" s="62"/>
      <c r="AI298" s="62"/>
      <c r="AJ298" s="62"/>
      <c r="AK298" s="62"/>
      <c r="AL298" s="62"/>
      <c r="AM298" s="62"/>
      <c r="AN298" s="62"/>
      <c r="AO298" s="62"/>
      <c r="AP298" s="62"/>
      <c r="AQ298" s="62"/>
      <c r="AR298" s="62"/>
      <c r="AS298" s="62"/>
      <c r="AT298" s="62"/>
      <c r="AU298" s="62"/>
      <c r="AV298" s="62"/>
      <c r="AW298" s="62"/>
      <c r="AX298" s="62"/>
    </row>
    <row r="299" spans="1:50" ht="14.25" customHeight="1" x14ac:dyDescent="0.3">
      <c r="A299" s="58"/>
      <c r="B299" s="58"/>
      <c r="C299" s="58"/>
      <c r="D299" s="58"/>
      <c r="E299" s="58"/>
      <c r="F299" s="58"/>
      <c r="G299" s="59"/>
      <c r="H299" s="60"/>
      <c r="I299" s="60"/>
      <c r="J299" s="59"/>
      <c r="K299" s="61"/>
      <c r="M299" s="62"/>
      <c r="N299" s="62"/>
      <c r="O299" s="62"/>
      <c r="P299" s="62"/>
      <c r="Q299" s="62"/>
      <c r="R299" s="62"/>
      <c r="S299" s="62"/>
      <c r="T299" s="62"/>
      <c r="U299" s="62"/>
      <c r="V299" s="62"/>
      <c r="W299" s="62"/>
      <c r="X299" s="62"/>
      <c r="Y299" s="62"/>
      <c r="Z299" s="62"/>
      <c r="AA299" s="62"/>
      <c r="AB299" s="62"/>
      <c r="AC299" s="62"/>
      <c r="AD299" s="62"/>
      <c r="AE299" s="62"/>
      <c r="AF299" s="62"/>
      <c r="AG299" s="62"/>
      <c r="AH299" s="62"/>
      <c r="AI299" s="62"/>
      <c r="AJ299" s="62"/>
      <c r="AK299" s="62"/>
      <c r="AL299" s="62"/>
      <c r="AM299" s="62"/>
      <c r="AN299" s="62"/>
      <c r="AO299" s="62"/>
      <c r="AP299" s="62"/>
      <c r="AQ299" s="62"/>
      <c r="AR299" s="62"/>
      <c r="AS299" s="62"/>
      <c r="AT299" s="62"/>
      <c r="AU299" s="62"/>
      <c r="AV299" s="62"/>
      <c r="AW299" s="62"/>
      <c r="AX299" s="62"/>
    </row>
    <row r="300" spans="1:50" ht="14.25" customHeight="1" x14ac:dyDescent="0.3">
      <c r="A300" s="58"/>
      <c r="B300" s="58"/>
      <c r="C300" s="58"/>
      <c r="D300" s="58"/>
      <c r="E300" s="58"/>
      <c r="F300" s="58"/>
      <c r="G300" s="59"/>
      <c r="H300" s="60"/>
      <c r="I300" s="60"/>
      <c r="J300" s="59"/>
      <c r="K300" s="61"/>
      <c r="M300" s="62"/>
      <c r="N300" s="62"/>
      <c r="O300" s="62"/>
      <c r="P300" s="62"/>
      <c r="Q300" s="62"/>
      <c r="R300" s="62"/>
      <c r="S300" s="62"/>
      <c r="T300" s="62"/>
      <c r="U300" s="62"/>
      <c r="V300" s="62"/>
      <c r="W300" s="62"/>
      <c r="X300" s="62"/>
      <c r="Y300" s="62"/>
      <c r="Z300" s="62"/>
      <c r="AA300" s="62"/>
      <c r="AB300" s="62"/>
      <c r="AC300" s="62"/>
      <c r="AD300" s="62"/>
      <c r="AE300" s="62"/>
      <c r="AF300" s="62"/>
      <c r="AG300" s="62"/>
      <c r="AH300" s="62"/>
      <c r="AI300" s="62"/>
      <c r="AJ300" s="62"/>
      <c r="AK300" s="62"/>
      <c r="AL300" s="62"/>
      <c r="AM300" s="62"/>
      <c r="AN300" s="62"/>
      <c r="AO300" s="62"/>
      <c r="AP300" s="62"/>
      <c r="AQ300" s="62"/>
      <c r="AR300" s="62"/>
      <c r="AS300" s="62"/>
      <c r="AT300" s="62"/>
      <c r="AU300" s="62"/>
      <c r="AV300" s="62"/>
      <c r="AW300" s="62"/>
      <c r="AX300" s="62"/>
    </row>
    <row r="301" spans="1:50" ht="14.25" customHeight="1" x14ac:dyDescent="0.3">
      <c r="A301" s="58"/>
      <c r="B301" s="58"/>
      <c r="C301" s="58"/>
      <c r="D301" s="58"/>
      <c r="E301" s="58"/>
      <c r="F301" s="58"/>
      <c r="G301" s="59"/>
      <c r="H301" s="60"/>
      <c r="I301" s="60"/>
      <c r="J301" s="59"/>
      <c r="K301" s="61"/>
      <c r="M301" s="62"/>
      <c r="N301" s="62"/>
      <c r="O301" s="62"/>
      <c r="P301" s="62"/>
      <c r="Q301" s="62"/>
      <c r="R301" s="62"/>
      <c r="S301" s="62"/>
      <c r="T301" s="62"/>
      <c r="U301" s="62"/>
      <c r="V301" s="62"/>
      <c r="W301" s="62"/>
      <c r="X301" s="62"/>
      <c r="Y301" s="62"/>
      <c r="Z301" s="62"/>
      <c r="AA301" s="62"/>
      <c r="AB301" s="62"/>
      <c r="AC301" s="62"/>
      <c r="AD301" s="62"/>
      <c r="AE301" s="62"/>
      <c r="AF301" s="62"/>
      <c r="AG301" s="62"/>
      <c r="AH301" s="62"/>
      <c r="AI301" s="62"/>
      <c r="AJ301" s="62"/>
      <c r="AK301" s="62"/>
      <c r="AL301" s="62"/>
      <c r="AM301" s="62"/>
      <c r="AN301" s="62"/>
      <c r="AO301" s="62"/>
      <c r="AP301" s="62"/>
      <c r="AQ301" s="62"/>
      <c r="AR301" s="62"/>
      <c r="AS301" s="62"/>
      <c r="AT301" s="62"/>
      <c r="AU301" s="62"/>
      <c r="AV301" s="62"/>
      <c r="AW301" s="62"/>
      <c r="AX301" s="62"/>
    </row>
    <row r="302" spans="1:50" ht="14.25" customHeight="1" x14ac:dyDescent="0.3">
      <c r="A302" s="58"/>
      <c r="B302" s="58"/>
      <c r="C302" s="58"/>
      <c r="D302" s="58"/>
      <c r="E302" s="58"/>
      <c r="F302" s="58"/>
      <c r="G302" s="59"/>
      <c r="H302" s="60"/>
      <c r="I302" s="60"/>
      <c r="J302" s="59"/>
      <c r="K302" s="61"/>
      <c r="M302" s="62"/>
      <c r="N302" s="62"/>
      <c r="O302" s="62"/>
      <c r="P302" s="62"/>
      <c r="Q302" s="62"/>
      <c r="R302" s="62"/>
      <c r="S302" s="62"/>
      <c r="T302" s="62"/>
      <c r="U302" s="62"/>
      <c r="V302" s="62"/>
      <c r="W302" s="62"/>
      <c r="X302" s="62"/>
      <c r="Y302" s="62"/>
      <c r="Z302" s="62"/>
      <c r="AA302" s="62"/>
      <c r="AB302" s="62"/>
      <c r="AC302" s="62"/>
      <c r="AD302" s="62"/>
      <c r="AE302" s="62"/>
      <c r="AF302" s="62"/>
      <c r="AG302" s="62"/>
      <c r="AH302" s="62"/>
      <c r="AI302" s="62"/>
      <c r="AJ302" s="62"/>
      <c r="AK302" s="62"/>
      <c r="AL302" s="62"/>
      <c r="AM302" s="62"/>
      <c r="AN302" s="62"/>
      <c r="AO302" s="62"/>
      <c r="AP302" s="62"/>
      <c r="AQ302" s="62"/>
      <c r="AR302" s="62"/>
      <c r="AS302" s="62"/>
      <c r="AT302" s="62"/>
      <c r="AU302" s="62"/>
      <c r="AV302" s="62"/>
      <c r="AW302" s="62"/>
      <c r="AX302" s="62"/>
    </row>
    <row r="303" spans="1:50" ht="14.25" customHeight="1" x14ac:dyDescent="0.3">
      <c r="A303" s="58"/>
      <c r="B303" s="58"/>
      <c r="C303" s="58"/>
      <c r="D303" s="58"/>
      <c r="E303" s="58"/>
      <c r="F303" s="58"/>
      <c r="G303" s="59"/>
      <c r="H303" s="60"/>
      <c r="I303" s="60"/>
      <c r="J303" s="59"/>
      <c r="K303" s="61"/>
      <c r="M303" s="62"/>
      <c r="N303" s="62"/>
      <c r="O303" s="62"/>
      <c r="P303" s="62"/>
      <c r="Q303" s="62"/>
      <c r="R303" s="62"/>
      <c r="S303" s="62"/>
      <c r="T303" s="62"/>
      <c r="U303" s="62"/>
      <c r="V303" s="62"/>
      <c r="W303" s="62"/>
      <c r="X303" s="62"/>
      <c r="Y303" s="62"/>
      <c r="Z303" s="62"/>
      <c r="AA303" s="62"/>
      <c r="AB303" s="62"/>
      <c r="AC303" s="62"/>
      <c r="AD303" s="62"/>
      <c r="AE303" s="62"/>
      <c r="AF303" s="62"/>
      <c r="AG303" s="62"/>
      <c r="AH303" s="62"/>
      <c r="AI303" s="62"/>
      <c r="AJ303" s="62"/>
      <c r="AK303" s="62"/>
      <c r="AL303" s="62"/>
      <c r="AM303" s="62"/>
      <c r="AN303" s="62"/>
      <c r="AO303" s="62"/>
      <c r="AP303" s="62"/>
      <c r="AQ303" s="62"/>
      <c r="AR303" s="62"/>
      <c r="AS303" s="62"/>
      <c r="AT303" s="62"/>
      <c r="AU303" s="62"/>
      <c r="AV303" s="62"/>
      <c r="AW303" s="62"/>
      <c r="AX303" s="62"/>
    </row>
    <row r="304" spans="1:50" ht="14.25" customHeight="1" x14ac:dyDescent="0.3">
      <c r="A304" s="58"/>
      <c r="B304" s="58"/>
      <c r="C304" s="58"/>
      <c r="D304" s="58"/>
      <c r="E304" s="58"/>
      <c r="F304" s="58"/>
      <c r="G304" s="59"/>
      <c r="H304" s="60"/>
      <c r="I304" s="60"/>
      <c r="J304" s="59"/>
      <c r="K304" s="61"/>
      <c r="M304" s="62"/>
      <c r="N304" s="62"/>
      <c r="O304" s="62"/>
      <c r="P304" s="62"/>
      <c r="Q304" s="62"/>
      <c r="R304" s="62"/>
      <c r="S304" s="62"/>
      <c r="T304" s="62"/>
      <c r="U304" s="62"/>
      <c r="V304" s="62"/>
      <c r="W304" s="62"/>
      <c r="X304" s="62"/>
      <c r="Y304" s="62"/>
      <c r="Z304" s="62"/>
      <c r="AA304" s="62"/>
      <c r="AB304" s="62"/>
      <c r="AC304" s="62"/>
      <c r="AD304" s="62"/>
      <c r="AE304" s="62"/>
      <c r="AF304" s="62"/>
      <c r="AG304" s="62"/>
      <c r="AH304" s="62"/>
      <c r="AI304" s="62"/>
      <c r="AJ304" s="62"/>
      <c r="AK304" s="62"/>
      <c r="AL304" s="62"/>
      <c r="AM304" s="62"/>
      <c r="AN304" s="62"/>
      <c r="AO304" s="62"/>
      <c r="AP304" s="62"/>
      <c r="AQ304" s="62"/>
      <c r="AR304" s="62"/>
      <c r="AS304" s="62"/>
      <c r="AT304" s="62"/>
      <c r="AU304" s="62"/>
      <c r="AV304" s="62"/>
      <c r="AW304" s="62"/>
      <c r="AX304" s="62"/>
    </row>
    <row r="305" spans="1:50" ht="14.25" customHeight="1" x14ac:dyDescent="0.3">
      <c r="A305" s="58"/>
      <c r="B305" s="58"/>
      <c r="C305" s="58"/>
      <c r="D305" s="58"/>
      <c r="E305" s="58"/>
      <c r="F305" s="58"/>
      <c r="G305" s="59"/>
      <c r="H305" s="60"/>
      <c r="I305" s="60"/>
      <c r="J305" s="59"/>
      <c r="K305" s="61"/>
      <c r="M305" s="62"/>
      <c r="N305" s="62"/>
      <c r="O305" s="62"/>
      <c r="P305" s="62"/>
      <c r="Q305" s="62"/>
      <c r="R305" s="62"/>
      <c r="S305" s="62"/>
      <c r="T305" s="62"/>
      <c r="U305" s="62"/>
      <c r="V305" s="62"/>
      <c r="W305" s="62"/>
      <c r="X305" s="62"/>
      <c r="Y305" s="62"/>
      <c r="Z305" s="62"/>
      <c r="AA305" s="62"/>
      <c r="AB305" s="62"/>
      <c r="AC305" s="62"/>
      <c r="AD305" s="62"/>
      <c r="AE305" s="62"/>
      <c r="AF305" s="62"/>
      <c r="AG305" s="62"/>
      <c r="AH305" s="62"/>
      <c r="AI305" s="62"/>
      <c r="AJ305" s="62"/>
      <c r="AK305" s="62"/>
      <c r="AL305" s="62"/>
      <c r="AM305" s="62"/>
      <c r="AN305" s="62"/>
      <c r="AO305" s="62"/>
      <c r="AP305" s="62"/>
      <c r="AQ305" s="62"/>
      <c r="AR305" s="62"/>
      <c r="AS305" s="62"/>
      <c r="AT305" s="62"/>
      <c r="AU305" s="62"/>
      <c r="AV305" s="62"/>
      <c r="AW305" s="62"/>
      <c r="AX305" s="62"/>
    </row>
    <row r="306" spans="1:50" ht="14.25" customHeight="1" x14ac:dyDescent="0.3">
      <c r="A306" s="58"/>
      <c r="B306" s="58"/>
      <c r="C306" s="58"/>
      <c r="D306" s="58"/>
      <c r="E306" s="58"/>
      <c r="F306" s="58"/>
      <c r="G306" s="59"/>
      <c r="H306" s="60"/>
      <c r="I306" s="60"/>
      <c r="J306" s="59"/>
      <c r="K306" s="61"/>
      <c r="M306" s="62"/>
      <c r="N306" s="62"/>
      <c r="O306" s="62"/>
      <c r="P306" s="62"/>
      <c r="Q306" s="62"/>
      <c r="R306" s="62"/>
      <c r="S306" s="62"/>
      <c r="T306" s="62"/>
      <c r="U306" s="62"/>
      <c r="V306" s="62"/>
      <c r="W306" s="62"/>
      <c r="X306" s="62"/>
      <c r="Y306" s="62"/>
      <c r="Z306" s="62"/>
      <c r="AA306" s="62"/>
      <c r="AB306" s="62"/>
      <c r="AC306" s="62"/>
      <c r="AD306" s="62"/>
      <c r="AE306" s="62"/>
      <c r="AF306" s="62"/>
      <c r="AG306" s="62"/>
      <c r="AH306" s="62"/>
      <c r="AI306" s="62"/>
      <c r="AJ306" s="62"/>
      <c r="AK306" s="62"/>
      <c r="AL306" s="62"/>
      <c r="AM306" s="62"/>
      <c r="AN306" s="62"/>
      <c r="AO306" s="62"/>
      <c r="AP306" s="62"/>
      <c r="AQ306" s="62"/>
      <c r="AR306" s="62"/>
      <c r="AS306" s="62"/>
      <c r="AT306" s="62"/>
      <c r="AU306" s="62"/>
      <c r="AV306" s="62"/>
      <c r="AW306" s="62"/>
      <c r="AX306" s="62"/>
    </row>
    <row r="307" spans="1:50" ht="14.25" customHeight="1" x14ac:dyDescent="0.3">
      <c r="A307" s="58"/>
      <c r="B307" s="58"/>
      <c r="C307" s="58"/>
      <c r="D307" s="58"/>
      <c r="E307" s="58"/>
      <c r="F307" s="58"/>
      <c r="G307" s="59"/>
      <c r="H307" s="60"/>
      <c r="I307" s="60"/>
      <c r="J307" s="59"/>
      <c r="K307" s="61"/>
      <c r="M307" s="62"/>
      <c r="N307" s="62"/>
      <c r="O307" s="62"/>
      <c r="P307" s="62"/>
      <c r="Q307" s="62"/>
      <c r="R307" s="62"/>
      <c r="S307" s="62"/>
      <c r="T307" s="62"/>
      <c r="U307" s="62"/>
      <c r="V307" s="62"/>
      <c r="W307" s="62"/>
      <c r="X307" s="62"/>
      <c r="Y307" s="62"/>
      <c r="Z307" s="62"/>
      <c r="AA307" s="62"/>
      <c r="AB307" s="62"/>
      <c r="AC307" s="62"/>
      <c r="AD307" s="62"/>
      <c r="AE307" s="62"/>
      <c r="AF307" s="62"/>
      <c r="AG307" s="62"/>
      <c r="AH307" s="62"/>
      <c r="AI307" s="62"/>
      <c r="AJ307" s="62"/>
      <c r="AK307" s="62"/>
      <c r="AL307" s="62"/>
      <c r="AM307" s="62"/>
      <c r="AN307" s="62"/>
      <c r="AO307" s="62"/>
      <c r="AP307" s="62"/>
      <c r="AQ307" s="62"/>
      <c r="AR307" s="62"/>
      <c r="AS307" s="62"/>
      <c r="AT307" s="62"/>
      <c r="AU307" s="62"/>
      <c r="AV307" s="62"/>
      <c r="AW307" s="62"/>
      <c r="AX307" s="62"/>
    </row>
    <row r="308" spans="1:50" ht="14.25" customHeight="1" x14ac:dyDescent="0.3">
      <c r="A308" s="58"/>
      <c r="B308" s="58"/>
      <c r="C308" s="58"/>
      <c r="D308" s="58"/>
      <c r="E308" s="58"/>
      <c r="F308" s="58"/>
      <c r="G308" s="59"/>
      <c r="H308" s="60"/>
      <c r="I308" s="60"/>
      <c r="J308" s="59"/>
      <c r="K308" s="61"/>
      <c r="M308" s="62"/>
      <c r="N308" s="62"/>
      <c r="O308" s="62"/>
      <c r="P308" s="62"/>
      <c r="Q308" s="62"/>
      <c r="R308" s="62"/>
      <c r="S308" s="62"/>
      <c r="T308" s="62"/>
      <c r="U308" s="62"/>
      <c r="V308" s="62"/>
      <c r="W308" s="62"/>
      <c r="X308" s="62"/>
      <c r="Y308" s="62"/>
      <c r="Z308" s="62"/>
      <c r="AA308" s="62"/>
      <c r="AB308" s="62"/>
      <c r="AC308" s="62"/>
      <c r="AD308" s="62"/>
      <c r="AE308" s="62"/>
      <c r="AF308" s="62"/>
      <c r="AG308" s="62"/>
      <c r="AH308" s="62"/>
      <c r="AI308" s="62"/>
      <c r="AJ308" s="62"/>
      <c r="AK308" s="62"/>
      <c r="AL308" s="62"/>
      <c r="AM308" s="62"/>
      <c r="AN308" s="62"/>
      <c r="AO308" s="62"/>
      <c r="AP308" s="62"/>
      <c r="AQ308" s="62"/>
      <c r="AR308" s="62"/>
      <c r="AS308" s="62"/>
      <c r="AT308" s="62"/>
      <c r="AU308" s="62"/>
      <c r="AV308" s="62"/>
      <c r="AW308" s="62"/>
      <c r="AX308" s="62"/>
    </row>
    <row r="309" spans="1:50" ht="14.25" customHeight="1" x14ac:dyDescent="0.3">
      <c r="A309" s="58"/>
      <c r="B309" s="58"/>
      <c r="C309" s="58"/>
      <c r="D309" s="58"/>
      <c r="E309" s="58"/>
      <c r="F309" s="58"/>
      <c r="G309" s="59"/>
      <c r="H309" s="60"/>
      <c r="I309" s="60"/>
      <c r="J309" s="59"/>
      <c r="K309" s="61"/>
      <c r="M309" s="62"/>
      <c r="N309" s="62"/>
      <c r="O309" s="62"/>
      <c r="P309" s="62"/>
      <c r="Q309" s="62"/>
      <c r="R309" s="62"/>
      <c r="S309" s="62"/>
      <c r="T309" s="62"/>
      <c r="U309" s="62"/>
      <c r="V309" s="62"/>
      <c r="W309" s="62"/>
      <c r="X309" s="62"/>
      <c r="Y309" s="62"/>
      <c r="Z309" s="62"/>
      <c r="AA309" s="62"/>
      <c r="AB309" s="62"/>
      <c r="AC309" s="62"/>
      <c r="AD309" s="62"/>
      <c r="AE309" s="62"/>
      <c r="AF309" s="62"/>
      <c r="AG309" s="62"/>
      <c r="AH309" s="62"/>
      <c r="AI309" s="62"/>
      <c r="AJ309" s="62"/>
      <c r="AK309" s="62"/>
      <c r="AL309" s="62"/>
      <c r="AM309" s="62"/>
      <c r="AN309" s="62"/>
      <c r="AO309" s="62"/>
      <c r="AP309" s="62"/>
      <c r="AQ309" s="62"/>
      <c r="AR309" s="62"/>
      <c r="AS309" s="62"/>
      <c r="AT309" s="62"/>
      <c r="AU309" s="62"/>
      <c r="AV309" s="62"/>
      <c r="AW309" s="62"/>
      <c r="AX309" s="62"/>
    </row>
    <row r="310" spans="1:50" ht="14.25" customHeight="1" x14ac:dyDescent="0.3">
      <c r="A310" s="58"/>
      <c r="B310" s="58"/>
      <c r="C310" s="58"/>
      <c r="D310" s="58"/>
      <c r="E310" s="58"/>
      <c r="F310" s="58"/>
      <c r="G310" s="59"/>
      <c r="H310" s="60"/>
      <c r="I310" s="60"/>
      <c r="J310" s="59"/>
      <c r="K310" s="61"/>
      <c r="M310" s="62"/>
      <c r="N310" s="62"/>
      <c r="O310" s="62"/>
      <c r="P310" s="62"/>
      <c r="Q310" s="62"/>
      <c r="R310" s="62"/>
      <c r="S310" s="62"/>
      <c r="T310" s="62"/>
      <c r="U310" s="62"/>
      <c r="V310" s="62"/>
      <c r="W310" s="62"/>
      <c r="X310" s="62"/>
      <c r="Y310" s="62"/>
      <c r="Z310" s="62"/>
      <c r="AA310" s="62"/>
      <c r="AB310" s="62"/>
      <c r="AC310" s="62"/>
      <c r="AD310" s="62"/>
      <c r="AE310" s="62"/>
      <c r="AF310" s="62"/>
      <c r="AG310" s="62"/>
      <c r="AH310" s="62"/>
      <c r="AI310" s="62"/>
      <c r="AJ310" s="62"/>
      <c r="AK310" s="62"/>
      <c r="AL310" s="62"/>
      <c r="AM310" s="62"/>
      <c r="AN310" s="62"/>
      <c r="AO310" s="62"/>
      <c r="AP310" s="62"/>
      <c r="AQ310" s="62"/>
      <c r="AR310" s="62"/>
      <c r="AS310" s="62"/>
      <c r="AT310" s="62"/>
      <c r="AU310" s="62"/>
      <c r="AV310" s="62"/>
      <c r="AW310" s="62"/>
      <c r="AX310" s="62"/>
    </row>
    <row r="311" spans="1:50" ht="14.25" customHeight="1" x14ac:dyDescent="0.3">
      <c r="A311" s="58"/>
      <c r="B311" s="58"/>
      <c r="C311" s="58"/>
      <c r="D311" s="58"/>
      <c r="E311" s="58"/>
      <c r="F311" s="58"/>
      <c r="G311" s="59"/>
      <c r="H311" s="60"/>
      <c r="I311" s="60"/>
      <c r="J311" s="59"/>
      <c r="K311" s="61"/>
      <c r="M311" s="62"/>
      <c r="N311" s="62"/>
      <c r="O311" s="62"/>
      <c r="P311" s="62"/>
      <c r="Q311" s="62"/>
      <c r="R311" s="62"/>
      <c r="S311" s="62"/>
      <c r="T311" s="62"/>
      <c r="U311" s="62"/>
      <c r="V311" s="62"/>
      <c r="W311" s="62"/>
      <c r="X311" s="62"/>
      <c r="Y311" s="62"/>
      <c r="Z311" s="62"/>
      <c r="AA311" s="62"/>
      <c r="AB311" s="62"/>
      <c r="AC311" s="62"/>
      <c r="AD311" s="62"/>
      <c r="AE311" s="62"/>
      <c r="AF311" s="62"/>
      <c r="AG311" s="62"/>
      <c r="AH311" s="62"/>
      <c r="AI311" s="62"/>
      <c r="AJ311" s="62"/>
      <c r="AK311" s="62"/>
      <c r="AL311" s="62"/>
      <c r="AM311" s="62"/>
      <c r="AN311" s="62"/>
      <c r="AO311" s="62"/>
      <c r="AP311" s="62"/>
      <c r="AQ311" s="62"/>
      <c r="AR311" s="62"/>
      <c r="AS311" s="62"/>
      <c r="AT311" s="62"/>
      <c r="AU311" s="62"/>
      <c r="AV311" s="62"/>
      <c r="AW311" s="62"/>
      <c r="AX311" s="62"/>
    </row>
    <row r="312" spans="1:50" ht="14.25" customHeight="1" x14ac:dyDescent="0.3">
      <c r="A312" s="58"/>
      <c r="B312" s="58"/>
      <c r="C312" s="58"/>
      <c r="D312" s="58"/>
      <c r="E312" s="58"/>
      <c r="F312" s="58"/>
      <c r="G312" s="59"/>
      <c r="H312" s="60"/>
      <c r="I312" s="60"/>
      <c r="J312" s="59"/>
      <c r="K312" s="61"/>
      <c r="M312" s="62"/>
      <c r="N312" s="62"/>
      <c r="O312" s="62"/>
      <c r="P312" s="62"/>
      <c r="Q312" s="62"/>
      <c r="R312" s="62"/>
      <c r="S312" s="62"/>
      <c r="T312" s="62"/>
      <c r="U312" s="62"/>
      <c r="V312" s="62"/>
      <c r="W312" s="62"/>
      <c r="X312" s="62"/>
      <c r="Y312" s="62"/>
      <c r="Z312" s="62"/>
      <c r="AA312" s="62"/>
      <c r="AB312" s="62"/>
      <c r="AC312" s="62"/>
      <c r="AD312" s="62"/>
      <c r="AE312" s="62"/>
      <c r="AF312" s="62"/>
      <c r="AG312" s="62"/>
      <c r="AH312" s="62"/>
      <c r="AI312" s="62"/>
      <c r="AJ312" s="62"/>
      <c r="AK312" s="62"/>
      <c r="AL312" s="62"/>
      <c r="AM312" s="62"/>
      <c r="AN312" s="62"/>
      <c r="AO312" s="62"/>
      <c r="AP312" s="62"/>
      <c r="AQ312" s="62"/>
      <c r="AR312" s="62"/>
      <c r="AS312" s="62"/>
      <c r="AT312" s="62"/>
      <c r="AU312" s="62"/>
      <c r="AV312" s="62"/>
      <c r="AW312" s="62"/>
      <c r="AX312" s="62"/>
    </row>
    <row r="313" spans="1:50" ht="14.25" customHeight="1" x14ac:dyDescent="0.3">
      <c r="A313" s="58"/>
      <c r="B313" s="58"/>
      <c r="C313" s="58"/>
      <c r="D313" s="58"/>
      <c r="E313" s="58"/>
      <c r="F313" s="58"/>
      <c r="G313" s="59"/>
      <c r="H313" s="60"/>
      <c r="I313" s="60"/>
      <c r="J313" s="59"/>
      <c r="K313" s="61"/>
      <c r="M313" s="62"/>
      <c r="N313" s="62"/>
      <c r="O313" s="62"/>
      <c r="P313" s="62"/>
      <c r="Q313" s="62"/>
      <c r="R313" s="62"/>
      <c r="S313" s="62"/>
      <c r="T313" s="62"/>
      <c r="U313" s="62"/>
      <c r="V313" s="62"/>
      <c r="W313" s="62"/>
      <c r="X313" s="62"/>
      <c r="Y313" s="62"/>
      <c r="Z313" s="62"/>
      <c r="AA313" s="62"/>
      <c r="AB313" s="62"/>
      <c r="AC313" s="62"/>
      <c r="AD313" s="62"/>
      <c r="AE313" s="62"/>
      <c r="AF313" s="62"/>
      <c r="AG313" s="62"/>
      <c r="AH313" s="62"/>
      <c r="AI313" s="62"/>
      <c r="AJ313" s="62"/>
      <c r="AK313" s="62"/>
      <c r="AL313" s="62"/>
      <c r="AM313" s="62"/>
      <c r="AN313" s="62"/>
      <c r="AO313" s="62"/>
      <c r="AP313" s="62"/>
      <c r="AQ313" s="62"/>
      <c r="AR313" s="62"/>
      <c r="AS313" s="62"/>
      <c r="AT313" s="62"/>
      <c r="AU313" s="62"/>
      <c r="AV313" s="62"/>
      <c r="AW313" s="62"/>
      <c r="AX313" s="62"/>
    </row>
    <row r="314" spans="1:50" ht="14.25" customHeight="1" x14ac:dyDescent="0.3">
      <c r="A314" s="58"/>
      <c r="B314" s="58"/>
      <c r="C314" s="58"/>
      <c r="D314" s="58"/>
      <c r="E314" s="58"/>
      <c r="F314" s="58"/>
      <c r="G314" s="59"/>
      <c r="H314" s="60"/>
      <c r="I314" s="60"/>
      <c r="J314" s="59"/>
      <c r="K314" s="61"/>
      <c r="M314" s="62"/>
      <c r="N314" s="62"/>
      <c r="O314" s="62"/>
      <c r="P314" s="62"/>
      <c r="Q314" s="62"/>
      <c r="R314" s="62"/>
      <c r="S314" s="62"/>
      <c r="T314" s="62"/>
      <c r="U314" s="62"/>
      <c r="V314" s="62"/>
      <c r="W314" s="62"/>
      <c r="X314" s="62"/>
      <c r="Y314" s="62"/>
      <c r="Z314" s="62"/>
      <c r="AA314" s="62"/>
      <c r="AB314" s="62"/>
      <c r="AC314" s="62"/>
      <c r="AD314" s="62"/>
      <c r="AE314" s="62"/>
      <c r="AF314" s="62"/>
      <c r="AG314" s="62"/>
      <c r="AH314" s="62"/>
      <c r="AI314" s="62"/>
      <c r="AJ314" s="62"/>
      <c r="AK314" s="62"/>
      <c r="AL314" s="62"/>
      <c r="AM314" s="62"/>
      <c r="AN314" s="62"/>
      <c r="AO314" s="62"/>
      <c r="AP314" s="62"/>
      <c r="AQ314" s="62"/>
      <c r="AR314" s="62"/>
      <c r="AS314" s="62"/>
      <c r="AT314" s="62"/>
      <c r="AU314" s="62"/>
      <c r="AV314" s="62"/>
      <c r="AW314" s="62"/>
      <c r="AX314" s="62"/>
    </row>
    <row r="315" spans="1:50" ht="14.25" customHeight="1" x14ac:dyDescent="0.3">
      <c r="A315" s="58"/>
      <c r="B315" s="58"/>
      <c r="C315" s="58"/>
      <c r="D315" s="58"/>
      <c r="E315" s="58"/>
      <c r="F315" s="58"/>
      <c r="G315" s="59"/>
      <c r="H315" s="60"/>
      <c r="I315" s="60"/>
      <c r="J315" s="59"/>
      <c r="K315" s="61"/>
      <c r="M315" s="62"/>
      <c r="N315" s="62"/>
      <c r="O315" s="62"/>
      <c r="P315" s="62"/>
      <c r="Q315" s="62"/>
      <c r="R315" s="62"/>
      <c r="S315" s="62"/>
      <c r="T315" s="62"/>
      <c r="U315" s="62"/>
      <c r="V315" s="62"/>
      <c r="W315" s="62"/>
      <c r="X315" s="62"/>
      <c r="Y315" s="62"/>
      <c r="Z315" s="62"/>
      <c r="AA315" s="62"/>
      <c r="AB315" s="62"/>
      <c r="AC315" s="62"/>
      <c r="AD315" s="62"/>
      <c r="AE315" s="62"/>
      <c r="AF315" s="62"/>
      <c r="AG315" s="62"/>
      <c r="AH315" s="62"/>
      <c r="AI315" s="62"/>
      <c r="AJ315" s="62"/>
      <c r="AK315" s="62"/>
      <c r="AL315" s="62"/>
      <c r="AM315" s="62"/>
      <c r="AN315" s="62"/>
      <c r="AO315" s="62"/>
      <c r="AP315" s="62"/>
      <c r="AQ315" s="62"/>
      <c r="AR315" s="62"/>
      <c r="AS315" s="62"/>
      <c r="AT315" s="62"/>
      <c r="AU315" s="62"/>
      <c r="AV315" s="62"/>
      <c r="AW315" s="62"/>
      <c r="AX315" s="62"/>
    </row>
    <row r="316" spans="1:50" ht="14.25" customHeight="1" x14ac:dyDescent="0.3">
      <c r="A316" s="58"/>
      <c r="B316" s="58"/>
      <c r="C316" s="58"/>
      <c r="D316" s="58"/>
      <c r="E316" s="58"/>
      <c r="F316" s="58"/>
      <c r="G316" s="59"/>
      <c r="H316" s="60"/>
      <c r="I316" s="60"/>
      <c r="J316" s="59"/>
      <c r="K316" s="61"/>
      <c r="M316" s="62"/>
      <c r="N316" s="62"/>
      <c r="O316" s="62"/>
      <c r="P316" s="62"/>
      <c r="Q316" s="62"/>
      <c r="R316" s="62"/>
      <c r="S316" s="62"/>
      <c r="T316" s="62"/>
      <c r="U316" s="62"/>
      <c r="V316" s="62"/>
      <c r="W316" s="62"/>
      <c r="X316" s="62"/>
      <c r="Y316" s="62"/>
      <c r="Z316" s="62"/>
      <c r="AA316" s="62"/>
      <c r="AB316" s="62"/>
      <c r="AC316" s="62"/>
      <c r="AD316" s="62"/>
      <c r="AE316" s="62"/>
      <c r="AF316" s="62"/>
      <c r="AG316" s="62"/>
      <c r="AH316" s="62"/>
      <c r="AI316" s="62"/>
      <c r="AJ316" s="62"/>
      <c r="AK316" s="62"/>
      <c r="AL316" s="62"/>
      <c r="AM316" s="62"/>
      <c r="AN316" s="62"/>
      <c r="AO316" s="62"/>
      <c r="AP316" s="62"/>
      <c r="AQ316" s="62"/>
      <c r="AR316" s="62"/>
      <c r="AS316" s="62"/>
      <c r="AT316" s="62"/>
      <c r="AU316" s="62"/>
      <c r="AV316" s="62"/>
      <c r="AW316" s="62"/>
      <c r="AX316" s="62"/>
    </row>
    <row r="317" spans="1:50" ht="14.25" customHeight="1" x14ac:dyDescent="0.3">
      <c r="A317" s="58"/>
      <c r="B317" s="58"/>
      <c r="C317" s="58"/>
      <c r="D317" s="58"/>
      <c r="E317" s="58"/>
      <c r="F317" s="58"/>
      <c r="G317" s="59"/>
      <c r="H317" s="60"/>
      <c r="I317" s="60"/>
      <c r="J317" s="59"/>
      <c r="K317" s="61"/>
      <c r="M317" s="62"/>
      <c r="N317" s="62"/>
      <c r="O317" s="62"/>
      <c r="P317" s="62"/>
      <c r="Q317" s="62"/>
      <c r="R317" s="62"/>
      <c r="S317" s="62"/>
      <c r="T317" s="62"/>
      <c r="U317" s="62"/>
      <c r="V317" s="62"/>
      <c r="W317" s="62"/>
      <c r="X317" s="62"/>
      <c r="Y317" s="62"/>
      <c r="Z317" s="62"/>
      <c r="AA317" s="62"/>
      <c r="AB317" s="62"/>
      <c r="AC317" s="62"/>
      <c r="AD317" s="62"/>
      <c r="AE317" s="62"/>
      <c r="AF317" s="62"/>
      <c r="AG317" s="62"/>
      <c r="AH317" s="62"/>
      <c r="AI317" s="62"/>
      <c r="AJ317" s="62"/>
      <c r="AK317" s="62"/>
      <c r="AL317" s="62"/>
      <c r="AM317" s="62"/>
      <c r="AN317" s="62"/>
      <c r="AO317" s="62"/>
      <c r="AP317" s="62"/>
      <c r="AQ317" s="62"/>
      <c r="AR317" s="62"/>
      <c r="AS317" s="62"/>
      <c r="AT317" s="62"/>
      <c r="AU317" s="62"/>
      <c r="AV317" s="62"/>
      <c r="AW317" s="62"/>
      <c r="AX317" s="62"/>
    </row>
    <row r="318" spans="1:50" ht="14.25" customHeight="1" x14ac:dyDescent="0.3">
      <c r="A318" s="58"/>
      <c r="B318" s="58"/>
      <c r="C318" s="58"/>
      <c r="D318" s="58"/>
      <c r="E318" s="58"/>
      <c r="F318" s="58"/>
      <c r="G318" s="59"/>
      <c r="H318" s="60"/>
      <c r="I318" s="60"/>
      <c r="J318" s="59"/>
      <c r="K318" s="61"/>
      <c r="M318" s="62"/>
      <c r="N318" s="62"/>
      <c r="O318" s="62"/>
      <c r="P318" s="62"/>
      <c r="Q318" s="62"/>
      <c r="R318" s="62"/>
      <c r="S318" s="62"/>
      <c r="T318" s="62"/>
      <c r="U318" s="62"/>
      <c r="V318" s="62"/>
      <c r="W318" s="62"/>
      <c r="X318" s="62"/>
      <c r="Y318" s="62"/>
      <c r="Z318" s="62"/>
      <c r="AA318" s="62"/>
      <c r="AB318" s="62"/>
      <c r="AC318" s="62"/>
      <c r="AD318" s="62"/>
      <c r="AE318" s="62"/>
      <c r="AF318" s="62"/>
      <c r="AG318" s="62"/>
      <c r="AH318" s="62"/>
      <c r="AI318" s="62"/>
      <c r="AJ318" s="62"/>
      <c r="AK318" s="62"/>
      <c r="AL318" s="62"/>
      <c r="AM318" s="62"/>
      <c r="AN318" s="62"/>
      <c r="AO318" s="62"/>
      <c r="AP318" s="62"/>
      <c r="AQ318" s="62"/>
      <c r="AR318" s="62"/>
      <c r="AS318" s="62"/>
      <c r="AT318" s="62"/>
      <c r="AU318" s="62"/>
      <c r="AV318" s="62"/>
      <c r="AW318" s="62"/>
      <c r="AX318" s="62"/>
    </row>
    <row r="319" spans="1:50" ht="14.25" customHeight="1" x14ac:dyDescent="0.3">
      <c r="A319" s="58"/>
      <c r="B319" s="58"/>
      <c r="C319" s="58"/>
      <c r="D319" s="58"/>
      <c r="E319" s="58"/>
      <c r="F319" s="58"/>
      <c r="G319" s="59"/>
      <c r="H319" s="60"/>
      <c r="I319" s="60"/>
      <c r="J319" s="59"/>
      <c r="K319" s="61"/>
      <c r="M319" s="62"/>
      <c r="N319" s="62"/>
      <c r="O319" s="62"/>
      <c r="P319" s="62"/>
      <c r="Q319" s="62"/>
      <c r="R319" s="62"/>
      <c r="S319" s="62"/>
      <c r="T319" s="62"/>
      <c r="U319" s="62"/>
      <c r="V319" s="62"/>
      <c r="W319" s="62"/>
      <c r="X319" s="62"/>
      <c r="Y319" s="62"/>
      <c r="Z319" s="62"/>
      <c r="AA319" s="62"/>
      <c r="AB319" s="62"/>
      <c r="AC319" s="62"/>
      <c r="AD319" s="62"/>
      <c r="AE319" s="62"/>
      <c r="AF319" s="62"/>
      <c r="AG319" s="62"/>
      <c r="AH319" s="62"/>
      <c r="AI319" s="62"/>
      <c r="AJ319" s="62"/>
      <c r="AK319" s="62"/>
      <c r="AL319" s="62"/>
      <c r="AM319" s="62"/>
      <c r="AN319" s="62"/>
      <c r="AO319" s="62"/>
      <c r="AP319" s="62"/>
      <c r="AQ319" s="62"/>
      <c r="AR319" s="62"/>
      <c r="AS319" s="62"/>
      <c r="AT319" s="62"/>
      <c r="AU319" s="62"/>
      <c r="AV319" s="62"/>
      <c r="AW319" s="62"/>
      <c r="AX319" s="62"/>
    </row>
    <row r="320" spans="1:50" ht="14.25" customHeight="1" x14ac:dyDescent="0.3">
      <c r="A320" s="58"/>
      <c r="B320" s="58"/>
      <c r="C320" s="58"/>
      <c r="D320" s="58"/>
      <c r="E320" s="58"/>
      <c r="F320" s="58"/>
      <c r="G320" s="59"/>
      <c r="H320" s="60"/>
      <c r="I320" s="60"/>
      <c r="J320" s="59"/>
      <c r="K320" s="61"/>
      <c r="M320" s="62"/>
      <c r="N320" s="62"/>
      <c r="O320" s="62"/>
      <c r="P320" s="62"/>
      <c r="Q320" s="62"/>
      <c r="R320" s="62"/>
      <c r="S320" s="62"/>
      <c r="T320" s="62"/>
      <c r="U320" s="62"/>
      <c r="V320" s="62"/>
      <c r="W320" s="62"/>
      <c r="X320" s="62"/>
      <c r="Y320" s="62"/>
      <c r="Z320" s="62"/>
      <c r="AA320" s="62"/>
      <c r="AB320" s="62"/>
      <c r="AC320" s="62"/>
      <c r="AD320" s="62"/>
      <c r="AE320" s="62"/>
      <c r="AF320" s="62"/>
      <c r="AG320" s="62"/>
      <c r="AH320" s="62"/>
      <c r="AI320" s="62"/>
      <c r="AJ320" s="62"/>
      <c r="AK320" s="62"/>
      <c r="AL320" s="62"/>
      <c r="AM320" s="62"/>
      <c r="AN320" s="62"/>
      <c r="AO320" s="62"/>
      <c r="AP320" s="62"/>
      <c r="AQ320" s="62"/>
      <c r="AR320" s="62"/>
      <c r="AS320" s="62"/>
      <c r="AT320" s="62"/>
      <c r="AU320" s="62"/>
      <c r="AV320" s="62"/>
      <c r="AW320" s="62"/>
      <c r="AX320" s="62"/>
    </row>
    <row r="321" spans="1:50" ht="14.25" customHeight="1" x14ac:dyDescent="0.3">
      <c r="A321" s="58"/>
      <c r="B321" s="58"/>
      <c r="C321" s="58"/>
      <c r="D321" s="58"/>
      <c r="E321" s="58"/>
      <c r="F321" s="58"/>
      <c r="G321" s="59"/>
      <c r="H321" s="60"/>
      <c r="I321" s="60"/>
      <c r="J321" s="59"/>
      <c r="K321" s="61"/>
      <c r="M321" s="62"/>
      <c r="N321" s="62"/>
      <c r="O321" s="62"/>
      <c r="P321" s="62"/>
      <c r="Q321" s="62"/>
      <c r="R321" s="62"/>
      <c r="S321" s="62"/>
      <c r="T321" s="62"/>
      <c r="U321" s="62"/>
      <c r="V321" s="62"/>
      <c r="W321" s="62"/>
      <c r="X321" s="62"/>
      <c r="Y321" s="62"/>
      <c r="Z321" s="62"/>
      <c r="AA321" s="62"/>
      <c r="AB321" s="62"/>
      <c r="AC321" s="62"/>
      <c r="AD321" s="62"/>
      <c r="AE321" s="62"/>
      <c r="AF321" s="62"/>
      <c r="AG321" s="62"/>
      <c r="AH321" s="62"/>
      <c r="AI321" s="62"/>
      <c r="AJ321" s="62"/>
      <c r="AK321" s="62"/>
      <c r="AL321" s="62"/>
      <c r="AM321" s="62"/>
      <c r="AN321" s="62"/>
      <c r="AO321" s="62"/>
      <c r="AP321" s="62"/>
      <c r="AQ321" s="62"/>
      <c r="AR321" s="62"/>
      <c r="AS321" s="62"/>
      <c r="AT321" s="62"/>
      <c r="AU321" s="62"/>
      <c r="AV321" s="62"/>
      <c r="AW321" s="62"/>
      <c r="AX321" s="62"/>
    </row>
    <row r="322" spans="1:50" ht="14.25" customHeight="1" x14ac:dyDescent="0.3">
      <c r="A322" s="58"/>
      <c r="B322" s="58"/>
      <c r="C322" s="58"/>
      <c r="D322" s="58"/>
      <c r="E322" s="58"/>
      <c r="F322" s="58"/>
      <c r="G322" s="59"/>
      <c r="H322" s="60"/>
      <c r="I322" s="60"/>
      <c r="J322" s="59"/>
      <c r="K322" s="61"/>
      <c r="M322" s="62"/>
      <c r="N322" s="62"/>
      <c r="O322" s="62"/>
      <c r="P322" s="62"/>
      <c r="Q322" s="62"/>
      <c r="R322" s="62"/>
      <c r="S322" s="62"/>
      <c r="T322" s="62"/>
      <c r="U322" s="62"/>
      <c r="V322" s="62"/>
      <c r="W322" s="62"/>
      <c r="X322" s="62"/>
      <c r="Y322" s="62"/>
      <c r="Z322" s="62"/>
      <c r="AA322" s="62"/>
      <c r="AB322" s="62"/>
      <c r="AC322" s="62"/>
      <c r="AD322" s="62"/>
      <c r="AE322" s="62"/>
      <c r="AF322" s="62"/>
      <c r="AG322" s="62"/>
      <c r="AH322" s="62"/>
      <c r="AI322" s="62"/>
      <c r="AJ322" s="62"/>
      <c r="AK322" s="62"/>
      <c r="AL322" s="62"/>
      <c r="AM322" s="62"/>
      <c r="AN322" s="62"/>
      <c r="AO322" s="62"/>
      <c r="AP322" s="62"/>
      <c r="AQ322" s="62"/>
      <c r="AR322" s="62"/>
      <c r="AS322" s="62"/>
      <c r="AT322" s="62"/>
      <c r="AU322" s="62"/>
      <c r="AV322" s="62"/>
      <c r="AW322" s="62"/>
      <c r="AX322" s="62"/>
    </row>
    <row r="323" spans="1:50" ht="14.25" customHeight="1" x14ac:dyDescent="0.3">
      <c r="A323" s="58"/>
      <c r="B323" s="58"/>
      <c r="C323" s="58"/>
      <c r="D323" s="58"/>
      <c r="E323" s="58"/>
      <c r="F323" s="58"/>
      <c r="G323" s="59"/>
      <c r="H323" s="60"/>
      <c r="I323" s="60"/>
      <c r="J323" s="59"/>
      <c r="K323" s="61"/>
      <c r="M323" s="62"/>
      <c r="N323" s="62"/>
      <c r="O323" s="62"/>
      <c r="P323" s="62"/>
      <c r="Q323" s="62"/>
      <c r="R323" s="62"/>
      <c r="S323" s="62"/>
      <c r="T323" s="62"/>
      <c r="U323" s="62"/>
      <c r="V323" s="62"/>
      <c r="W323" s="62"/>
      <c r="X323" s="62"/>
      <c r="Y323" s="62"/>
      <c r="Z323" s="62"/>
      <c r="AA323" s="62"/>
      <c r="AB323" s="62"/>
      <c r="AC323" s="62"/>
      <c r="AD323" s="62"/>
      <c r="AE323" s="62"/>
      <c r="AF323" s="62"/>
      <c r="AG323" s="62"/>
      <c r="AH323" s="62"/>
      <c r="AI323" s="62"/>
      <c r="AJ323" s="62"/>
      <c r="AK323" s="62"/>
      <c r="AL323" s="62"/>
      <c r="AM323" s="62"/>
      <c r="AN323" s="62"/>
      <c r="AO323" s="62"/>
      <c r="AP323" s="62"/>
      <c r="AQ323" s="62"/>
      <c r="AR323" s="62"/>
      <c r="AS323" s="62"/>
      <c r="AT323" s="62"/>
      <c r="AU323" s="62"/>
      <c r="AV323" s="62"/>
      <c r="AW323" s="62"/>
      <c r="AX323" s="62"/>
    </row>
    <row r="324" spans="1:50" ht="14.25" customHeight="1" x14ac:dyDescent="0.3">
      <c r="A324" s="58"/>
      <c r="B324" s="58"/>
      <c r="C324" s="58"/>
      <c r="D324" s="58"/>
      <c r="E324" s="58"/>
      <c r="F324" s="58"/>
      <c r="G324" s="59"/>
      <c r="H324" s="60"/>
      <c r="I324" s="60"/>
      <c r="J324" s="59"/>
      <c r="K324" s="61"/>
      <c r="M324" s="62"/>
      <c r="N324" s="62"/>
      <c r="O324" s="62"/>
      <c r="P324" s="62"/>
      <c r="Q324" s="62"/>
      <c r="R324" s="62"/>
      <c r="S324" s="62"/>
      <c r="T324" s="62"/>
      <c r="U324" s="62"/>
      <c r="V324" s="62"/>
      <c r="W324" s="62"/>
      <c r="X324" s="62"/>
      <c r="Y324" s="62"/>
      <c r="Z324" s="62"/>
      <c r="AA324" s="62"/>
      <c r="AB324" s="62"/>
      <c r="AC324" s="62"/>
      <c r="AD324" s="62"/>
      <c r="AE324" s="62"/>
      <c r="AF324" s="62"/>
      <c r="AG324" s="62"/>
      <c r="AH324" s="62"/>
      <c r="AI324" s="62"/>
      <c r="AJ324" s="62"/>
      <c r="AK324" s="62"/>
      <c r="AL324" s="62"/>
      <c r="AM324" s="62"/>
      <c r="AN324" s="62"/>
      <c r="AO324" s="62"/>
      <c r="AP324" s="62"/>
      <c r="AQ324" s="62"/>
      <c r="AR324" s="62"/>
      <c r="AS324" s="62"/>
      <c r="AT324" s="62"/>
      <c r="AU324" s="62"/>
      <c r="AV324" s="62"/>
      <c r="AW324" s="62"/>
      <c r="AX324" s="62"/>
    </row>
    <row r="325" spans="1:50" ht="14.25" customHeight="1" x14ac:dyDescent="0.3">
      <c r="A325" s="58"/>
      <c r="B325" s="58"/>
      <c r="C325" s="58"/>
      <c r="D325" s="58"/>
      <c r="E325" s="58"/>
      <c r="F325" s="58"/>
      <c r="G325" s="59"/>
      <c r="H325" s="60"/>
      <c r="I325" s="60"/>
      <c r="J325" s="59"/>
      <c r="K325" s="61"/>
      <c r="M325" s="62"/>
      <c r="N325" s="62"/>
      <c r="O325" s="62"/>
      <c r="P325" s="62"/>
      <c r="Q325" s="62"/>
      <c r="R325" s="62"/>
      <c r="S325" s="62"/>
      <c r="T325" s="62"/>
      <c r="U325" s="62"/>
      <c r="V325" s="62"/>
      <c r="W325" s="62"/>
      <c r="X325" s="62"/>
      <c r="Y325" s="62"/>
      <c r="Z325" s="62"/>
      <c r="AA325" s="62"/>
      <c r="AB325" s="62"/>
      <c r="AC325" s="62"/>
      <c r="AD325" s="62"/>
      <c r="AE325" s="62"/>
      <c r="AF325" s="62"/>
      <c r="AG325" s="62"/>
      <c r="AH325" s="62"/>
      <c r="AI325" s="62"/>
      <c r="AJ325" s="62"/>
      <c r="AK325" s="62"/>
      <c r="AL325" s="62"/>
      <c r="AM325" s="62"/>
      <c r="AN325" s="62"/>
      <c r="AO325" s="62"/>
      <c r="AP325" s="62"/>
      <c r="AQ325" s="62"/>
      <c r="AR325" s="62"/>
      <c r="AS325" s="62"/>
      <c r="AT325" s="62"/>
      <c r="AU325" s="62"/>
      <c r="AV325" s="62"/>
      <c r="AW325" s="62"/>
      <c r="AX325" s="62"/>
    </row>
    <row r="326" spans="1:50" ht="14.25" customHeight="1" x14ac:dyDescent="0.3">
      <c r="A326" s="58"/>
      <c r="B326" s="58"/>
      <c r="C326" s="58"/>
      <c r="D326" s="58"/>
      <c r="E326" s="58"/>
      <c r="F326" s="58"/>
      <c r="G326" s="59"/>
      <c r="H326" s="60"/>
      <c r="I326" s="60"/>
      <c r="J326" s="59"/>
      <c r="K326" s="61"/>
      <c r="M326" s="62"/>
      <c r="N326" s="62"/>
      <c r="O326" s="62"/>
      <c r="P326" s="62"/>
      <c r="Q326" s="62"/>
      <c r="R326" s="62"/>
      <c r="S326" s="62"/>
      <c r="T326" s="62"/>
      <c r="U326" s="62"/>
      <c r="V326" s="62"/>
      <c r="W326" s="62"/>
      <c r="X326" s="62"/>
      <c r="Y326" s="62"/>
      <c r="Z326" s="62"/>
      <c r="AA326" s="62"/>
      <c r="AB326" s="62"/>
      <c r="AC326" s="62"/>
      <c r="AD326" s="62"/>
      <c r="AE326" s="62"/>
      <c r="AF326" s="62"/>
      <c r="AG326" s="62"/>
      <c r="AH326" s="62"/>
      <c r="AI326" s="62"/>
      <c r="AJ326" s="62"/>
      <c r="AK326" s="62"/>
      <c r="AL326" s="62"/>
      <c r="AM326" s="62"/>
      <c r="AN326" s="62"/>
      <c r="AO326" s="62"/>
      <c r="AP326" s="62"/>
      <c r="AQ326" s="62"/>
      <c r="AR326" s="62"/>
      <c r="AS326" s="62"/>
      <c r="AT326" s="62"/>
      <c r="AU326" s="62"/>
      <c r="AV326" s="62"/>
      <c r="AW326" s="62"/>
      <c r="AX326" s="62"/>
    </row>
    <row r="327" spans="1:50" ht="14.25" customHeight="1" x14ac:dyDescent="0.3">
      <c r="A327" s="58"/>
      <c r="B327" s="58"/>
      <c r="C327" s="58"/>
      <c r="D327" s="58"/>
      <c r="E327" s="58"/>
      <c r="F327" s="58"/>
      <c r="G327" s="59"/>
      <c r="H327" s="60"/>
      <c r="I327" s="60"/>
      <c r="J327" s="59"/>
      <c r="K327" s="61"/>
      <c r="M327" s="62"/>
      <c r="N327" s="62"/>
      <c r="O327" s="62"/>
      <c r="P327" s="62"/>
      <c r="Q327" s="62"/>
      <c r="R327" s="62"/>
      <c r="S327" s="62"/>
      <c r="T327" s="62"/>
      <c r="U327" s="62"/>
      <c r="V327" s="62"/>
      <c r="W327" s="62"/>
      <c r="X327" s="62"/>
      <c r="Y327" s="62"/>
      <c r="Z327" s="62"/>
      <c r="AA327" s="62"/>
      <c r="AB327" s="62"/>
      <c r="AC327" s="62"/>
      <c r="AD327" s="62"/>
      <c r="AE327" s="62"/>
      <c r="AF327" s="62"/>
      <c r="AG327" s="62"/>
      <c r="AH327" s="62"/>
      <c r="AI327" s="62"/>
      <c r="AJ327" s="62"/>
      <c r="AK327" s="62"/>
      <c r="AL327" s="62"/>
      <c r="AM327" s="62"/>
      <c r="AN327" s="62"/>
      <c r="AO327" s="62"/>
      <c r="AP327" s="62"/>
      <c r="AQ327" s="62"/>
      <c r="AR327" s="62"/>
      <c r="AS327" s="62"/>
      <c r="AT327" s="62"/>
      <c r="AU327" s="62"/>
      <c r="AV327" s="62"/>
      <c r="AW327" s="62"/>
      <c r="AX327" s="62"/>
    </row>
    <row r="328" spans="1:50" ht="14.25" customHeight="1" x14ac:dyDescent="0.3">
      <c r="A328" s="58"/>
      <c r="B328" s="58"/>
      <c r="C328" s="58"/>
      <c r="D328" s="58"/>
      <c r="E328" s="58"/>
      <c r="F328" s="58"/>
      <c r="G328" s="59"/>
      <c r="H328" s="60"/>
      <c r="I328" s="60"/>
      <c r="J328" s="59"/>
      <c r="K328" s="61"/>
      <c r="M328" s="62"/>
      <c r="N328" s="62"/>
      <c r="O328" s="62"/>
      <c r="P328" s="62"/>
      <c r="Q328" s="62"/>
      <c r="R328" s="62"/>
      <c r="S328" s="62"/>
      <c r="T328" s="62"/>
      <c r="U328" s="62"/>
      <c r="V328" s="62"/>
      <c r="W328" s="62"/>
      <c r="X328" s="62"/>
      <c r="Y328" s="62"/>
      <c r="Z328" s="62"/>
      <c r="AA328" s="62"/>
      <c r="AB328" s="62"/>
      <c r="AC328" s="62"/>
      <c r="AD328" s="62"/>
      <c r="AE328" s="62"/>
      <c r="AF328" s="62"/>
      <c r="AG328" s="62"/>
      <c r="AH328" s="62"/>
      <c r="AI328" s="62"/>
      <c r="AJ328" s="62"/>
      <c r="AK328" s="62"/>
      <c r="AL328" s="62"/>
      <c r="AM328" s="62"/>
      <c r="AN328" s="62"/>
      <c r="AO328" s="62"/>
      <c r="AP328" s="62"/>
      <c r="AQ328" s="62"/>
      <c r="AR328" s="62"/>
      <c r="AS328" s="62"/>
      <c r="AT328" s="62"/>
      <c r="AU328" s="62"/>
      <c r="AV328" s="62"/>
      <c r="AW328" s="62"/>
      <c r="AX328" s="62"/>
    </row>
    <row r="329" spans="1:50" ht="14.25" customHeight="1" x14ac:dyDescent="0.3">
      <c r="A329" s="58"/>
      <c r="B329" s="58"/>
      <c r="C329" s="58"/>
      <c r="D329" s="58"/>
      <c r="E329" s="58"/>
      <c r="F329" s="58"/>
      <c r="G329" s="59"/>
      <c r="H329" s="60"/>
      <c r="I329" s="60"/>
      <c r="J329" s="59"/>
      <c r="K329" s="61"/>
      <c r="M329" s="62"/>
      <c r="N329" s="62"/>
      <c r="O329" s="62"/>
      <c r="P329" s="62"/>
      <c r="Q329" s="62"/>
      <c r="R329" s="62"/>
      <c r="S329" s="62"/>
      <c r="T329" s="62"/>
      <c r="U329" s="62"/>
      <c r="V329" s="62"/>
      <c r="W329" s="62"/>
      <c r="X329" s="62"/>
      <c r="Y329" s="62"/>
      <c r="Z329" s="62"/>
      <c r="AA329" s="62"/>
      <c r="AB329" s="62"/>
      <c r="AC329" s="62"/>
      <c r="AD329" s="62"/>
      <c r="AE329" s="62"/>
      <c r="AF329" s="62"/>
      <c r="AG329" s="62"/>
      <c r="AH329" s="62"/>
      <c r="AI329" s="62"/>
      <c r="AJ329" s="62"/>
      <c r="AK329" s="62"/>
      <c r="AL329" s="62"/>
      <c r="AM329" s="62"/>
      <c r="AN329" s="62"/>
      <c r="AO329" s="62"/>
      <c r="AP329" s="62"/>
      <c r="AQ329" s="62"/>
      <c r="AR329" s="62"/>
      <c r="AS329" s="62"/>
      <c r="AT329" s="62"/>
      <c r="AU329" s="62"/>
      <c r="AV329" s="62"/>
      <c r="AW329" s="62"/>
      <c r="AX329" s="62"/>
    </row>
    <row r="330" spans="1:50" ht="14.25" customHeight="1" x14ac:dyDescent="0.3">
      <c r="A330" s="58"/>
      <c r="B330" s="58"/>
      <c r="C330" s="58"/>
      <c r="D330" s="58"/>
      <c r="E330" s="58"/>
      <c r="F330" s="58"/>
      <c r="G330" s="59"/>
      <c r="H330" s="60"/>
      <c r="I330" s="60"/>
      <c r="J330" s="59"/>
      <c r="K330" s="61"/>
      <c r="M330" s="62"/>
      <c r="N330" s="62"/>
      <c r="O330" s="62"/>
      <c r="P330" s="62"/>
      <c r="Q330" s="62"/>
      <c r="R330" s="62"/>
      <c r="S330" s="62"/>
      <c r="T330" s="62"/>
      <c r="U330" s="62"/>
      <c r="V330" s="62"/>
      <c r="W330" s="62"/>
      <c r="X330" s="62"/>
      <c r="Y330" s="62"/>
      <c r="Z330" s="62"/>
      <c r="AA330" s="62"/>
      <c r="AB330" s="62"/>
      <c r="AC330" s="62"/>
      <c r="AD330" s="62"/>
      <c r="AE330" s="62"/>
      <c r="AF330" s="62"/>
      <c r="AG330" s="62"/>
      <c r="AH330" s="62"/>
      <c r="AI330" s="62"/>
      <c r="AJ330" s="62"/>
      <c r="AK330" s="62"/>
      <c r="AL330" s="62"/>
      <c r="AM330" s="62"/>
      <c r="AN330" s="62"/>
      <c r="AO330" s="62"/>
      <c r="AP330" s="62"/>
      <c r="AQ330" s="62"/>
      <c r="AR330" s="62"/>
      <c r="AS330" s="62"/>
      <c r="AT330" s="62"/>
      <c r="AU330" s="62"/>
      <c r="AV330" s="62"/>
      <c r="AW330" s="62"/>
      <c r="AX330" s="62"/>
    </row>
    <row r="331" spans="1:50" ht="14.25" customHeight="1" x14ac:dyDescent="0.3">
      <c r="A331" s="58"/>
      <c r="B331" s="58"/>
      <c r="C331" s="58"/>
      <c r="D331" s="58"/>
      <c r="E331" s="58"/>
      <c r="F331" s="58"/>
      <c r="G331" s="59"/>
      <c r="H331" s="60"/>
      <c r="I331" s="60"/>
      <c r="J331" s="59"/>
      <c r="K331" s="61"/>
      <c r="M331" s="62"/>
      <c r="N331" s="62"/>
      <c r="O331" s="62"/>
      <c r="P331" s="62"/>
      <c r="Q331" s="62"/>
      <c r="R331" s="62"/>
      <c r="S331" s="62"/>
      <c r="T331" s="62"/>
      <c r="U331" s="62"/>
      <c r="V331" s="62"/>
      <c r="W331" s="62"/>
      <c r="X331" s="62"/>
      <c r="Y331" s="62"/>
      <c r="Z331" s="62"/>
      <c r="AA331" s="62"/>
      <c r="AB331" s="62"/>
      <c r="AC331" s="62"/>
      <c r="AD331" s="62"/>
      <c r="AE331" s="62"/>
      <c r="AF331" s="62"/>
      <c r="AG331" s="62"/>
      <c r="AH331" s="62"/>
      <c r="AI331" s="62"/>
      <c r="AJ331" s="62"/>
      <c r="AK331" s="62"/>
      <c r="AL331" s="62"/>
      <c r="AM331" s="62"/>
      <c r="AN331" s="62"/>
      <c r="AO331" s="62"/>
      <c r="AP331" s="62"/>
      <c r="AQ331" s="62"/>
      <c r="AR331" s="62"/>
      <c r="AS331" s="62"/>
      <c r="AT331" s="62"/>
      <c r="AU331" s="62"/>
      <c r="AV331" s="62"/>
      <c r="AW331" s="62"/>
      <c r="AX331" s="62"/>
    </row>
    <row r="332" spans="1:50" ht="14.25" customHeight="1" x14ac:dyDescent="0.3">
      <c r="A332" s="58"/>
      <c r="B332" s="58"/>
      <c r="C332" s="58"/>
      <c r="D332" s="58"/>
      <c r="E332" s="58"/>
      <c r="F332" s="58"/>
      <c r="G332" s="59"/>
      <c r="H332" s="60"/>
      <c r="I332" s="60"/>
      <c r="J332" s="59"/>
      <c r="K332" s="61"/>
      <c r="M332" s="62"/>
      <c r="N332" s="62"/>
      <c r="O332" s="62"/>
      <c r="P332" s="62"/>
      <c r="Q332" s="62"/>
      <c r="R332" s="62"/>
      <c r="S332" s="62"/>
      <c r="T332" s="62"/>
      <c r="U332" s="62"/>
      <c r="V332" s="62"/>
      <c r="W332" s="62"/>
      <c r="X332" s="62"/>
      <c r="Y332" s="62"/>
      <c r="Z332" s="62"/>
      <c r="AA332" s="62"/>
      <c r="AB332" s="62"/>
      <c r="AC332" s="62"/>
      <c r="AD332" s="62"/>
      <c r="AE332" s="62"/>
      <c r="AF332" s="62"/>
      <c r="AG332" s="62"/>
      <c r="AH332" s="62"/>
      <c r="AI332" s="62"/>
      <c r="AJ332" s="62"/>
      <c r="AK332" s="62"/>
      <c r="AL332" s="62"/>
      <c r="AM332" s="62"/>
      <c r="AN332" s="62"/>
      <c r="AO332" s="62"/>
      <c r="AP332" s="62"/>
      <c r="AQ332" s="62"/>
      <c r="AR332" s="62"/>
      <c r="AS332" s="62"/>
      <c r="AT332" s="62"/>
      <c r="AU332" s="62"/>
      <c r="AV332" s="62"/>
      <c r="AW332" s="62"/>
      <c r="AX332" s="62"/>
    </row>
    <row r="333" spans="1:50" ht="14.25" customHeight="1" x14ac:dyDescent="0.3">
      <c r="A333" s="58"/>
      <c r="B333" s="58"/>
      <c r="C333" s="58"/>
      <c r="D333" s="58"/>
      <c r="E333" s="58"/>
      <c r="F333" s="58"/>
      <c r="G333" s="59"/>
      <c r="H333" s="60"/>
      <c r="I333" s="60"/>
      <c r="J333" s="59"/>
      <c r="K333" s="61"/>
      <c r="M333" s="62"/>
      <c r="N333" s="62"/>
      <c r="O333" s="62"/>
      <c r="P333" s="62"/>
      <c r="Q333" s="62"/>
      <c r="R333" s="62"/>
      <c r="S333" s="62"/>
      <c r="T333" s="62"/>
      <c r="U333" s="62"/>
      <c r="V333" s="62"/>
      <c r="W333" s="62"/>
      <c r="X333" s="62"/>
      <c r="Y333" s="62"/>
      <c r="Z333" s="62"/>
      <c r="AA333" s="62"/>
      <c r="AB333" s="62"/>
      <c r="AC333" s="62"/>
      <c r="AD333" s="62"/>
      <c r="AE333" s="62"/>
      <c r="AF333" s="62"/>
      <c r="AG333" s="62"/>
      <c r="AH333" s="62"/>
      <c r="AI333" s="62"/>
      <c r="AJ333" s="62"/>
      <c r="AK333" s="62"/>
      <c r="AL333" s="62"/>
      <c r="AM333" s="62"/>
      <c r="AN333" s="62"/>
      <c r="AO333" s="62"/>
      <c r="AP333" s="62"/>
      <c r="AQ333" s="62"/>
      <c r="AR333" s="62"/>
      <c r="AS333" s="62"/>
      <c r="AT333" s="62"/>
      <c r="AU333" s="62"/>
      <c r="AV333" s="62"/>
      <c r="AW333" s="62"/>
      <c r="AX333" s="62"/>
    </row>
    <row r="334" spans="1:50" ht="14.25" customHeight="1" x14ac:dyDescent="0.3">
      <c r="A334" s="58"/>
      <c r="B334" s="58"/>
      <c r="C334" s="58"/>
      <c r="D334" s="58"/>
      <c r="E334" s="58"/>
      <c r="F334" s="58"/>
      <c r="G334" s="59"/>
      <c r="H334" s="60"/>
      <c r="I334" s="60"/>
      <c r="J334" s="59"/>
      <c r="K334" s="61"/>
      <c r="M334" s="62"/>
      <c r="N334" s="62"/>
      <c r="O334" s="62"/>
      <c r="P334" s="62"/>
      <c r="Q334" s="62"/>
      <c r="R334" s="62"/>
      <c r="S334" s="62"/>
      <c r="T334" s="62"/>
      <c r="U334" s="62"/>
      <c r="V334" s="62"/>
      <c r="W334" s="62"/>
      <c r="X334" s="62"/>
      <c r="Y334" s="62"/>
      <c r="Z334" s="62"/>
      <c r="AA334" s="62"/>
      <c r="AB334" s="62"/>
      <c r="AC334" s="62"/>
      <c r="AD334" s="62"/>
      <c r="AE334" s="62"/>
      <c r="AF334" s="62"/>
      <c r="AG334" s="62"/>
      <c r="AH334" s="62"/>
      <c r="AI334" s="62"/>
      <c r="AJ334" s="62"/>
      <c r="AK334" s="62"/>
      <c r="AL334" s="62"/>
      <c r="AM334" s="62"/>
      <c r="AN334" s="62"/>
      <c r="AO334" s="62"/>
      <c r="AP334" s="62"/>
      <c r="AQ334" s="62"/>
      <c r="AR334" s="62"/>
      <c r="AS334" s="62"/>
      <c r="AT334" s="62"/>
      <c r="AU334" s="62"/>
      <c r="AV334" s="62"/>
      <c r="AW334" s="62"/>
      <c r="AX334" s="62"/>
    </row>
    <row r="335" spans="1:50" ht="14.25" customHeight="1" x14ac:dyDescent="0.3">
      <c r="A335" s="58"/>
      <c r="B335" s="58"/>
      <c r="C335" s="58"/>
      <c r="D335" s="58"/>
      <c r="E335" s="58"/>
      <c r="F335" s="58"/>
      <c r="G335" s="59"/>
      <c r="H335" s="60"/>
      <c r="I335" s="60"/>
      <c r="J335" s="59"/>
      <c r="K335" s="61"/>
      <c r="M335" s="62"/>
      <c r="N335" s="62"/>
      <c r="O335" s="62"/>
      <c r="P335" s="62"/>
      <c r="Q335" s="62"/>
      <c r="R335" s="62"/>
      <c r="S335" s="62"/>
      <c r="T335" s="62"/>
      <c r="U335" s="62"/>
      <c r="V335" s="62"/>
      <c r="W335" s="62"/>
      <c r="X335" s="62"/>
      <c r="Y335" s="62"/>
      <c r="Z335" s="62"/>
      <c r="AA335" s="62"/>
      <c r="AB335" s="62"/>
      <c r="AC335" s="62"/>
      <c r="AD335" s="62"/>
      <c r="AE335" s="62"/>
      <c r="AF335" s="62"/>
      <c r="AG335" s="62"/>
      <c r="AH335" s="62"/>
      <c r="AI335" s="62"/>
      <c r="AJ335" s="62"/>
      <c r="AK335" s="62"/>
      <c r="AL335" s="62"/>
      <c r="AM335" s="62"/>
      <c r="AN335" s="62"/>
      <c r="AO335" s="62"/>
      <c r="AP335" s="62"/>
      <c r="AQ335" s="62"/>
      <c r="AR335" s="62"/>
      <c r="AS335" s="62"/>
      <c r="AT335" s="62"/>
      <c r="AU335" s="62"/>
      <c r="AV335" s="62"/>
      <c r="AW335" s="62"/>
      <c r="AX335" s="62"/>
    </row>
    <row r="336" spans="1:50" ht="14.25" customHeight="1" x14ac:dyDescent="0.3">
      <c r="A336" s="58"/>
      <c r="B336" s="58"/>
      <c r="C336" s="58"/>
      <c r="D336" s="58"/>
      <c r="E336" s="58"/>
      <c r="F336" s="58"/>
      <c r="G336" s="59"/>
      <c r="H336" s="60"/>
      <c r="I336" s="60"/>
      <c r="J336" s="59"/>
      <c r="K336" s="61"/>
      <c r="M336" s="62"/>
      <c r="N336" s="62"/>
      <c r="O336" s="62"/>
      <c r="P336" s="62"/>
      <c r="Q336" s="62"/>
      <c r="R336" s="62"/>
      <c r="S336" s="62"/>
      <c r="T336" s="62"/>
      <c r="U336" s="62"/>
      <c r="V336" s="62"/>
      <c r="W336" s="62"/>
      <c r="X336" s="62"/>
      <c r="Y336" s="62"/>
      <c r="Z336" s="62"/>
      <c r="AA336" s="62"/>
      <c r="AB336" s="62"/>
      <c r="AC336" s="62"/>
      <c r="AD336" s="62"/>
      <c r="AE336" s="62"/>
      <c r="AF336" s="62"/>
      <c r="AG336" s="62"/>
      <c r="AH336" s="62"/>
      <c r="AI336" s="62"/>
      <c r="AJ336" s="62"/>
      <c r="AK336" s="62"/>
      <c r="AL336" s="62"/>
      <c r="AM336" s="62"/>
      <c r="AN336" s="62"/>
      <c r="AO336" s="62"/>
      <c r="AP336" s="62"/>
      <c r="AQ336" s="62"/>
      <c r="AR336" s="62"/>
      <c r="AS336" s="62"/>
      <c r="AT336" s="62"/>
      <c r="AU336" s="62"/>
      <c r="AV336" s="62"/>
      <c r="AW336" s="62"/>
      <c r="AX336" s="62"/>
    </row>
    <row r="337" spans="1:50" ht="14.25" customHeight="1" x14ac:dyDescent="0.3">
      <c r="A337" s="58"/>
      <c r="B337" s="58"/>
      <c r="C337" s="58"/>
      <c r="D337" s="58"/>
      <c r="E337" s="58"/>
      <c r="F337" s="58"/>
      <c r="G337" s="59"/>
      <c r="H337" s="60"/>
      <c r="I337" s="60"/>
      <c r="J337" s="59"/>
      <c r="K337" s="61"/>
      <c r="M337" s="62"/>
      <c r="N337" s="62"/>
      <c r="O337" s="62"/>
      <c r="P337" s="62"/>
      <c r="Q337" s="62"/>
      <c r="R337" s="62"/>
      <c r="S337" s="62"/>
      <c r="T337" s="62"/>
      <c r="U337" s="62"/>
      <c r="V337" s="62"/>
      <c r="W337" s="62"/>
      <c r="X337" s="62"/>
      <c r="Y337" s="62"/>
      <c r="Z337" s="62"/>
      <c r="AA337" s="62"/>
      <c r="AB337" s="62"/>
      <c r="AC337" s="62"/>
      <c r="AD337" s="62"/>
      <c r="AE337" s="62"/>
      <c r="AF337" s="62"/>
      <c r="AG337" s="62"/>
      <c r="AH337" s="62"/>
      <c r="AI337" s="62"/>
      <c r="AJ337" s="62"/>
      <c r="AK337" s="62"/>
      <c r="AL337" s="62"/>
      <c r="AM337" s="62"/>
      <c r="AN337" s="62"/>
      <c r="AO337" s="62"/>
      <c r="AP337" s="62"/>
      <c r="AQ337" s="62"/>
      <c r="AR337" s="62"/>
      <c r="AS337" s="62"/>
      <c r="AT337" s="62"/>
      <c r="AU337" s="62"/>
      <c r="AV337" s="62"/>
      <c r="AW337" s="62"/>
      <c r="AX337" s="62"/>
    </row>
    <row r="338" spans="1:50" ht="14.25" customHeight="1" x14ac:dyDescent="0.3">
      <c r="A338" s="58"/>
      <c r="B338" s="58"/>
      <c r="C338" s="58"/>
      <c r="D338" s="58"/>
      <c r="E338" s="58"/>
      <c r="F338" s="58"/>
      <c r="G338" s="59"/>
      <c r="H338" s="60"/>
      <c r="I338" s="60"/>
      <c r="J338" s="59"/>
      <c r="K338" s="61"/>
      <c r="M338" s="62"/>
      <c r="N338" s="62"/>
      <c r="O338" s="62"/>
      <c r="P338" s="62"/>
      <c r="Q338" s="62"/>
      <c r="R338" s="62"/>
      <c r="S338" s="62"/>
      <c r="T338" s="62"/>
      <c r="U338" s="62"/>
      <c r="V338" s="62"/>
      <c r="W338" s="62"/>
      <c r="X338" s="62"/>
      <c r="Y338" s="62"/>
      <c r="Z338" s="62"/>
      <c r="AA338" s="62"/>
      <c r="AB338" s="62"/>
      <c r="AC338" s="62"/>
      <c r="AD338" s="62"/>
      <c r="AE338" s="62"/>
      <c r="AF338" s="62"/>
      <c r="AG338" s="62"/>
      <c r="AH338" s="62"/>
      <c r="AI338" s="62"/>
      <c r="AJ338" s="62"/>
      <c r="AK338" s="62"/>
      <c r="AL338" s="62"/>
      <c r="AM338" s="62"/>
      <c r="AN338" s="62"/>
      <c r="AO338" s="62"/>
      <c r="AP338" s="62"/>
      <c r="AQ338" s="62"/>
      <c r="AR338" s="62"/>
      <c r="AS338" s="62"/>
      <c r="AT338" s="62"/>
      <c r="AU338" s="62"/>
      <c r="AV338" s="62"/>
      <c r="AW338" s="62"/>
      <c r="AX338" s="62"/>
    </row>
    <row r="339" spans="1:50" ht="14.25" customHeight="1" x14ac:dyDescent="0.3">
      <c r="A339" s="58"/>
      <c r="B339" s="58"/>
      <c r="C339" s="58"/>
      <c r="D339" s="58"/>
      <c r="E339" s="58"/>
      <c r="F339" s="58"/>
      <c r="G339" s="59"/>
      <c r="H339" s="60"/>
      <c r="I339" s="60"/>
      <c r="J339" s="59"/>
      <c r="K339" s="61"/>
      <c r="M339" s="62"/>
      <c r="N339" s="62"/>
      <c r="O339" s="62"/>
      <c r="P339" s="62"/>
      <c r="Q339" s="62"/>
      <c r="R339" s="62"/>
      <c r="S339" s="62"/>
      <c r="T339" s="62"/>
      <c r="U339" s="62"/>
      <c r="V339" s="62"/>
      <c r="W339" s="62"/>
      <c r="X339" s="62"/>
      <c r="Y339" s="62"/>
      <c r="Z339" s="62"/>
      <c r="AA339" s="62"/>
      <c r="AB339" s="62"/>
      <c r="AC339" s="62"/>
      <c r="AD339" s="62"/>
      <c r="AE339" s="62"/>
      <c r="AF339" s="62"/>
      <c r="AG339" s="62"/>
      <c r="AH339" s="62"/>
      <c r="AI339" s="62"/>
      <c r="AJ339" s="62"/>
      <c r="AK339" s="62"/>
      <c r="AL339" s="62"/>
      <c r="AM339" s="62"/>
      <c r="AN339" s="62"/>
      <c r="AO339" s="62"/>
      <c r="AP339" s="62"/>
      <c r="AQ339" s="62"/>
      <c r="AR339" s="62"/>
      <c r="AS339" s="62"/>
      <c r="AT339" s="62"/>
      <c r="AU339" s="62"/>
      <c r="AV339" s="62"/>
      <c r="AW339" s="62"/>
      <c r="AX339" s="62"/>
    </row>
    <row r="340" spans="1:50" ht="14.25" customHeight="1" x14ac:dyDescent="0.3">
      <c r="A340" s="58"/>
      <c r="B340" s="58"/>
      <c r="C340" s="58"/>
      <c r="D340" s="58"/>
      <c r="E340" s="58"/>
      <c r="F340" s="58"/>
      <c r="G340" s="59"/>
      <c r="H340" s="60"/>
      <c r="I340" s="60"/>
      <c r="J340" s="59"/>
      <c r="K340" s="61"/>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c r="AJ340" s="62"/>
      <c r="AK340" s="62"/>
      <c r="AL340" s="62"/>
      <c r="AM340" s="62"/>
      <c r="AN340" s="62"/>
      <c r="AO340" s="62"/>
      <c r="AP340" s="62"/>
      <c r="AQ340" s="62"/>
      <c r="AR340" s="62"/>
      <c r="AS340" s="62"/>
      <c r="AT340" s="62"/>
      <c r="AU340" s="62"/>
      <c r="AV340" s="62"/>
      <c r="AW340" s="62"/>
      <c r="AX340" s="62"/>
    </row>
    <row r="341" spans="1:50" ht="14.25" customHeight="1" x14ac:dyDescent="0.3">
      <c r="A341" s="58"/>
      <c r="B341" s="58"/>
      <c r="C341" s="58"/>
      <c r="D341" s="58"/>
      <c r="E341" s="58"/>
      <c r="F341" s="58"/>
      <c r="G341" s="59"/>
      <c r="H341" s="60"/>
      <c r="I341" s="60"/>
      <c r="J341" s="59"/>
      <c r="K341" s="61"/>
      <c r="M341" s="62"/>
      <c r="N341" s="62"/>
      <c r="O341" s="62"/>
      <c r="P341" s="62"/>
      <c r="Q341" s="62"/>
      <c r="R341" s="62"/>
      <c r="S341" s="62"/>
      <c r="T341" s="62"/>
      <c r="U341" s="62"/>
      <c r="V341" s="62"/>
      <c r="W341" s="62"/>
      <c r="X341" s="62"/>
      <c r="Y341" s="62"/>
      <c r="Z341" s="62"/>
      <c r="AA341" s="62"/>
      <c r="AB341" s="62"/>
      <c r="AC341" s="62"/>
      <c r="AD341" s="62"/>
      <c r="AE341" s="62"/>
      <c r="AF341" s="62"/>
      <c r="AG341" s="62"/>
      <c r="AH341" s="62"/>
      <c r="AI341" s="62"/>
      <c r="AJ341" s="62"/>
      <c r="AK341" s="62"/>
      <c r="AL341" s="62"/>
      <c r="AM341" s="62"/>
      <c r="AN341" s="62"/>
      <c r="AO341" s="62"/>
      <c r="AP341" s="62"/>
      <c r="AQ341" s="62"/>
      <c r="AR341" s="62"/>
      <c r="AS341" s="62"/>
      <c r="AT341" s="62"/>
      <c r="AU341" s="62"/>
      <c r="AV341" s="62"/>
      <c r="AW341" s="62"/>
      <c r="AX341" s="62"/>
    </row>
    <row r="342" spans="1:50" ht="14.25" customHeight="1" x14ac:dyDescent="0.3">
      <c r="A342" s="58"/>
      <c r="B342" s="58"/>
      <c r="C342" s="58"/>
      <c r="D342" s="58"/>
      <c r="E342" s="58"/>
      <c r="F342" s="58"/>
      <c r="G342" s="59"/>
      <c r="H342" s="60"/>
      <c r="I342" s="60"/>
      <c r="J342" s="59"/>
      <c r="K342" s="61"/>
      <c r="M342" s="62"/>
      <c r="N342" s="62"/>
      <c r="O342" s="62"/>
      <c r="P342" s="62"/>
      <c r="Q342" s="62"/>
      <c r="R342" s="62"/>
      <c r="S342" s="62"/>
      <c r="T342" s="62"/>
      <c r="U342" s="62"/>
      <c r="V342" s="62"/>
      <c r="W342" s="62"/>
      <c r="X342" s="62"/>
      <c r="Y342" s="62"/>
      <c r="Z342" s="62"/>
      <c r="AA342" s="62"/>
      <c r="AB342" s="62"/>
      <c r="AC342" s="62"/>
      <c r="AD342" s="62"/>
      <c r="AE342" s="62"/>
      <c r="AF342" s="62"/>
      <c r="AG342" s="62"/>
      <c r="AH342" s="62"/>
      <c r="AI342" s="62"/>
      <c r="AJ342" s="62"/>
      <c r="AK342" s="62"/>
      <c r="AL342" s="62"/>
      <c r="AM342" s="62"/>
      <c r="AN342" s="62"/>
      <c r="AO342" s="62"/>
      <c r="AP342" s="62"/>
      <c r="AQ342" s="62"/>
      <c r="AR342" s="62"/>
      <c r="AS342" s="62"/>
      <c r="AT342" s="62"/>
      <c r="AU342" s="62"/>
      <c r="AV342" s="62"/>
      <c r="AW342" s="62"/>
      <c r="AX342" s="62"/>
    </row>
    <row r="343" spans="1:50" ht="14.25" customHeight="1" x14ac:dyDescent="0.3">
      <c r="A343" s="58"/>
      <c r="B343" s="58"/>
      <c r="C343" s="58"/>
      <c r="D343" s="58"/>
      <c r="E343" s="58"/>
      <c r="F343" s="58"/>
      <c r="G343" s="59"/>
      <c r="H343" s="60"/>
      <c r="I343" s="60"/>
      <c r="J343" s="59"/>
      <c r="K343" s="61"/>
      <c r="M343" s="62"/>
      <c r="N343" s="62"/>
      <c r="O343" s="62"/>
      <c r="P343" s="62"/>
      <c r="Q343" s="62"/>
      <c r="R343" s="62"/>
      <c r="S343" s="62"/>
      <c r="T343" s="62"/>
      <c r="U343" s="62"/>
      <c r="V343" s="62"/>
      <c r="W343" s="62"/>
      <c r="X343" s="62"/>
      <c r="Y343" s="62"/>
      <c r="Z343" s="62"/>
      <c r="AA343" s="62"/>
      <c r="AB343" s="62"/>
      <c r="AC343" s="62"/>
      <c r="AD343" s="62"/>
      <c r="AE343" s="62"/>
      <c r="AF343" s="62"/>
      <c r="AG343" s="62"/>
      <c r="AH343" s="62"/>
      <c r="AI343" s="62"/>
      <c r="AJ343" s="62"/>
      <c r="AK343" s="62"/>
      <c r="AL343" s="62"/>
      <c r="AM343" s="62"/>
      <c r="AN343" s="62"/>
      <c r="AO343" s="62"/>
      <c r="AP343" s="62"/>
      <c r="AQ343" s="62"/>
      <c r="AR343" s="62"/>
      <c r="AS343" s="62"/>
      <c r="AT343" s="62"/>
      <c r="AU343" s="62"/>
      <c r="AV343" s="62"/>
      <c r="AW343" s="62"/>
      <c r="AX343" s="62"/>
    </row>
    <row r="344" spans="1:50" ht="14.25" customHeight="1" x14ac:dyDescent="0.3">
      <c r="A344" s="58"/>
      <c r="B344" s="58"/>
      <c r="C344" s="58"/>
      <c r="D344" s="58"/>
      <c r="E344" s="58"/>
      <c r="F344" s="58"/>
      <c r="G344" s="59"/>
      <c r="H344" s="60"/>
      <c r="I344" s="60"/>
      <c r="J344" s="59"/>
      <c r="K344" s="61"/>
      <c r="M344" s="62"/>
      <c r="N344" s="62"/>
      <c r="O344" s="62"/>
      <c r="P344" s="62"/>
      <c r="Q344" s="62"/>
      <c r="R344" s="62"/>
      <c r="S344" s="62"/>
      <c r="T344" s="62"/>
      <c r="U344" s="62"/>
      <c r="V344" s="62"/>
      <c r="W344" s="62"/>
      <c r="X344" s="62"/>
      <c r="Y344" s="62"/>
      <c r="Z344" s="62"/>
      <c r="AA344" s="62"/>
      <c r="AB344" s="62"/>
      <c r="AC344" s="62"/>
      <c r="AD344" s="62"/>
      <c r="AE344" s="62"/>
      <c r="AF344" s="62"/>
      <c r="AG344" s="62"/>
      <c r="AH344" s="62"/>
      <c r="AI344" s="62"/>
      <c r="AJ344" s="62"/>
      <c r="AK344" s="62"/>
      <c r="AL344" s="62"/>
      <c r="AM344" s="62"/>
      <c r="AN344" s="62"/>
      <c r="AO344" s="62"/>
      <c r="AP344" s="62"/>
      <c r="AQ344" s="62"/>
      <c r="AR344" s="62"/>
      <c r="AS344" s="62"/>
      <c r="AT344" s="62"/>
      <c r="AU344" s="62"/>
      <c r="AV344" s="62"/>
      <c r="AW344" s="62"/>
      <c r="AX344" s="62"/>
    </row>
    <row r="345" spans="1:50" ht="14.25" customHeight="1" x14ac:dyDescent="0.3">
      <c r="A345" s="58"/>
      <c r="B345" s="58"/>
      <c r="C345" s="58"/>
      <c r="D345" s="58"/>
      <c r="E345" s="58"/>
      <c r="F345" s="58"/>
      <c r="G345" s="59"/>
      <c r="H345" s="60"/>
      <c r="I345" s="60"/>
      <c r="J345" s="59"/>
      <c r="K345" s="61"/>
      <c r="M345" s="62"/>
      <c r="N345" s="62"/>
      <c r="O345" s="62"/>
      <c r="P345" s="62"/>
      <c r="Q345" s="62"/>
      <c r="R345" s="62"/>
      <c r="S345" s="62"/>
      <c r="T345" s="62"/>
      <c r="U345" s="62"/>
      <c r="V345" s="62"/>
      <c r="W345" s="62"/>
      <c r="X345" s="62"/>
      <c r="Y345" s="62"/>
      <c r="Z345" s="62"/>
      <c r="AA345" s="62"/>
      <c r="AB345" s="62"/>
      <c r="AC345" s="62"/>
      <c r="AD345" s="62"/>
      <c r="AE345" s="62"/>
      <c r="AF345" s="62"/>
      <c r="AG345" s="62"/>
      <c r="AH345" s="62"/>
      <c r="AI345" s="62"/>
      <c r="AJ345" s="62"/>
      <c r="AK345" s="62"/>
      <c r="AL345" s="62"/>
      <c r="AM345" s="62"/>
      <c r="AN345" s="62"/>
      <c r="AO345" s="62"/>
      <c r="AP345" s="62"/>
      <c r="AQ345" s="62"/>
      <c r="AR345" s="62"/>
      <c r="AS345" s="62"/>
      <c r="AT345" s="62"/>
      <c r="AU345" s="62"/>
      <c r="AV345" s="62"/>
      <c r="AW345" s="62"/>
      <c r="AX345" s="62"/>
    </row>
    <row r="346" spans="1:50" ht="14.25" customHeight="1" x14ac:dyDescent="0.3">
      <c r="A346" s="58"/>
      <c r="B346" s="58"/>
      <c r="C346" s="58"/>
      <c r="D346" s="58"/>
      <c r="E346" s="58"/>
      <c r="F346" s="58"/>
      <c r="G346" s="59"/>
      <c r="H346" s="60"/>
      <c r="I346" s="60"/>
      <c r="J346" s="59"/>
      <c r="K346" s="61"/>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c r="AM346" s="62"/>
      <c r="AN346" s="62"/>
      <c r="AO346" s="62"/>
      <c r="AP346" s="62"/>
      <c r="AQ346" s="62"/>
      <c r="AR346" s="62"/>
      <c r="AS346" s="62"/>
      <c r="AT346" s="62"/>
      <c r="AU346" s="62"/>
      <c r="AV346" s="62"/>
      <c r="AW346" s="62"/>
      <c r="AX346" s="62"/>
    </row>
    <row r="347" spans="1:50" ht="14.25" customHeight="1" x14ac:dyDescent="0.3">
      <c r="A347" s="58"/>
      <c r="B347" s="58"/>
      <c r="C347" s="58"/>
      <c r="D347" s="58"/>
      <c r="E347" s="58"/>
      <c r="F347" s="58"/>
      <c r="G347" s="59"/>
      <c r="H347" s="60"/>
      <c r="I347" s="60"/>
      <c r="J347" s="59"/>
      <c r="K347" s="61"/>
      <c r="M347" s="62"/>
      <c r="N347" s="62"/>
      <c r="O347" s="62"/>
      <c r="P347" s="62"/>
      <c r="Q347" s="62"/>
      <c r="R347" s="62"/>
      <c r="S347" s="62"/>
      <c r="T347" s="62"/>
      <c r="U347" s="62"/>
      <c r="V347" s="62"/>
      <c r="W347" s="62"/>
      <c r="X347" s="62"/>
      <c r="Y347" s="62"/>
      <c r="Z347" s="62"/>
      <c r="AA347" s="62"/>
      <c r="AB347" s="62"/>
      <c r="AC347" s="62"/>
      <c r="AD347" s="62"/>
      <c r="AE347" s="62"/>
      <c r="AF347" s="62"/>
      <c r="AG347" s="62"/>
      <c r="AH347" s="62"/>
      <c r="AI347" s="62"/>
      <c r="AJ347" s="62"/>
      <c r="AK347" s="62"/>
      <c r="AL347" s="62"/>
      <c r="AM347" s="62"/>
      <c r="AN347" s="62"/>
      <c r="AO347" s="62"/>
      <c r="AP347" s="62"/>
      <c r="AQ347" s="62"/>
      <c r="AR347" s="62"/>
      <c r="AS347" s="62"/>
      <c r="AT347" s="62"/>
      <c r="AU347" s="62"/>
      <c r="AV347" s="62"/>
      <c r="AW347" s="62"/>
      <c r="AX347" s="62"/>
    </row>
    <row r="348" spans="1:50" ht="14.25" customHeight="1" x14ac:dyDescent="0.3">
      <c r="A348" s="58"/>
      <c r="B348" s="58"/>
      <c r="C348" s="58"/>
      <c r="D348" s="58"/>
      <c r="E348" s="58"/>
      <c r="F348" s="58"/>
      <c r="G348" s="59"/>
      <c r="H348" s="60"/>
      <c r="I348" s="60"/>
      <c r="J348" s="59"/>
      <c r="K348" s="61"/>
      <c r="M348" s="62"/>
      <c r="N348" s="62"/>
      <c r="O348" s="62"/>
      <c r="P348" s="62"/>
      <c r="Q348" s="62"/>
      <c r="R348" s="62"/>
      <c r="S348" s="62"/>
      <c r="T348" s="62"/>
      <c r="U348" s="62"/>
      <c r="V348" s="62"/>
      <c r="W348" s="62"/>
      <c r="X348" s="62"/>
      <c r="Y348" s="62"/>
      <c r="Z348" s="62"/>
      <c r="AA348" s="62"/>
      <c r="AB348" s="62"/>
      <c r="AC348" s="62"/>
      <c r="AD348" s="62"/>
      <c r="AE348" s="62"/>
      <c r="AF348" s="62"/>
      <c r="AG348" s="62"/>
      <c r="AH348" s="62"/>
      <c r="AI348" s="62"/>
      <c r="AJ348" s="62"/>
      <c r="AK348" s="62"/>
      <c r="AL348" s="62"/>
      <c r="AM348" s="62"/>
      <c r="AN348" s="62"/>
      <c r="AO348" s="62"/>
      <c r="AP348" s="62"/>
      <c r="AQ348" s="62"/>
      <c r="AR348" s="62"/>
      <c r="AS348" s="62"/>
      <c r="AT348" s="62"/>
      <c r="AU348" s="62"/>
      <c r="AV348" s="62"/>
      <c r="AW348" s="62"/>
      <c r="AX348" s="62"/>
    </row>
    <row r="349" spans="1:50" ht="14.25" customHeight="1" x14ac:dyDescent="0.3">
      <c r="A349" s="58"/>
      <c r="B349" s="58"/>
      <c r="C349" s="58"/>
      <c r="D349" s="58"/>
      <c r="E349" s="58"/>
      <c r="F349" s="58"/>
      <c r="G349" s="59"/>
      <c r="H349" s="60"/>
      <c r="I349" s="60"/>
      <c r="J349" s="59"/>
      <c r="K349" s="61"/>
      <c r="M349" s="62"/>
      <c r="N349" s="62"/>
      <c r="O349" s="62"/>
      <c r="P349" s="62"/>
      <c r="Q349" s="62"/>
      <c r="R349" s="62"/>
      <c r="S349" s="62"/>
      <c r="T349" s="62"/>
      <c r="U349" s="62"/>
      <c r="V349" s="62"/>
      <c r="W349" s="62"/>
      <c r="X349" s="62"/>
      <c r="Y349" s="62"/>
      <c r="Z349" s="62"/>
      <c r="AA349" s="62"/>
      <c r="AB349" s="62"/>
      <c r="AC349" s="62"/>
      <c r="AD349" s="62"/>
      <c r="AE349" s="62"/>
      <c r="AF349" s="62"/>
      <c r="AG349" s="62"/>
      <c r="AH349" s="62"/>
      <c r="AI349" s="62"/>
      <c r="AJ349" s="62"/>
      <c r="AK349" s="62"/>
      <c r="AL349" s="62"/>
      <c r="AM349" s="62"/>
      <c r="AN349" s="62"/>
      <c r="AO349" s="62"/>
      <c r="AP349" s="62"/>
      <c r="AQ349" s="62"/>
      <c r="AR349" s="62"/>
      <c r="AS349" s="62"/>
      <c r="AT349" s="62"/>
      <c r="AU349" s="62"/>
      <c r="AV349" s="62"/>
      <c r="AW349" s="62"/>
      <c r="AX349" s="62"/>
    </row>
    <row r="350" spans="1:50" ht="14.25" customHeight="1" x14ac:dyDescent="0.3">
      <c r="A350" s="58"/>
      <c r="B350" s="58"/>
      <c r="C350" s="58"/>
      <c r="D350" s="58"/>
      <c r="E350" s="58"/>
      <c r="F350" s="58"/>
      <c r="G350" s="59"/>
      <c r="H350" s="60"/>
      <c r="I350" s="60"/>
      <c r="J350" s="59"/>
      <c r="K350" s="61"/>
      <c r="M350" s="62"/>
      <c r="N350" s="62"/>
      <c r="O350" s="62"/>
      <c r="P350" s="62"/>
      <c r="Q350" s="62"/>
      <c r="R350" s="62"/>
      <c r="S350" s="62"/>
      <c r="T350" s="62"/>
      <c r="U350" s="62"/>
      <c r="V350" s="62"/>
      <c r="W350" s="62"/>
      <c r="X350" s="62"/>
      <c r="Y350" s="62"/>
      <c r="Z350" s="62"/>
      <c r="AA350" s="62"/>
      <c r="AB350" s="62"/>
      <c r="AC350" s="62"/>
      <c r="AD350" s="62"/>
      <c r="AE350" s="62"/>
      <c r="AF350" s="62"/>
      <c r="AG350" s="62"/>
      <c r="AH350" s="62"/>
      <c r="AI350" s="62"/>
      <c r="AJ350" s="62"/>
      <c r="AK350" s="62"/>
      <c r="AL350" s="62"/>
      <c r="AM350" s="62"/>
      <c r="AN350" s="62"/>
      <c r="AO350" s="62"/>
      <c r="AP350" s="62"/>
      <c r="AQ350" s="62"/>
      <c r="AR350" s="62"/>
      <c r="AS350" s="62"/>
      <c r="AT350" s="62"/>
      <c r="AU350" s="62"/>
      <c r="AV350" s="62"/>
      <c r="AW350" s="62"/>
      <c r="AX350" s="62"/>
    </row>
    <row r="351" spans="1:50" ht="14.25" customHeight="1" x14ac:dyDescent="0.3">
      <c r="A351" s="58"/>
      <c r="B351" s="58"/>
      <c r="C351" s="58"/>
      <c r="D351" s="58"/>
      <c r="E351" s="58"/>
      <c r="F351" s="58"/>
      <c r="G351" s="59"/>
      <c r="H351" s="60"/>
      <c r="I351" s="60"/>
      <c r="J351" s="59"/>
      <c r="K351" s="61"/>
      <c r="M351" s="62"/>
      <c r="N351" s="62"/>
      <c r="O351" s="62"/>
      <c r="P351" s="62"/>
      <c r="Q351" s="62"/>
      <c r="R351" s="62"/>
      <c r="S351" s="62"/>
      <c r="T351" s="62"/>
      <c r="U351" s="62"/>
      <c r="V351" s="62"/>
      <c r="W351" s="62"/>
      <c r="X351" s="62"/>
      <c r="Y351" s="62"/>
      <c r="Z351" s="62"/>
      <c r="AA351" s="62"/>
      <c r="AB351" s="62"/>
      <c r="AC351" s="62"/>
      <c r="AD351" s="62"/>
      <c r="AE351" s="62"/>
      <c r="AF351" s="62"/>
      <c r="AG351" s="62"/>
      <c r="AH351" s="62"/>
      <c r="AI351" s="62"/>
      <c r="AJ351" s="62"/>
      <c r="AK351" s="62"/>
      <c r="AL351" s="62"/>
      <c r="AM351" s="62"/>
      <c r="AN351" s="62"/>
      <c r="AO351" s="62"/>
      <c r="AP351" s="62"/>
      <c r="AQ351" s="62"/>
      <c r="AR351" s="62"/>
      <c r="AS351" s="62"/>
      <c r="AT351" s="62"/>
      <c r="AU351" s="62"/>
      <c r="AV351" s="62"/>
      <c r="AW351" s="62"/>
      <c r="AX351" s="62"/>
    </row>
    <row r="352" spans="1:50" ht="14.25" customHeight="1" x14ac:dyDescent="0.3">
      <c r="A352" s="58"/>
      <c r="B352" s="58"/>
      <c r="C352" s="58"/>
      <c r="D352" s="58"/>
      <c r="E352" s="58"/>
      <c r="F352" s="58"/>
      <c r="G352" s="59"/>
      <c r="H352" s="60"/>
      <c r="I352" s="60"/>
      <c r="J352" s="59"/>
      <c r="K352" s="61"/>
      <c r="M352" s="62"/>
      <c r="N352" s="62"/>
      <c r="O352" s="62"/>
      <c r="P352" s="62"/>
      <c r="Q352" s="62"/>
      <c r="R352" s="62"/>
      <c r="S352" s="62"/>
      <c r="T352" s="62"/>
      <c r="U352" s="62"/>
      <c r="V352" s="62"/>
      <c r="W352" s="62"/>
      <c r="X352" s="62"/>
      <c r="Y352" s="62"/>
      <c r="Z352" s="62"/>
      <c r="AA352" s="62"/>
      <c r="AB352" s="62"/>
      <c r="AC352" s="62"/>
      <c r="AD352" s="62"/>
      <c r="AE352" s="62"/>
      <c r="AF352" s="62"/>
      <c r="AG352" s="62"/>
      <c r="AH352" s="62"/>
      <c r="AI352" s="62"/>
      <c r="AJ352" s="62"/>
      <c r="AK352" s="62"/>
      <c r="AL352" s="62"/>
      <c r="AM352" s="62"/>
      <c r="AN352" s="62"/>
      <c r="AO352" s="62"/>
      <c r="AP352" s="62"/>
      <c r="AQ352" s="62"/>
      <c r="AR352" s="62"/>
      <c r="AS352" s="62"/>
      <c r="AT352" s="62"/>
      <c r="AU352" s="62"/>
      <c r="AV352" s="62"/>
      <c r="AW352" s="62"/>
      <c r="AX352" s="62"/>
    </row>
    <row r="353" spans="1:50" ht="14.25" customHeight="1" x14ac:dyDescent="0.3">
      <c r="A353" s="58"/>
      <c r="B353" s="58"/>
      <c r="C353" s="58"/>
      <c r="D353" s="58"/>
      <c r="E353" s="58"/>
      <c r="F353" s="58"/>
      <c r="G353" s="59"/>
      <c r="H353" s="60"/>
      <c r="I353" s="60"/>
      <c r="J353" s="59"/>
      <c r="K353" s="61"/>
      <c r="M353" s="62"/>
      <c r="N353" s="62"/>
      <c r="O353" s="62"/>
      <c r="P353" s="62"/>
      <c r="Q353" s="62"/>
      <c r="R353" s="62"/>
      <c r="S353" s="62"/>
      <c r="T353" s="62"/>
      <c r="U353" s="62"/>
      <c r="V353" s="62"/>
      <c r="W353" s="62"/>
      <c r="X353" s="62"/>
      <c r="Y353" s="62"/>
      <c r="Z353" s="62"/>
      <c r="AA353" s="62"/>
      <c r="AB353" s="62"/>
      <c r="AC353" s="62"/>
      <c r="AD353" s="62"/>
      <c r="AE353" s="62"/>
      <c r="AF353" s="62"/>
      <c r="AG353" s="62"/>
      <c r="AH353" s="62"/>
      <c r="AI353" s="62"/>
      <c r="AJ353" s="62"/>
      <c r="AK353" s="62"/>
      <c r="AL353" s="62"/>
      <c r="AM353" s="62"/>
      <c r="AN353" s="62"/>
      <c r="AO353" s="62"/>
      <c r="AP353" s="62"/>
      <c r="AQ353" s="62"/>
      <c r="AR353" s="62"/>
      <c r="AS353" s="62"/>
      <c r="AT353" s="62"/>
      <c r="AU353" s="62"/>
      <c r="AV353" s="62"/>
      <c r="AW353" s="62"/>
      <c r="AX353" s="62"/>
    </row>
    <row r="354" spans="1:50" ht="14.25" customHeight="1" x14ac:dyDescent="0.3">
      <c r="A354" s="58"/>
      <c r="B354" s="58"/>
      <c r="C354" s="58"/>
      <c r="D354" s="58"/>
      <c r="E354" s="58"/>
      <c r="F354" s="58"/>
      <c r="G354" s="59"/>
      <c r="H354" s="60"/>
      <c r="I354" s="60"/>
      <c r="J354" s="59"/>
      <c r="K354" s="61"/>
      <c r="M354" s="62"/>
      <c r="N354" s="62"/>
      <c r="O354" s="62"/>
      <c r="P354" s="62"/>
      <c r="Q354" s="62"/>
      <c r="R354" s="62"/>
      <c r="S354" s="62"/>
      <c r="T354" s="62"/>
      <c r="U354" s="62"/>
      <c r="V354" s="62"/>
      <c r="W354" s="62"/>
      <c r="X354" s="62"/>
      <c r="Y354" s="62"/>
      <c r="Z354" s="62"/>
      <c r="AA354" s="62"/>
      <c r="AB354" s="62"/>
      <c r="AC354" s="62"/>
      <c r="AD354" s="62"/>
      <c r="AE354" s="62"/>
      <c r="AF354" s="62"/>
      <c r="AG354" s="62"/>
      <c r="AH354" s="62"/>
      <c r="AI354" s="62"/>
      <c r="AJ354" s="62"/>
      <c r="AK354" s="62"/>
      <c r="AL354" s="62"/>
      <c r="AM354" s="62"/>
      <c r="AN354" s="62"/>
      <c r="AO354" s="62"/>
      <c r="AP354" s="62"/>
      <c r="AQ354" s="62"/>
      <c r="AR354" s="62"/>
      <c r="AS354" s="62"/>
      <c r="AT354" s="62"/>
      <c r="AU354" s="62"/>
      <c r="AV354" s="62"/>
      <c r="AW354" s="62"/>
      <c r="AX354" s="62"/>
    </row>
    <row r="355" spans="1:50" ht="14.25" customHeight="1" x14ac:dyDescent="0.3">
      <c r="A355" s="58"/>
      <c r="B355" s="58"/>
      <c r="C355" s="58"/>
      <c r="D355" s="58"/>
      <c r="E355" s="58"/>
      <c r="F355" s="58"/>
      <c r="G355" s="59"/>
      <c r="H355" s="60"/>
      <c r="I355" s="60"/>
      <c r="J355" s="59"/>
      <c r="K355" s="61"/>
      <c r="M355" s="62"/>
      <c r="N355" s="62"/>
      <c r="O355" s="62"/>
      <c r="P355" s="62"/>
      <c r="Q355" s="62"/>
      <c r="R355" s="62"/>
      <c r="S355" s="62"/>
      <c r="T355" s="62"/>
      <c r="U355" s="62"/>
      <c r="V355" s="62"/>
      <c r="W355" s="62"/>
      <c r="X355" s="62"/>
      <c r="Y355" s="62"/>
      <c r="Z355" s="62"/>
      <c r="AA355" s="62"/>
      <c r="AB355" s="62"/>
      <c r="AC355" s="62"/>
      <c r="AD355" s="62"/>
      <c r="AE355" s="62"/>
      <c r="AF355" s="62"/>
      <c r="AG355" s="62"/>
      <c r="AH355" s="62"/>
      <c r="AI355" s="62"/>
      <c r="AJ355" s="62"/>
      <c r="AK355" s="62"/>
      <c r="AL355" s="62"/>
      <c r="AM355" s="62"/>
      <c r="AN355" s="62"/>
      <c r="AO355" s="62"/>
      <c r="AP355" s="62"/>
      <c r="AQ355" s="62"/>
      <c r="AR355" s="62"/>
      <c r="AS355" s="62"/>
      <c r="AT355" s="62"/>
      <c r="AU355" s="62"/>
      <c r="AV355" s="62"/>
      <c r="AW355" s="62"/>
      <c r="AX355" s="62"/>
    </row>
    <row r="356" spans="1:50" ht="14.25" customHeight="1" x14ac:dyDescent="0.3">
      <c r="A356" s="58"/>
      <c r="B356" s="58"/>
      <c r="C356" s="58"/>
      <c r="D356" s="58"/>
      <c r="E356" s="58"/>
      <c r="F356" s="58"/>
      <c r="G356" s="59"/>
      <c r="H356" s="60"/>
      <c r="I356" s="60"/>
      <c r="J356" s="59"/>
      <c r="K356" s="61"/>
      <c r="M356" s="62"/>
      <c r="N356" s="62"/>
      <c r="O356" s="62"/>
      <c r="P356" s="62"/>
      <c r="Q356" s="62"/>
      <c r="R356" s="62"/>
      <c r="S356" s="62"/>
      <c r="T356" s="62"/>
      <c r="U356" s="62"/>
      <c r="V356" s="62"/>
      <c r="W356" s="62"/>
      <c r="X356" s="62"/>
      <c r="Y356" s="62"/>
      <c r="Z356" s="62"/>
      <c r="AA356" s="62"/>
      <c r="AB356" s="62"/>
      <c r="AC356" s="62"/>
      <c r="AD356" s="62"/>
      <c r="AE356" s="62"/>
      <c r="AF356" s="62"/>
      <c r="AG356" s="62"/>
      <c r="AH356" s="62"/>
      <c r="AI356" s="62"/>
      <c r="AJ356" s="62"/>
      <c r="AK356" s="62"/>
      <c r="AL356" s="62"/>
      <c r="AM356" s="62"/>
      <c r="AN356" s="62"/>
      <c r="AO356" s="62"/>
      <c r="AP356" s="62"/>
      <c r="AQ356" s="62"/>
      <c r="AR356" s="62"/>
      <c r="AS356" s="62"/>
      <c r="AT356" s="62"/>
      <c r="AU356" s="62"/>
      <c r="AV356" s="62"/>
      <c r="AW356" s="62"/>
      <c r="AX356" s="62"/>
    </row>
    <row r="357" spans="1:50" ht="14.25" customHeight="1" x14ac:dyDescent="0.3">
      <c r="A357" s="58"/>
      <c r="B357" s="58"/>
      <c r="C357" s="58"/>
      <c r="D357" s="58"/>
      <c r="E357" s="58"/>
      <c r="F357" s="58"/>
      <c r="G357" s="59"/>
      <c r="H357" s="60"/>
      <c r="I357" s="60"/>
      <c r="J357" s="59"/>
      <c r="K357" s="61"/>
      <c r="M357" s="62"/>
      <c r="N357" s="62"/>
      <c r="O357" s="62"/>
      <c r="P357" s="62"/>
      <c r="Q357" s="62"/>
      <c r="R357" s="62"/>
      <c r="S357" s="62"/>
      <c r="T357" s="62"/>
      <c r="U357" s="62"/>
      <c r="V357" s="62"/>
      <c r="W357" s="62"/>
      <c r="X357" s="62"/>
      <c r="Y357" s="62"/>
      <c r="Z357" s="62"/>
      <c r="AA357" s="62"/>
      <c r="AB357" s="62"/>
      <c r="AC357" s="62"/>
      <c r="AD357" s="62"/>
      <c r="AE357" s="62"/>
      <c r="AF357" s="62"/>
      <c r="AG357" s="62"/>
      <c r="AH357" s="62"/>
      <c r="AI357" s="62"/>
      <c r="AJ357" s="62"/>
      <c r="AK357" s="62"/>
      <c r="AL357" s="62"/>
      <c r="AM357" s="62"/>
      <c r="AN357" s="62"/>
      <c r="AO357" s="62"/>
      <c r="AP357" s="62"/>
      <c r="AQ357" s="62"/>
      <c r="AR357" s="62"/>
      <c r="AS357" s="62"/>
      <c r="AT357" s="62"/>
      <c r="AU357" s="62"/>
      <c r="AV357" s="62"/>
      <c r="AW357" s="62"/>
      <c r="AX357" s="62"/>
    </row>
    <row r="358" spans="1:50" ht="14.25" customHeight="1" x14ac:dyDescent="0.3">
      <c r="A358" s="58"/>
      <c r="B358" s="58"/>
      <c r="C358" s="58"/>
      <c r="D358" s="58"/>
      <c r="E358" s="58"/>
      <c r="F358" s="58"/>
      <c r="G358" s="59"/>
      <c r="H358" s="60"/>
      <c r="I358" s="60"/>
      <c r="J358" s="59"/>
      <c r="K358" s="61"/>
      <c r="M358" s="62"/>
      <c r="N358" s="62"/>
      <c r="O358" s="62"/>
      <c r="P358" s="62"/>
      <c r="Q358" s="62"/>
      <c r="R358" s="62"/>
      <c r="S358" s="62"/>
      <c r="T358" s="62"/>
      <c r="U358" s="62"/>
      <c r="V358" s="62"/>
      <c r="W358" s="62"/>
      <c r="X358" s="62"/>
      <c r="Y358" s="62"/>
      <c r="Z358" s="62"/>
      <c r="AA358" s="62"/>
      <c r="AB358" s="62"/>
      <c r="AC358" s="62"/>
      <c r="AD358" s="62"/>
      <c r="AE358" s="62"/>
      <c r="AF358" s="62"/>
      <c r="AG358" s="62"/>
      <c r="AH358" s="62"/>
      <c r="AI358" s="62"/>
      <c r="AJ358" s="62"/>
      <c r="AK358" s="62"/>
      <c r="AL358" s="62"/>
      <c r="AM358" s="62"/>
      <c r="AN358" s="62"/>
      <c r="AO358" s="62"/>
      <c r="AP358" s="62"/>
      <c r="AQ358" s="62"/>
      <c r="AR358" s="62"/>
      <c r="AS358" s="62"/>
      <c r="AT358" s="62"/>
      <c r="AU358" s="62"/>
      <c r="AV358" s="62"/>
      <c r="AW358" s="62"/>
      <c r="AX358" s="62"/>
    </row>
    <row r="359" spans="1:50" ht="14.25" customHeight="1" x14ac:dyDescent="0.3">
      <c r="A359" s="58"/>
      <c r="B359" s="58"/>
      <c r="C359" s="58"/>
      <c r="D359" s="58"/>
      <c r="E359" s="58"/>
      <c r="F359" s="58"/>
      <c r="G359" s="59"/>
      <c r="H359" s="60"/>
      <c r="I359" s="60"/>
      <c r="J359" s="59"/>
      <c r="K359" s="61"/>
      <c r="M359" s="62"/>
      <c r="N359" s="62"/>
      <c r="O359" s="62"/>
      <c r="P359" s="62"/>
      <c r="Q359" s="62"/>
      <c r="R359" s="62"/>
      <c r="S359" s="62"/>
      <c r="T359" s="62"/>
      <c r="U359" s="62"/>
      <c r="V359" s="62"/>
      <c r="W359" s="62"/>
      <c r="X359" s="62"/>
      <c r="Y359" s="62"/>
      <c r="Z359" s="62"/>
      <c r="AA359" s="62"/>
      <c r="AB359" s="62"/>
      <c r="AC359" s="62"/>
      <c r="AD359" s="62"/>
      <c r="AE359" s="62"/>
      <c r="AF359" s="62"/>
      <c r="AG359" s="62"/>
      <c r="AH359" s="62"/>
      <c r="AI359" s="62"/>
      <c r="AJ359" s="62"/>
      <c r="AK359" s="62"/>
      <c r="AL359" s="62"/>
      <c r="AM359" s="62"/>
      <c r="AN359" s="62"/>
      <c r="AO359" s="62"/>
      <c r="AP359" s="62"/>
      <c r="AQ359" s="62"/>
      <c r="AR359" s="62"/>
      <c r="AS359" s="62"/>
      <c r="AT359" s="62"/>
      <c r="AU359" s="62"/>
      <c r="AV359" s="62"/>
      <c r="AW359" s="62"/>
      <c r="AX359" s="62"/>
    </row>
    <row r="360" spans="1:50" ht="14.25" customHeight="1" x14ac:dyDescent="0.3">
      <c r="A360" s="58"/>
      <c r="B360" s="58"/>
      <c r="C360" s="58"/>
      <c r="D360" s="58"/>
      <c r="E360" s="58"/>
      <c r="F360" s="58"/>
      <c r="G360" s="59"/>
      <c r="H360" s="60"/>
      <c r="I360" s="60"/>
      <c r="J360" s="59"/>
      <c r="K360" s="61"/>
      <c r="M360" s="62"/>
      <c r="N360" s="62"/>
      <c r="O360" s="62"/>
      <c r="P360" s="62"/>
      <c r="Q360" s="62"/>
      <c r="R360" s="62"/>
      <c r="S360" s="62"/>
      <c r="T360" s="62"/>
      <c r="U360" s="62"/>
      <c r="V360" s="62"/>
      <c r="W360" s="62"/>
      <c r="X360" s="62"/>
      <c r="Y360" s="62"/>
      <c r="Z360" s="62"/>
      <c r="AA360" s="62"/>
      <c r="AB360" s="62"/>
      <c r="AC360" s="62"/>
      <c r="AD360" s="62"/>
      <c r="AE360" s="62"/>
      <c r="AF360" s="62"/>
      <c r="AG360" s="62"/>
      <c r="AH360" s="62"/>
      <c r="AI360" s="62"/>
      <c r="AJ360" s="62"/>
      <c r="AK360" s="62"/>
      <c r="AL360" s="62"/>
      <c r="AM360" s="62"/>
      <c r="AN360" s="62"/>
      <c r="AO360" s="62"/>
      <c r="AP360" s="62"/>
      <c r="AQ360" s="62"/>
      <c r="AR360" s="62"/>
      <c r="AS360" s="62"/>
      <c r="AT360" s="62"/>
      <c r="AU360" s="62"/>
      <c r="AV360" s="62"/>
      <c r="AW360" s="62"/>
      <c r="AX360" s="62"/>
    </row>
    <row r="361" spans="1:50" ht="14.25" customHeight="1" x14ac:dyDescent="0.3">
      <c r="A361" s="58"/>
      <c r="B361" s="58"/>
      <c r="C361" s="58"/>
      <c r="D361" s="58"/>
      <c r="E361" s="58"/>
      <c r="F361" s="58"/>
      <c r="G361" s="59"/>
      <c r="H361" s="60"/>
      <c r="I361" s="60"/>
      <c r="J361" s="59"/>
      <c r="K361" s="61"/>
      <c r="M361" s="62"/>
      <c r="N361" s="62"/>
      <c r="O361" s="62"/>
      <c r="P361" s="62"/>
      <c r="Q361" s="62"/>
      <c r="R361" s="62"/>
      <c r="S361" s="62"/>
      <c r="T361" s="62"/>
      <c r="U361" s="62"/>
      <c r="V361" s="62"/>
      <c r="W361" s="62"/>
      <c r="X361" s="62"/>
      <c r="Y361" s="62"/>
      <c r="Z361" s="62"/>
      <c r="AA361" s="62"/>
      <c r="AB361" s="62"/>
      <c r="AC361" s="62"/>
      <c r="AD361" s="62"/>
      <c r="AE361" s="62"/>
      <c r="AF361" s="62"/>
      <c r="AG361" s="62"/>
      <c r="AH361" s="62"/>
      <c r="AI361" s="62"/>
      <c r="AJ361" s="62"/>
      <c r="AK361" s="62"/>
      <c r="AL361" s="62"/>
      <c r="AM361" s="62"/>
      <c r="AN361" s="62"/>
      <c r="AO361" s="62"/>
      <c r="AP361" s="62"/>
      <c r="AQ361" s="62"/>
      <c r="AR361" s="62"/>
      <c r="AS361" s="62"/>
      <c r="AT361" s="62"/>
      <c r="AU361" s="62"/>
      <c r="AV361" s="62"/>
      <c r="AW361" s="62"/>
      <c r="AX361" s="62"/>
    </row>
    <row r="362" spans="1:50" ht="14.25" customHeight="1" x14ac:dyDescent="0.3">
      <c r="A362" s="58"/>
      <c r="B362" s="58"/>
      <c r="C362" s="58"/>
      <c r="D362" s="58"/>
      <c r="E362" s="58"/>
      <c r="F362" s="58"/>
      <c r="G362" s="59"/>
      <c r="H362" s="60"/>
      <c r="I362" s="60"/>
      <c r="J362" s="59"/>
      <c r="K362" s="61"/>
      <c r="M362" s="62"/>
      <c r="N362" s="62"/>
      <c r="O362" s="62"/>
      <c r="P362" s="62"/>
      <c r="Q362" s="62"/>
      <c r="R362" s="62"/>
      <c r="S362" s="62"/>
      <c r="T362" s="62"/>
      <c r="U362" s="62"/>
      <c r="V362" s="62"/>
      <c r="W362" s="62"/>
      <c r="X362" s="62"/>
      <c r="Y362" s="62"/>
      <c r="Z362" s="62"/>
      <c r="AA362" s="62"/>
      <c r="AB362" s="62"/>
      <c r="AC362" s="62"/>
      <c r="AD362" s="62"/>
      <c r="AE362" s="62"/>
      <c r="AF362" s="62"/>
      <c r="AG362" s="62"/>
      <c r="AH362" s="62"/>
      <c r="AI362" s="62"/>
      <c r="AJ362" s="62"/>
      <c r="AK362" s="62"/>
      <c r="AL362" s="62"/>
      <c r="AM362" s="62"/>
      <c r="AN362" s="62"/>
      <c r="AO362" s="62"/>
      <c r="AP362" s="62"/>
      <c r="AQ362" s="62"/>
      <c r="AR362" s="62"/>
      <c r="AS362" s="62"/>
      <c r="AT362" s="62"/>
      <c r="AU362" s="62"/>
      <c r="AV362" s="62"/>
      <c r="AW362" s="62"/>
      <c r="AX362" s="62"/>
    </row>
    <row r="363" spans="1:50" ht="14.25" customHeight="1" x14ac:dyDescent="0.3">
      <c r="A363" s="58"/>
      <c r="B363" s="58"/>
      <c r="C363" s="58"/>
      <c r="D363" s="58"/>
      <c r="E363" s="58"/>
      <c r="F363" s="58"/>
      <c r="G363" s="59"/>
      <c r="H363" s="60"/>
      <c r="I363" s="60"/>
      <c r="J363" s="59"/>
      <c r="K363" s="61"/>
      <c r="M363" s="62"/>
      <c r="N363" s="62"/>
      <c r="O363" s="62"/>
      <c r="P363" s="62"/>
      <c r="Q363" s="62"/>
      <c r="R363" s="62"/>
      <c r="S363" s="62"/>
      <c r="T363" s="62"/>
      <c r="U363" s="62"/>
      <c r="V363" s="62"/>
      <c r="W363" s="62"/>
      <c r="X363" s="62"/>
      <c r="Y363" s="62"/>
      <c r="Z363" s="62"/>
      <c r="AA363" s="62"/>
      <c r="AB363" s="62"/>
      <c r="AC363" s="62"/>
      <c r="AD363" s="62"/>
      <c r="AE363" s="62"/>
      <c r="AF363" s="62"/>
      <c r="AG363" s="62"/>
      <c r="AH363" s="62"/>
      <c r="AI363" s="62"/>
      <c r="AJ363" s="62"/>
      <c r="AK363" s="62"/>
      <c r="AL363" s="62"/>
      <c r="AM363" s="62"/>
      <c r="AN363" s="62"/>
      <c r="AO363" s="62"/>
      <c r="AP363" s="62"/>
      <c r="AQ363" s="62"/>
      <c r="AR363" s="62"/>
      <c r="AS363" s="62"/>
      <c r="AT363" s="62"/>
      <c r="AU363" s="62"/>
      <c r="AV363" s="62"/>
      <c r="AW363" s="62"/>
      <c r="AX363" s="62"/>
    </row>
    <row r="364" spans="1:50" ht="14.25" customHeight="1" x14ac:dyDescent="0.3">
      <c r="A364" s="58"/>
      <c r="B364" s="58"/>
      <c r="C364" s="58"/>
      <c r="D364" s="58"/>
      <c r="E364" s="58"/>
      <c r="F364" s="58"/>
      <c r="G364" s="59"/>
      <c r="H364" s="60"/>
      <c r="I364" s="60"/>
      <c r="J364" s="59"/>
      <c r="K364" s="61"/>
      <c r="M364" s="62"/>
      <c r="N364" s="62"/>
      <c r="O364" s="62"/>
      <c r="P364" s="62"/>
      <c r="Q364" s="62"/>
      <c r="R364" s="62"/>
      <c r="S364" s="62"/>
      <c r="T364" s="62"/>
      <c r="U364" s="62"/>
      <c r="V364" s="62"/>
      <c r="W364" s="62"/>
      <c r="X364" s="62"/>
      <c r="Y364" s="62"/>
      <c r="Z364" s="62"/>
      <c r="AA364" s="62"/>
      <c r="AB364" s="62"/>
      <c r="AC364" s="62"/>
      <c r="AD364" s="62"/>
      <c r="AE364" s="62"/>
      <c r="AF364" s="62"/>
      <c r="AG364" s="62"/>
      <c r="AH364" s="62"/>
      <c r="AI364" s="62"/>
      <c r="AJ364" s="62"/>
      <c r="AK364" s="62"/>
      <c r="AL364" s="62"/>
      <c r="AM364" s="62"/>
      <c r="AN364" s="62"/>
      <c r="AO364" s="62"/>
      <c r="AP364" s="62"/>
      <c r="AQ364" s="62"/>
      <c r="AR364" s="62"/>
      <c r="AS364" s="62"/>
      <c r="AT364" s="62"/>
      <c r="AU364" s="62"/>
      <c r="AV364" s="62"/>
      <c r="AW364" s="62"/>
      <c r="AX364" s="62"/>
    </row>
    <row r="365" spans="1:50" ht="14.25" customHeight="1" x14ac:dyDescent="0.3">
      <c r="A365" s="58"/>
      <c r="B365" s="58"/>
      <c r="C365" s="58"/>
      <c r="D365" s="58"/>
      <c r="E365" s="58"/>
      <c r="F365" s="58"/>
      <c r="G365" s="59"/>
      <c r="H365" s="60"/>
      <c r="I365" s="60"/>
      <c r="J365" s="59"/>
      <c r="K365" s="61"/>
      <c r="M365" s="62"/>
      <c r="N365" s="62"/>
      <c r="O365" s="62"/>
      <c r="P365" s="62"/>
      <c r="Q365" s="62"/>
      <c r="R365" s="62"/>
      <c r="S365" s="62"/>
      <c r="T365" s="62"/>
      <c r="U365" s="62"/>
      <c r="V365" s="62"/>
      <c r="W365" s="62"/>
      <c r="X365" s="62"/>
      <c r="Y365" s="62"/>
      <c r="Z365" s="62"/>
      <c r="AA365" s="62"/>
      <c r="AB365" s="62"/>
      <c r="AC365" s="62"/>
      <c r="AD365" s="62"/>
      <c r="AE365" s="62"/>
      <c r="AF365" s="62"/>
      <c r="AG365" s="62"/>
      <c r="AH365" s="62"/>
      <c r="AI365" s="62"/>
      <c r="AJ365" s="62"/>
      <c r="AK365" s="62"/>
      <c r="AL365" s="62"/>
      <c r="AM365" s="62"/>
      <c r="AN365" s="62"/>
      <c r="AO365" s="62"/>
      <c r="AP365" s="62"/>
      <c r="AQ365" s="62"/>
      <c r="AR365" s="62"/>
      <c r="AS365" s="62"/>
      <c r="AT365" s="62"/>
      <c r="AU365" s="62"/>
      <c r="AV365" s="62"/>
      <c r="AW365" s="62"/>
      <c r="AX365" s="62"/>
    </row>
    <row r="366" spans="1:50" ht="14.25" customHeight="1" x14ac:dyDescent="0.3">
      <c r="A366" s="58"/>
      <c r="B366" s="58"/>
      <c r="C366" s="58"/>
      <c r="D366" s="58"/>
      <c r="E366" s="58"/>
      <c r="F366" s="58"/>
      <c r="G366" s="59"/>
      <c r="H366" s="60"/>
      <c r="I366" s="60"/>
      <c r="J366" s="59"/>
      <c r="K366" s="61"/>
      <c r="M366" s="62"/>
      <c r="N366" s="62"/>
      <c r="O366" s="62"/>
      <c r="P366" s="62"/>
      <c r="Q366" s="62"/>
      <c r="R366" s="62"/>
      <c r="S366" s="62"/>
      <c r="T366" s="62"/>
      <c r="U366" s="62"/>
      <c r="V366" s="62"/>
      <c r="W366" s="62"/>
      <c r="X366" s="62"/>
      <c r="Y366" s="62"/>
      <c r="Z366" s="62"/>
      <c r="AA366" s="62"/>
      <c r="AB366" s="62"/>
      <c r="AC366" s="62"/>
      <c r="AD366" s="62"/>
      <c r="AE366" s="62"/>
      <c r="AF366" s="62"/>
      <c r="AG366" s="62"/>
      <c r="AH366" s="62"/>
      <c r="AI366" s="62"/>
      <c r="AJ366" s="62"/>
      <c r="AK366" s="62"/>
      <c r="AL366" s="62"/>
      <c r="AM366" s="62"/>
      <c r="AN366" s="62"/>
      <c r="AO366" s="62"/>
      <c r="AP366" s="62"/>
      <c r="AQ366" s="62"/>
      <c r="AR366" s="62"/>
      <c r="AS366" s="62"/>
      <c r="AT366" s="62"/>
      <c r="AU366" s="62"/>
      <c r="AV366" s="62"/>
      <c r="AW366" s="62"/>
      <c r="AX366" s="62"/>
    </row>
    <row r="367" spans="1:50" ht="14.25" customHeight="1" x14ac:dyDescent="0.3">
      <c r="A367" s="58"/>
      <c r="B367" s="58"/>
      <c r="C367" s="58"/>
      <c r="D367" s="58"/>
      <c r="E367" s="58"/>
      <c r="F367" s="58"/>
      <c r="G367" s="59"/>
      <c r="H367" s="60"/>
      <c r="I367" s="60"/>
      <c r="J367" s="59"/>
      <c r="K367" s="61"/>
      <c r="M367" s="62"/>
      <c r="N367" s="62"/>
      <c r="O367" s="62"/>
      <c r="P367" s="62"/>
      <c r="Q367" s="62"/>
      <c r="R367" s="62"/>
      <c r="S367" s="62"/>
      <c r="T367" s="62"/>
      <c r="U367" s="62"/>
      <c r="V367" s="62"/>
      <c r="W367" s="62"/>
      <c r="X367" s="62"/>
      <c r="Y367" s="62"/>
      <c r="Z367" s="62"/>
      <c r="AA367" s="62"/>
      <c r="AB367" s="62"/>
      <c r="AC367" s="62"/>
      <c r="AD367" s="62"/>
      <c r="AE367" s="62"/>
      <c r="AF367" s="62"/>
      <c r="AG367" s="62"/>
      <c r="AH367" s="62"/>
      <c r="AI367" s="62"/>
      <c r="AJ367" s="62"/>
      <c r="AK367" s="62"/>
      <c r="AL367" s="62"/>
      <c r="AM367" s="62"/>
      <c r="AN367" s="62"/>
      <c r="AO367" s="62"/>
      <c r="AP367" s="62"/>
      <c r="AQ367" s="62"/>
      <c r="AR367" s="62"/>
      <c r="AS367" s="62"/>
      <c r="AT367" s="62"/>
      <c r="AU367" s="62"/>
      <c r="AV367" s="62"/>
      <c r="AW367" s="62"/>
      <c r="AX367" s="62"/>
    </row>
    <row r="368" spans="1:50" ht="14.25" customHeight="1" x14ac:dyDescent="0.3">
      <c r="A368" s="58"/>
      <c r="B368" s="58"/>
      <c r="C368" s="58"/>
      <c r="D368" s="58"/>
      <c r="E368" s="58"/>
      <c r="F368" s="58"/>
      <c r="G368" s="59"/>
      <c r="H368" s="60"/>
      <c r="I368" s="60"/>
      <c r="J368" s="59"/>
      <c r="K368" s="61"/>
      <c r="M368" s="62"/>
      <c r="N368" s="62"/>
      <c r="O368" s="62"/>
      <c r="P368" s="62"/>
      <c r="Q368" s="62"/>
      <c r="R368" s="62"/>
      <c r="S368" s="62"/>
      <c r="T368" s="62"/>
      <c r="U368" s="62"/>
      <c r="V368" s="62"/>
      <c r="W368" s="62"/>
      <c r="X368" s="62"/>
      <c r="Y368" s="62"/>
      <c r="Z368" s="62"/>
      <c r="AA368" s="62"/>
      <c r="AB368" s="62"/>
      <c r="AC368" s="62"/>
      <c r="AD368" s="62"/>
      <c r="AE368" s="62"/>
      <c r="AF368" s="62"/>
      <c r="AG368" s="62"/>
      <c r="AH368" s="62"/>
      <c r="AI368" s="62"/>
      <c r="AJ368" s="62"/>
      <c r="AK368" s="62"/>
      <c r="AL368" s="62"/>
      <c r="AM368" s="62"/>
      <c r="AN368" s="62"/>
      <c r="AO368" s="62"/>
      <c r="AP368" s="62"/>
      <c r="AQ368" s="62"/>
      <c r="AR368" s="62"/>
      <c r="AS368" s="62"/>
      <c r="AT368" s="62"/>
      <c r="AU368" s="62"/>
      <c r="AV368" s="62"/>
      <c r="AW368" s="62"/>
      <c r="AX368" s="62"/>
    </row>
    <row r="369" spans="1:50" ht="14.25" customHeight="1" x14ac:dyDescent="0.3">
      <c r="A369" s="58"/>
      <c r="B369" s="58"/>
      <c r="C369" s="58"/>
      <c r="D369" s="58"/>
      <c r="E369" s="58"/>
      <c r="F369" s="58"/>
      <c r="G369" s="59"/>
      <c r="H369" s="60"/>
      <c r="I369" s="60"/>
      <c r="J369" s="59"/>
      <c r="K369" s="61"/>
      <c r="M369" s="62"/>
      <c r="N369" s="62"/>
      <c r="O369" s="62"/>
      <c r="P369" s="62"/>
      <c r="Q369" s="62"/>
      <c r="R369" s="62"/>
      <c r="S369" s="62"/>
      <c r="T369" s="62"/>
      <c r="U369" s="62"/>
      <c r="V369" s="62"/>
      <c r="W369" s="62"/>
      <c r="X369" s="62"/>
      <c r="Y369" s="62"/>
      <c r="Z369" s="62"/>
      <c r="AA369" s="62"/>
      <c r="AB369" s="62"/>
      <c r="AC369" s="62"/>
      <c r="AD369" s="62"/>
      <c r="AE369" s="62"/>
      <c r="AF369" s="62"/>
      <c r="AG369" s="62"/>
      <c r="AH369" s="62"/>
      <c r="AI369" s="62"/>
      <c r="AJ369" s="62"/>
      <c r="AK369" s="62"/>
      <c r="AL369" s="62"/>
      <c r="AM369" s="62"/>
      <c r="AN369" s="62"/>
      <c r="AO369" s="62"/>
      <c r="AP369" s="62"/>
      <c r="AQ369" s="62"/>
      <c r="AR369" s="62"/>
      <c r="AS369" s="62"/>
      <c r="AT369" s="62"/>
      <c r="AU369" s="62"/>
      <c r="AV369" s="62"/>
      <c r="AW369" s="62"/>
      <c r="AX369" s="62"/>
    </row>
    <row r="370" spans="1:50" ht="14.25" customHeight="1" x14ac:dyDescent="0.3">
      <c r="A370" s="58"/>
      <c r="B370" s="58"/>
      <c r="C370" s="58"/>
      <c r="D370" s="58"/>
      <c r="E370" s="58"/>
      <c r="F370" s="58"/>
      <c r="G370" s="59"/>
      <c r="H370" s="60"/>
      <c r="I370" s="60"/>
      <c r="J370" s="59"/>
      <c r="K370" s="61"/>
      <c r="M370" s="62"/>
      <c r="N370" s="62"/>
      <c r="O370" s="62"/>
      <c r="P370" s="62"/>
      <c r="Q370" s="62"/>
      <c r="R370" s="62"/>
      <c r="S370" s="62"/>
      <c r="T370" s="62"/>
      <c r="U370" s="62"/>
      <c r="V370" s="62"/>
      <c r="W370" s="62"/>
      <c r="X370" s="62"/>
      <c r="Y370" s="62"/>
      <c r="Z370" s="62"/>
      <c r="AA370" s="62"/>
      <c r="AB370" s="62"/>
      <c r="AC370" s="62"/>
      <c r="AD370" s="62"/>
      <c r="AE370" s="62"/>
      <c r="AF370" s="62"/>
      <c r="AG370" s="62"/>
      <c r="AH370" s="62"/>
      <c r="AI370" s="62"/>
      <c r="AJ370" s="62"/>
      <c r="AK370" s="62"/>
      <c r="AL370" s="62"/>
      <c r="AM370" s="62"/>
      <c r="AN370" s="62"/>
      <c r="AO370" s="62"/>
      <c r="AP370" s="62"/>
      <c r="AQ370" s="62"/>
      <c r="AR370" s="62"/>
      <c r="AS370" s="62"/>
      <c r="AT370" s="62"/>
      <c r="AU370" s="62"/>
      <c r="AV370" s="62"/>
      <c r="AW370" s="62"/>
      <c r="AX370" s="62"/>
    </row>
    <row r="371" spans="1:50" ht="14.25" customHeight="1" x14ac:dyDescent="0.3">
      <c r="A371" s="58"/>
      <c r="B371" s="58"/>
      <c r="C371" s="58"/>
      <c r="D371" s="58"/>
      <c r="E371" s="58"/>
      <c r="F371" s="58"/>
      <c r="G371" s="59"/>
      <c r="H371" s="60"/>
      <c r="I371" s="60"/>
      <c r="J371" s="59"/>
      <c r="K371" s="61"/>
      <c r="M371" s="62"/>
      <c r="N371" s="62"/>
      <c r="O371" s="62"/>
      <c r="P371" s="62"/>
      <c r="Q371" s="62"/>
      <c r="R371" s="62"/>
      <c r="S371" s="62"/>
      <c r="T371" s="62"/>
      <c r="U371" s="62"/>
      <c r="V371" s="62"/>
      <c r="W371" s="62"/>
      <c r="X371" s="62"/>
      <c r="Y371" s="62"/>
      <c r="Z371" s="62"/>
      <c r="AA371" s="62"/>
      <c r="AB371" s="62"/>
      <c r="AC371" s="62"/>
      <c r="AD371" s="62"/>
      <c r="AE371" s="62"/>
      <c r="AF371" s="62"/>
      <c r="AG371" s="62"/>
      <c r="AH371" s="62"/>
      <c r="AI371" s="62"/>
      <c r="AJ371" s="62"/>
      <c r="AK371" s="62"/>
      <c r="AL371" s="62"/>
      <c r="AM371" s="62"/>
      <c r="AN371" s="62"/>
      <c r="AO371" s="62"/>
      <c r="AP371" s="62"/>
      <c r="AQ371" s="62"/>
      <c r="AR371" s="62"/>
      <c r="AS371" s="62"/>
      <c r="AT371" s="62"/>
      <c r="AU371" s="62"/>
      <c r="AV371" s="62"/>
      <c r="AW371" s="62"/>
      <c r="AX371" s="62"/>
    </row>
    <row r="372" spans="1:50" ht="14.25" customHeight="1" x14ac:dyDescent="0.3">
      <c r="A372" s="58"/>
      <c r="B372" s="58"/>
      <c r="C372" s="58"/>
      <c r="D372" s="58"/>
      <c r="E372" s="58"/>
      <c r="F372" s="58"/>
      <c r="G372" s="59"/>
      <c r="H372" s="60"/>
      <c r="I372" s="60"/>
      <c r="J372" s="59"/>
      <c r="K372" s="61"/>
      <c r="M372" s="62"/>
      <c r="N372" s="62"/>
      <c r="O372" s="62"/>
      <c r="P372" s="62"/>
      <c r="Q372" s="62"/>
      <c r="R372" s="62"/>
      <c r="S372" s="62"/>
      <c r="T372" s="62"/>
      <c r="U372" s="62"/>
      <c r="V372" s="62"/>
      <c r="W372" s="62"/>
      <c r="X372" s="62"/>
      <c r="Y372" s="62"/>
      <c r="Z372" s="62"/>
      <c r="AA372" s="62"/>
      <c r="AB372" s="62"/>
      <c r="AC372" s="62"/>
      <c r="AD372" s="62"/>
      <c r="AE372" s="62"/>
      <c r="AF372" s="62"/>
      <c r="AG372" s="62"/>
      <c r="AH372" s="62"/>
      <c r="AI372" s="62"/>
      <c r="AJ372" s="62"/>
      <c r="AK372" s="62"/>
      <c r="AL372" s="62"/>
      <c r="AM372" s="62"/>
      <c r="AN372" s="62"/>
      <c r="AO372" s="62"/>
      <c r="AP372" s="62"/>
      <c r="AQ372" s="62"/>
      <c r="AR372" s="62"/>
      <c r="AS372" s="62"/>
      <c r="AT372" s="62"/>
      <c r="AU372" s="62"/>
      <c r="AV372" s="62"/>
      <c r="AW372" s="62"/>
      <c r="AX372" s="62"/>
    </row>
    <row r="373" spans="1:50" ht="14.25" customHeight="1" x14ac:dyDescent="0.3">
      <c r="A373" s="58"/>
      <c r="B373" s="58"/>
      <c r="C373" s="58"/>
      <c r="D373" s="58"/>
      <c r="E373" s="58"/>
      <c r="F373" s="58"/>
      <c r="G373" s="59"/>
      <c r="H373" s="60"/>
      <c r="I373" s="60"/>
      <c r="J373" s="59"/>
      <c r="K373" s="61"/>
      <c r="M373" s="62"/>
      <c r="N373" s="62"/>
      <c r="O373" s="62"/>
      <c r="P373" s="62"/>
      <c r="Q373" s="62"/>
      <c r="R373" s="62"/>
      <c r="S373" s="62"/>
      <c r="T373" s="62"/>
      <c r="U373" s="62"/>
      <c r="V373" s="62"/>
      <c r="W373" s="62"/>
      <c r="X373" s="62"/>
      <c r="Y373" s="62"/>
      <c r="Z373" s="62"/>
      <c r="AA373" s="62"/>
      <c r="AB373" s="62"/>
      <c r="AC373" s="62"/>
      <c r="AD373" s="62"/>
      <c r="AE373" s="62"/>
      <c r="AF373" s="62"/>
      <c r="AG373" s="62"/>
      <c r="AH373" s="62"/>
      <c r="AI373" s="62"/>
      <c r="AJ373" s="62"/>
      <c r="AK373" s="62"/>
      <c r="AL373" s="62"/>
      <c r="AM373" s="62"/>
      <c r="AN373" s="62"/>
      <c r="AO373" s="62"/>
      <c r="AP373" s="62"/>
      <c r="AQ373" s="62"/>
      <c r="AR373" s="62"/>
      <c r="AS373" s="62"/>
      <c r="AT373" s="62"/>
      <c r="AU373" s="62"/>
      <c r="AV373" s="62"/>
      <c r="AW373" s="62"/>
      <c r="AX373" s="62"/>
    </row>
    <row r="374" spans="1:50" ht="14.25" customHeight="1" x14ac:dyDescent="0.3">
      <c r="A374" s="58"/>
      <c r="B374" s="58"/>
      <c r="C374" s="58"/>
      <c r="D374" s="58"/>
      <c r="E374" s="58"/>
      <c r="F374" s="58"/>
      <c r="G374" s="59"/>
      <c r="H374" s="60"/>
      <c r="I374" s="60"/>
      <c r="J374" s="59"/>
      <c r="K374" s="61"/>
      <c r="M374" s="62"/>
      <c r="N374" s="62"/>
      <c r="O374" s="62"/>
      <c r="P374" s="62"/>
      <c r="Q374" s="62"/>
      <c r="R374" s="62"/>
      <c r="S374" s="62"/>
      <c r="T374" s="62"/>
      <c r="U374" s="62"/>
      <c r="V374" s="62"/>
      <c r="W374" s="62"/>
      <c r="X374" s="62"/>
      <c r="Y374" s="62"/>
      <c r="Z374" s="62"/>
      <c r="AA374" s="62"/>
      <c r="AB374" s="62"/>
      <c r="AC374" s="62"/>
      <c r="AD374" s="62"/>
      <c r="AE374" s="62"/>
      <c r="AF374" s="62"/>
      <c r="AG374" s="62"/>
      <c r="AH374" s="62"/>
      <c r="AI374" s="62"/>
      <c r="AJ374" s="62"/>
      <c r="AK374" s="62"/>
      <c r="AL374" s="62"/>
      <c r="AM374" s="62"/>
      <c r="AN374" s="62"/>
      <c r="AO374" s="62"/>
      <c r="AP374" s="62"/>
      <c r="AQ374" s="62"/>
      <c r="AR374" s="62"/>
      <c r="AS374" s="62"/>
      <c r="AT374" s="62"/>
      <c r="AU374" s="62"/>
      <c r="AV374" s="62"/>
      <c r="AW374" s="62"/>
      <c r="AX374" s="62"/>
    </row>
    <row r="375" spans="1:50" ht="14.25" customHeight="1" x14ac:dyDescent="0.3">
      <c r="A375" s="58"/>
      <c r="B375" s="58"/>
      <c r="C375" s="58"/>
      <c r="D375" s="58"/>
      <c r="E375" s="58"/>
      <c r="F375" s="58"/>
      <c r="G375" s="59"/>
      <c r="H375" s="60"/>
      <c r="I375" s="60"/>
      <c r="J375" s="59"/>
      <c r="K375" s="61"/>
      <c r="M375" s="62"/>
      <c r="N375" s="62"/>
      <c r="O375" s="62"/>
      <c r="P375" s="62"/>
      <c r="Q375" s="62"/>
      <c r="R375" s="62"/>
      <c r="S375" s="62"/>
      <c r="T375" s="62"/>
      <c r="U375" s="62"/>
      <c r="V375" s="62"/>
      <c r="W375" s="62"/>
      <c r="X375" s="62"/>
      <c r="Y375" s="62"/>
      <c r="Z375" s="62"/>
      <c r="AA375" s="62"/>
      <c r="AB375" s="62"/>
      <c r="AC375" s="62"/>
      <c r="AD375" s="62"/>
      <c r="AE375" s="62"/>
      <c r="AF375" s="62"/>
      <c r="AG375" s="62"/>
      <c r="AH375" s="62"/>
      <c r="AI375" s="62"/>
      <c r="AJ375" s="62"/>
      <c r="AK375" s="62"/>
      <c r="AL375" s="62"/>
      <c r="AM375" s="62"/>
      <c r="AN375" s="62"/>
      <c r="AO375" s="62"/>
      <c r="AP375" s="62"/>
      <c r="AQ375" s="62"/>
      <c r="AR375" s="62"/>
      <c r="AS375" s="62"/>
      <c r="AT375" s="62"/>
      <c r="AU375" s="62"/>
      <c r="AV375" s="62"/>
      <c r="AW375" s="62"/>
      <c r="AX375" s="62"/>
    </row>
    <row r="376" spans="1:50" ht="14.25" customHeight="1" x14ac:dyDescent="0.3">
      <c r="A376" s="58"/>
      <c r="B376" s="58"/>
      <c r="C376" s="58"/>
      <c r="D376" s="58"/>
      <c r="E376" s="58"/>
      <c r="F376" s="58"/>
      <c r="G376" s="59"/>
      <c r="H376" s="60"/>
      <c r="I376" s="60"/>
      <c r="J376" s="59"/>
      <c r="K376" s="61"/>
      <c r="M376" s="62"/>
      <c r="N376" s="62"/>
      <c r="O376" s="62"/>
      <c r="P376" s="62"/>
      <c r="Q376" s="62"/>
      <c r="R376" s="62"/>
      <c r="S376" s="62"/>
      <c r="T376" s="62"/>
      <c r="U376" s="62"/>
      <c r="V376" s="62"/>
      <c r="W376" s="62"/>
      <c r="X376" s="62"/>
      <c r="Y376" s="62"/>
      <c r="Z376" s="62"/>
      <c r="AA376" s="62"/>
      <c r="AB376" s="62"/>
      <c r="AC376" s="62"/>
      <c r="AD376" s="62"/>
      <c r="AE376" s="62"/>
      <c r="AF376" s="62"/>
      <c r="AG376" s="62"/>
      <c r="AH376" s="62"/>
      <c r="AI376" s="62"/>
      <c r="AJ376" s="62"/>
      <c r="AK376" s="62"/>
      <c r="AL376" s="62"/>
      <c r="AM376" s="62"/>
      <c r="AN376" s="62"/>
      <c r="AO376" s="62"/>
      <c r="AP376" s="62"/>
      <c r="AQ376" s="62"/>
      <c r="AR376" s="62"/>
      <c r="AS376" s="62"/>
      <c r="AT376" s="62"/>
      <c r="AU376" s="62"/>
      <c r="AV376" s="62"/>
      <c r="AW376" s="62"/>
      <c r="AX376" s="62"/>
    </row>
    <row r="377" spans="1:50" ht="14.25" customHeight="1" x14ac:dyDescent="0.3">
      <c r="A377" s="58"/>
      <c r="B377" s="58"/>
      <c r="C377" s="58"/>
      <c r="D377" s="58"/>
      <c r="E377" s="58"/>
      <c r="F377" s="58"/>
      <c r="G377" s="59"/>
      <c r="H377" s="60"/>
      <c r="I377" s="60"/>
      <c r="J377" s="59"/>
      <c r="K377" s="61"/>
      <c r="M377" s="62"/>
      <c r="N377" s="62"/>
      <c r="O377" s="62"/>
      <c r="P377" s="62"/>
      <c r="Q377" s="62"/>
      <c r="R377" s="62"/>
      <c r="S377" s="62"/>
      <c r="T377" s="62"/>
      <c r="U377" s="62"/>
      <c r="V377" s="62"/>
      <c r="W377" s="62"/>
      <c r="X377" s="62"/>
      <c r="Y377" s="62"/>
      <c r="Z377" s="62"/>
      <c r="AA377" s="62"/>
      <c r="AB377" s="62"/>
      <c r="AC377" s="62"/>
      <c r="AD377" s="62"/>
      <c r="AE377" s="62"/>
      <c r="AF377" s="62"/>
      <c r="AG377" s="62"/>
      <c r="AH377" s="62"/>
      <c r="AI377" s="62"/>
      <c r="AJ377" s="62"/>
      <c r="AK377" s="62"/>
      <c r="AL377" s="62"/>
      <c r="AM377" s="62"/>
      <c r="AN377" s="62"/>
      <c r="AO377" s="62"/>
      <c r="AP377" s="62"/>
      <c r="AQ377" s="62"/>
      <c r="AR377" s="62"/>
      <c r="AS377" s="62"/>
      <c r="AT377" s="62"/>
      <c r="AU377" s="62"/>
      <c r="AV377" s="62"/>
      <c r="AW377" s="62"/>
      <c r="AX377" s="62"/>
    </row>
    <row r="378" spans="1:50" ht="14.25" customHeight="1" x14ac:dyDescent="0.3">
      <c r="A378" s="58"/>
      <c r="B378" s="58"/>
      <c r="C378" s="58"/>
      <c r="D378" s="58"/>
      <c r="E378" s="58"/>
      <c r="F378" s="58"/>
      <c r="G378" s="59"/>
      <c r="H378" s="60"/>
      <c r="I378" s="60"/>
      <c r="J378" s="59"/>
      <c r="K378" s="61"/>
      <c r="M378" s="62"/>
      <c r="N378" s="62"/>
      <c r="O378" s="62"/>
      <c r="P378" s="62"/>
      <c r="Q378" s="62"/>
      <c r="R378" s="62"/>
      <c r="S378" s="62"/>
      <c r="T378" s="62"/>
      <c r="U378" s="62"/>
      <c r="V378" s="62"/>
      <c r="W378" s="62"/>
      <c r="X378" s="62"/>
      <c r="Y378" s="62"/>
      <c r="Z378" s="62"/>
      <c r="AA378" s="62"/>
      <c r="AB378" s="62"/>
      <c r="AC378" s="62"/>
      <c r="AD378" s="62"/>
      <c r="AE378" s="62"/>
      <c r="AF378" s="62"/>
      <c r="AG378" s="62"/>
      <c r="AH378" s="62"/>
      <c r="AI378" s="62"/>
      <c r="AJ378" s="62"/>
      <c r="AK378" s="62"/>
      <c r="AL378" s="62"/>
      <c r="AM378" s="62"/>
      <c r="AN378" s="62"/>
      <c r="AO378" s="62"/>
      <c r="AP378" s="62"/>
      <c r="AQ378" s="62"/>
      <c r="AR378" s="62"/>
      <c r="AS378" s="62"/>
      <c r="AT378" s="62"/>
      <c r="AU378" s="62"/>
      <c r="AV378" s="62"/>
      <c r="AW378" s="62"/>
      <c r="AX378" s="62"/>
    </row>
    <row r="379" spans="1:50" ht="14.25" customHeight="1" x14ac:dyDescent="0.3">
      <c r="A379" s="58"/>
      <c r="B379" s="58"/>
      <c r="C379" s="58"/>
      <c r="D379" s="58"/>
      <c r="E379" s="58"/>
      <c r="F379" s="58"/>
      <c r="G379" s="59"/>
      <c r="H379" s="60"/>
      <c r="I379" s="60"/>
      <c r="J379" s="59"/>
      <c r="K379" s="61"/>
      <c r="M379" s="62"/>
      <c r="N379" s="62"/>
      <c r="O379" s="62"/>
      <c r="P379" s="62"/>
      <c r="Q379" s="62"/>
      <c r="R379" s="62"/>
      <c r="S379" s="62"/>
      <c r="T379" s="62"/>
      <c r="U379" s="62"/>
      <c r="V379" s="62"/>
      <c r="W379" s="62"/>
      <c r="X379" s="62"/>
      <c r="Y379" s="62"/>
      <c r="Z379" s="62"/>
      <c r="AA379" s="62"/>
      <c r="AB379" s="62"/>
      <c r="AC379" s="62"/>
      <c r="AD379" s="62"/>
      <c r="AE379" s="62"/>
      <c r="AF379" s="62"/>
      <c r="AG379" s="62"/>
      <c r="AH379" s="62"/>
      <c r="AI379" s="62"/>
      <c r="AJ379" s="62"/>
      <c r="AK379" s="62"/>
      <c r="AL379" s="62"/>
      <c r="AM379" s="62"/>
      <c r="AN379" s="62"/>
      <c r="AO379" s="62"/>
      <c r="AP379" s="62"/>
      <c r="AQ379" s="62"/>
      <c r="AR379" s="62"/>
      <c r="AS379" s="62"/>
      <c r="AT379" s="62"/>
      <c r="AU379" s="62"/>
      <c r="AV379" s="62"/>
      <c r="AW379" s="62"/>
      <c r="AX379" s="62"/>
    </row>
    <row r="380" spans="1:50" ht="14.25" customHeight="1" x14ac:dyDescent="0.3">
      <c r="A380" s="58"/>
      <c r="B380" s="58"/>
      <c r="C380" s="58"/>
      <c r="D380" s="58"/>
      <c r="E380" s="58"/>
      <c r="F380" s="58"/>
      <c r="G380" s="59"/>
      <c r="H380" s="60"/>
      <c r="I380" s="60"/>
      <c r="J380" s="59"/>
      <c r="K380" s="61"/>
      <c r="M380" s="62"/>
      <c r="N380" s="62"/>
      <c r="O380" s="62"/>
      <c r="P380" s="62"/>
      <c r="Q380" s="62"/>
      <c r="R380" s="62"/>
      <c r="S380" s="62"/>
      <c r="T380" s="62"/>
      <c r="U380" s="62"/>
      <c r="V380" s="62"/>
      <c r="W380" s="62"/>
      <c r="X380" s="62"/>
      <c r="Y380" s="62"/>
      <c r="Z380" s="62"/>
      <c r="AA380" s="62"/>
      <c r="AB380" s="62"/>
      <c r="AC380" s="62"/>
      <c r="AD380" s="62"/>
      <c r="AE380" s="62"/>
      <c r="AF380" s="62"/>
      <c r="AG380" s="62"/>
      <c r="AH380" s="62"/>
      <c r="AI380" s="62"/>
      <c r="AJ380" s="62"/>
      <c r="AK380" s="62"/>
      <c r="AL380" s="62"/>
      <c r="AM380" s="62"/>
      <c r="AN380" s="62"/>
      <c r="AO380" s="62"/>
      <c r="AP380" s="62"/>
      <c r="AQ380" s="62"/>
      <c r="AR380" s="62"/>
      <c r="AS380" s="62"/>
      <c r="AT380" s="62"/>
      <c r="AU380" s="62"/>
      <c r="AV380" s="62"/>
      <c r="AW380" s="62"/>
      <c r="AX380" s="62"/>
    </row>
    <row r="381" spans="1:50" ht="14.25" customHeight="1" x14ac:dyDescent="0.3">
      <c r="A381" s="58"/>
      <c r="B381" s="58"/>
      <c r="C381" s="58"/>
      <c r="D381" s="58"/>
      <c r="E381" s="58"/>
      <c r="F381" s="58"/>
      <c r="G381" s="59"/>
      <c r="H381" s="60"/>
      <c r="I381" s="60"/>
      <c r="J381" s="59"/>
      <c r="K381" s="61"/>
      <c r="M381" s="62"/>
      <c r="N381" s="62"/>
      <c r="O381" s="62"/>
      <c r="P381" s="62"/>
      <c r="Q381" s="62"/>
      <c r="R381" s="62"/>
      <c r="S381" s="62"/>
      <c r="T381" s="62"/>
      <c r="U381" s="62"/>
      <c r="V381" s="62"/>
      <c r="W381" s="62"/>
      <c r="X381" s="62"/>
      <c r="Y381" s="62"/>
      <c r="Z381" s="62"/>
      <c r="AA381" s="62"/>
      <c r="AB381" s="62"/>
      <c r="AC381" s="62"/>
      <c r="AD381" s="62"/>
      <c r="AE381" s="62"/>
      <c r="AF381" s="62"/>
      <c r="AG381" s="62"/>
      <c r="AH381" s="62"/>
      <c r="AI381" s="62"/>
      <c r="AJ381" s="62"/>
      <c r="AK381" s="62"/>
      <c r="AL381" s="62"/>
      <c r="AM381" s="62"/>
      <c r="AN381" s="62"/>
      <c r="AO381" s="62"/>
      <c r="AP381" s="62"/>
      <c r="AQ381" s="62"/>
      <c r="AR381" s="62"/>
      <c r="AS381" s="62"/>
      <c r="AT381" s="62"/>
      <c r="AU381" s="62"/>
      <c r="AV381" s="62"/>
      <c r="AW381" s="62"/>
      <c r="AX381" s="62"/>
    </row>
    <row r="382" spans="1:50" ht="14.25" customHeight="1" x14ac:dyDescent="0.3">
      <c r="A382" s="58"/>
      <c r="B382" s="58"/>
      <c r="C382" s="58"/>
      <c r="D382" s="58"/>
      <c r="E382" s="58"/>
      <c r="F382" s="58"/>
      <c r="G382" s="59"/>
      <c r="H382" s="60"/>
      <c r="I382" s="60"/>
      <c r="J382" s="59"/>
      <c r="K382" s="61"/>
      <c r="M382" s="62"/>
      <c r="N382" s="62"/>
      <c r="O382" s="62"/>
      <c r="P382" s="62"/>
      <c r="Q382" s="62"/>
      <c r="R382" s="62"/>
      <c r="S382" s="62"/>
      <c r="T382" s="62"/>
      <c r="U382" s="62"/>
      <c r="V382" s="62"/>
      <c r="W382" s="62"/>
      <c r="X382" s="62"/>
      <c r="Y382" s="62"/>
      <c r="Z382" s="62"/>
      <c r="AA382" s="62"/>
      <c r="AB382" s="62"/>
      <c r="AC382" s="62"/>
      <c r="AD382" s="62"/>
      <c r="AE382" s="62"/>
      <c r="AF382" s="62"/>
      <c r="AG382" s="62"/>
      <c r="AH382" s="62"/>
      <c r="AI382" s="62"/>
      <c r="AJ382" s="62"/>
      <c r="AK382" s="62"/>
      <c r="AL382" s="62"/>
      <c r="AM382" s="62"/>
      <c r="AN382" s="62"/>
      <c r="AO382" s="62"/>
      <c r="AP382" s="62"/>
      <c r="AQ382" s="62"/>
      <c r="AR382" s="62"/>
      <c r="AS382" s="62"/>
      <c r="AT382" s="62"/>
      <c r="AU382" s="62"/>
      <c r="AV382" s="62"/>
      <c r="AW382" s="62"/>
      <c r="AX382" s="62"/>
    </row>
    <row r="383" spans="1:50" ht="14.25" customHeight="1" x14ac:dyDescent="0.3">
      <c r="A383" s="58"/>
      <c r="B383" s="58"/>
      <c r="C383" s="58"/>
      <c r="D383" s="58"/>
      <c r="E383" s="58"/>
      <c r="F383" s="58"/>
      <c r="G383" s="59"/>
      <c r="H383" s="60"/>
      <c r="I383" s="60"/>
      <c r="J383" s="59"/>
      <c r="K383" s="61"/>
      <c r="M383" s="62"/>
      <c r="N383" s="62"/>
      <c r="O383" s="62"/>
      <c r="P383" s="62"/>
      <c r="Q383" s="62"/>
      <c r="R383" s="62"/>
      <c r="S383" s="62"/>
      <c r="T383" s="62"/>
      <c r="U383" s="62"/>
      <c r="V383" s="62"/>
      <c r="W383" s="62"/>
      <c r="X383" s="62"/>
      <c r="Y383" s="62"/>
      <c r="Z383" s="62"/>
      <c r="AA383" s="62"/>
      <c r="AB383" s="62"/>
      <c r="AC383" s="62"/>
      <c r="AD383" s="62"/>
      <c r="AE383" s="62"/>
      <c r="AF383" s="62"/>
      <c r="AG383" s="62"/>
      <c r="AH383" s="62"/>
      <c r="AI383" s="62"/>
      <c r="AJ383" s="62"/>
      <c r="AK383" s="62"/>
      <c r="AL383" s="62"/>
      <c r="AM383" s="62"/>
      <c r="AN383" s="62"/>
      <c r="AO383" s="62"/>
      <c r="AP383" s="62"/>
      <c r="AQ383" s="62"/>
      <c r="AR383" s="62"/>
      <c r="AS383" s="62"/>
      <c r="AT383" s="62"/>
      <c r="AU383" s="62"/>
      <c r="AV383" s="62"/>
      <c r="AW383" s="62"/>
      <c r="AX383" s="62"/>
    </row>
    <row r="384" spans="1:50" ht="14.25" customHeight="1" x14ac:dyDescent="0.3">
      <c r="A384" s="58"/>
      <c r="B384" s="58"/>
      <c r="C384" s="58"/>
      <c r="D384" s="58"/>
      <c r="E384" s="58"/>
      <c r="F384" s="58"/>
      <c r="G384" s="59"/>
      <c r="H384" s="60"/>
      <c r="I384" s="60"/>
      <c r="J384" s="59"/>
      <c r="K384" s="61"/>
      <c r="M384" s="62"/>
      <c r="N384" s="62"/>
      <c r="O384" s="62"/>
      <c r="P384" s="62"/>
      <c r="Q384" s="62"/>
      <c r="R384" s="62"/>
      <c r="S384" s="62"/>
      <c r="T384" s="62"/>
      <c r="U384" s="62"/>
      <c r="V384" s="62"/>
      <c r="W384" s="62"/>
      <c r="X384" s="62"/>
      <c r="Y384" s="62"/>
      <c r="Z384" s="62"/>
      <c r="AA384" s="62"/>
      <c r="AB384" s="62"/>
      <c r="AC384" s="62"/>
      <c r="AD384" s="62"/>
      <c r="AE384" s="62"/>
      <c r="AF384" s="62"/>
      <c r="AG384" s="62"/>
      <c r="AH384" s="62"/>
      <c r="AI384" s="62"/>
      <c r="AJ384" s="62"/>
      <c r="AK384" s="62"/>
      <c r="AL384" s="62"/>
      <c r="AM384" s="62"/>
      <c r="AN384" s="62"/>
      <c r="AO384" s="62"/>
      <c r="AP384" s="62"/>
      <c r="AQ384" s="62"/>
      <c r="AR384" s="62"/>
      <c r="AS384" s="62"/>
      <c r="AT384" s="62"/>
      <c r="AU384" s="62"/>
      <c r="AV384" s="62"/>
      <c r="AW384" s="62"/>
      <c r="AX384" s="62"/>
    </row>
    <row r="385" spans="1:50" ht="14.25" customHeight="1" x14ac:dyDescent="0.3">
      <c r="A385" s="58"/>
      <c r="B385" s="58"/>
      <c r="C385" s="58"/>
      <c r="D385" s="58"/>
      <c r="E385" s="58"/>
      <c r="F385" s="58"/>
      <c r="G385" s="59"/>
      <c r="H385" s="60"/>
      <c r="I385" s="60"/>
      <c r="J385" s="59"/>
      <c r="K385" s="61"/>
      <c r="M385" s="62"/>
      <c r="N385" s="62"/>
      <c r="O385" s="62"/>
      <c r="P385" s="62"/>
      <c r="Q385" s="62"/>
      <c r="R385" s="62"/>
      <c r="S385" s="62"/>
      <c r="T385" s="62"/>
      <c r="U385" s="62"/>
      <c r="V385" s="62"/>
      <c r="W385" s="62"/>
      <c r="X385" s="62"/>
      <c r="Y385" s="62"/>
      <c r="Z385" s="62"/>
      <c r="AA385" s="62"/>
      <c r="AB385" s="62"/>
      <c r="AC385" s="62"/>
      <c r="AD385" s="62"/>
      <c r="AE385" s="62"/>
      <c r="AF385" s="62"/>
      <c r="AG385" s="62"/>
      <c r="AH385" s="62"/>
      <c r="AI385" s="62"/>
      <c r="AJ385" s="62"/>
      <c r="AK385" s="62"/>
      <c r="AL385" s="62"/>
      <c r="AM385" s="62"/>
      <c r="AN385" s="62"/>
      <c r="AO385" s="62"/>
      <c r="AP385" s="62"/>
      <c r="AQ385" s="62"/>
      <c r="AR385" s="62"/>
      <c r="AS385" s="62"/>
      <c r="AT385" s="62"/>
      <c r="AU385" s="62"/>
      <c r="AV385" s="62"/>
      <c r="AW385" s="62"/>
      <c r="AX385" s="62"/>
    </row>
    <row r="386" spans="1:50" ht="14.25" customHeight="1" x14ac:dyDescent="0.3">
      <c r="A386" s="58"/>
      <c r="B386" s="58"/>
      <c r="C386" s="58"/>
      <c r="D386" s="58"/>
      <c r="E386" s="58"/>
      <c r="F386" s="58"/>
      <c r="G386" s="59"/>
      <c r="H386" s="60"/>
      <c r="I386" s="60"/>
      <c r="J386" s="59"/>
      <c r="K386" s="61"/>
      <c r="M386" s="62"/>
      <c r="N386" s="62"/>
      <c r="O386" s="62"/>
      <c r="P386" s="62"/>
      <c r="Q386" s="62"/>
      <c r="R386" s="62"/>
      <c r="S386" s="62"/>
      <c r="T386" s="62"/>
      <c r="U386" s="62"/>
      <c r="V386" s="62"/>
      <c r="W386" s="62"/>
      <c r="X386" s="62"/>
      <c r="Y386" s="62"/>
      <c r="Z386" s="62"/>
      <c r="AA386" s="62"/>
      <c r="AB386" s="62"/>
      <c r="AC386" s="62"/>
      <c r="AD386" s="62"/>
      <c r="AE386" s="62"/>
      <c r="AF386" s="62"/>
      <c r="AG386" s="62"/>
      <c r="AH386" s="62"/>
      <c r="AI386" s="62"/>
      <c r="AJ386" s="62"/>
      <c r="AK386" s="62"/>
      <c r="AL386" s="62"/>
      <c r="AM386" s="62"/>
      <c r="AN386" s="62"/>
      <c r="AO386" s="62"/>
      <c r="AP386" s="62"/>
      <c r="AQ386" s="62"/>
      <c r="AR386" s="62"/>
      <c r="AS386" s="62"/>
      <c r="AT386" s="62"/>
      <c r="AU386" s="62"/>
      <c r="AV386" s="62"/>
      <c r="AW386" s="62"/>
      <c r="AX386" s="62"/>
    </row>
    <row r="387" spans="1:50" ht="14.25" customHeight="1" x14ac:dyDescent="0.3">
      <c r="A387" s="58"/>
      <c r="B387" s="58"/>
      <c r="C387" s="58"/>
      <c r="D387" s="58"/>
      <c r="E387" s="58"/>
      <c r="F387" s="58"/>
      <c r="G387" s="59"/>
      <c r="H387" s="60"/>
      <c r="I387" s="60"/>
      <c r="J387" s="59"/>
      <c r="K387" s="61"/>
      <c r="M387" s="62"/>
      <c r="N387" s="62"/>
      <c r="O387" s="62"/>
      <c r="P387" s="62"/>
      <c r="Q387" s="62"/>
      <c r="R387" s="62"/>
      <c r="S387" s="62"/>
      <c r="T387" s="62"/>
      <c r="U387" s="62"/>
      <c r="V387" s="62"/>
      <c r="W387" s="62"/>
      <c r="X387" s="62"/>
      <c r="Y387" s="62"/>
      <c r="Z387" s="62"/>
      <c r="AA387" s="62"/>
      <c r="AB387" s="62"/>
      <c r="AC387" s="62"/>
      <c r="AD387" s="62"/>
      <c r="AE387" s="62"/>
      <c r="AF387" s="62"/>
      <c r="AG387" s="62"/>
      <c r="AH387" s="62"/>
      <c r="AI387" s="62"/>
      <c r="AJ387" s="62"/>
      <c r="AK387" s="62"/>
      <c r="AL387" s="62"/>
      <c r="AM387" s="62"/>
      <c r="AN387" s="62"/>
      <c r="AO387" s="62"/>
      <c r="AP387" s="62"/>
      <c r="AQ387" s="62"/>
      <c r="AR387" s="62"/>
      <c r="AS387" s="62"/>
      <c r="AT387" s="62"/>
      <c r="AU387" s="62"/>
      <c r="AV387" s="62"/>
      <c r="AW387" s="62"/>
      <c r="AX387" s="62"/>
    </row>
    <row r="388" spans="1:50" ht="14.25" customHeight="1" x14ac:dyDescent="0.3">
      <c r="A388" s="58"/>
      <c r="B388" s="58"/>
      <c r="C388" s="58"/>
      <c r="D388" s="58"/>
      <c r="E388" s="58"/>
      <c r="F388" s="58"/>
      <c r="G388" s="59"/>
      <c r="H388" s="60"/>
      <c r="I388" s="60"/>
      <c r="J388" s="59"/>
      <c r="K388" s="61"/>
      <c r="M388" s="62"/>
      <c r="N388" s="62"/>
      <c r="O388" s="62"/>
      <c r="P388" s="62"/>
      <c r="Q388" s="62"/>
      <c r="R388" s="62"/>
      <c r="S388" s="62"/>
      <c r="T388" s="62"/>
      <c r="U388" s="62"/>
      <c r="V388" s="62"/>
      <c r="W388" s="62"/>
      <c r="X388" s="62"/>
      <c r="Y388" s="62"/>
      <c r="Z388" s="62"/>
      <c r="AA388" s="62"/>
      <c r="AB388" s="62"/>
      <c r="AC388" s="62"/>
      <c r="AD388" s="62"/>
      <c r="AE388" s="62"/>
      <c r="AF388" s="62"/>
      <c r="AG388" s="62"/>
      <c r="AH388" s="62"/>
      <c r="AI388" s="62"/>
      <c r="AJ388" s="62"/>
      <c r="AK388" s="62"/>
      <c r="AL388" s="62"/>
      <c r="AM388" s="62"/>
      <c r="AN388" s="62"/>
      <c r="AO388" s="62"/>
      <c r="AP388" s="62"/>
      <c r="AQ388" s="62"/>
      <c r="AR388" s="62"/>
      <c r="AS388" s="62"/>
      <c r="AT388" s="62"/>
      <c r="AU388" s="62"/>
      <c r="AV388" s="62"/>
      <c r="AW388" s="62"/>
      <c r="AX388" s="62"/>
    </row>
    <row r="389" spans="1:50" ht="14.25" customHeight="1" x14ac:dyDescent="0.3">
      <c r="A389" s="58"/>
      <c r="B389" s="58"/>
      <c r="C389" s="58"/>
      <c r="D389" s="58"/>
      <c r="E389" s="58"/>
      <c r="F389" s="58"/>
      <c r="G389" s="59"/>
      <c r="H389" s="60"/>
      <c r="I389" s="60"/>
      <c r="J389" s="59"/>
      <c r="K389" s="61"/>
      <c r="M389" s="62"/>
      <c r="N389" s="62"/>
      <c r="O389" s="62"/>
      <c r="P389" s="62"/>
      <c r="Q389" s="62"/>
      <c r="R389" s="62"/>
      <c r="S389" s="62"/>
      <c r="T389" s="62"/>
      <c r="U389" s="62"/>
      <c r="V389" s="62"/>
      <c r="W389" s="62"/>
      <c r="X389" s="62"/>
      <c r="Y389" s="62"/>
      <c r="Z389" s="62"/>
      <c r="AA389" s="62"/>
      <c r="AB389" s="62"/>
      <c r="AC389" s="62"/>
      <c r="AD389" s="62"/>
      <c r="AE389" s="62"/>
      <c r="AF389" s="62"/>
      <c r="AG389" s="62"/>
      <c r="AH389" s="62"/>
      <c r="AI389" s="62"/>
      <c r="AJ389" s="62"/>
      <c r="AK389" s="62"/>
      <c r="AL389" s="62"/>
      <c r="AM389" s="62"/>
      <c r="AN389" s="62"/>
      <c r="AO389" s="62"/>
      <c r="AP389" s="62"/>
      <c r="AQ389" s="62"/>
      <c r="AR389" s="62"/>
      <c r="AS389" s="62"/>
      <c r="AT389" s="62"/>
      <c r="AU389" s="62"/>
      <c r="AV389" s="62"/>
      <c r="AW389" s="62"/>
      <c r="AX389" s="62"/>
    </row>
    <row r="390" spans="1:50" ht="14.25" customHeight="1" x14ac:dyDescent="0.3">
      <c r="A390" s="58"/>
      <c r="B390" s="58"/>
      <c r="C390" s="58"/>
      <c r="D390" s="58"/>
      <c r="E390" s="58"/>
      <c r="F390" s="58"/>
      <c r="G390" s="59"/>
      <c r="H390" s="60"/>
      <c r="I390" s="60"/>
      <c r="J390" s="59"/>
      <c r="K390" s="61"/>
      <c r="M390" s="62"/>
      <c r="N390" s="62"/>
      <c r="O390" s="62"/>
      <c r="P390" s="62"/>
      <c r="Q390" s="62"/>
      <c r="R390" s="62"/>
      <c r="S390" s="62"/>
      <c r="T390" s="62"/>
      <c r="U390" s="62"/>
      <c r="V390" s="62"/>
      <c r="W390" s="62"/>
      <c r="X390" s="62"/>
      <c r="Y390" s="62"/>
      <c r="Z390" s="62"/>
      <c r="AA390" s="62"/>
      <c r="AB390" s="62"/>
      <c r="AC390" s="62"/>
      <c r="AD390" s="62"/>
      <c r="AE390" s="62"/>
      <c r="AF390" s="62"/>
      <c r="AG390" s="62"/>
      <c r="AH390" s="62"/>
      <c r="AI390" s="62"/>
      <c r="AJ390" s="62"/>
      <c r="AK390" s="62"/>
      <c r="AL390" s="62"/>
      <c r="AM390" s="62"/>
      <c r="AN390" s="62"/>
      <c r="AO390" s="62"/>
      <c r="AP390" s="62"/>
      <c r="AQ390" s="62"/>
      <c r="AR390" s="62"/>
      <c r="AS390" s="62"/>
      <c r="AT390" s="62"/>
      <c r="AU390" s="62"/>
      <c r="AV390" s="62"/>
      <c r="AW390" s="62"/>
      <c r="AX390" s="62"/>
    </row>
    <row r="391" spans="1:50" ht="14.25" customHeight="1" x14ac:dyDescent="0.3">
      <c r="A391" s="58"/>
      <c r="B391" s="58"/>
      <c r="C391" s="58"/>
      <c r="D391" s="58"/>
      <c r="E391" s="58"/>
      <c r="F391" s="58"/>
      <c r="G391" s="59"/>
      <c r="H391" s="60"/>
      <c r="I391" s="60"/>
      <c r="J391" s="59"/>
      <c r="K391" s="61"/>
      <c r="M391" s="62"/>
      <c r="N391" s="62"/>
      <c r="O391" s="62"/>
      <c r="P391" s="62"/>
      <c r="Q391" s="62"/>
      <c r="R391" s="62"/>
      <c r="S391" s="62"/>
      <c r="T391" s="62"/>
      <c r="U391" s="62"/>
      <c r="V391" s="62"/>
      <c r="W391" s="62"/>
      <c r="X391" s="62"/>
      <c r="Y391" s="62"/>
      <c r="Z391" s="62"/>
      <c r="AA391" s="62"/>
      <c r="AB391" s="62"/>
      <c r="AC391" s="62"/>
      <c r="AD391" s="62"/>
      <c r="AE391" s="62"/>
      <c r="AF391" s="62"/>
      <c r="AG391" s="62"/>
      <c r="AH391" s="62"/>
      <c r="AI391" s="62"/>
      <c r="AJ391" s="62"/>
      <c r="AK391" s="62"/>
      <c r="AL391" s="62"/>
      <c r="AM391" s="62"/>
      <c r="AN391" s="62"/>
      <c r="AO391" s="62"/>
      <c r="AP391" s="62"/>
      <c r="AQ391" s="62"/>
      <c r="AR391" s="62"/>
      <c r="AS391" s="62"/>
      <c r="AT391" s="62"/>
      <c r="AU391" s="62"/>
      <c r="AV391" s="62"/>
      <c r="AW391" s="62"/>
      <c r="AX391" s="62"/>
    </row>
    <row r="392" spans="1:50" ht="14.25" customHeight="1" x14ac:dyDescent="0.3">
      <c r="A392" s="58"/>
      <c r="B392" s="58"/>
      <c r="C392" s="58"/>
      <c r="D392" s="58"/>
      <c r="E392" s="58"/>
      <c r="F392" s="58"/>
      <c r="G392" s="59"/>
      <c r="H392" s="60"/>
      <c r="I392" s="60"/>
      <c r="J392" s="59"/>
      <c r="K392" s="61"/>
      <c r="M392" s="62"/>
      <c r="N392" s="62"/>
      <c r="O392" s="62"/>
      <c r="P392" s="62"/>
      <c r="Q392" s="62"/>
      <c r="R392" s="62"/>
      <c r="S392" s="62"/>
      <c r="T392" s="62"/>
      <c r="U392" s="62"/>
      <c r="V392" s="62"/>
      <c r="W392" s="62"/>
      <c r="X392" s="62"/>
      <c r="Y392" s="62"/>
      <c r="Z392" s="62"/>
      <c r="AA392" s="62"/>
      <c r="AB392" s="62"/>
      <c r="AC392" s="62"/>
      <c r="AD392" s="62"/>
      <c r="AE392" s="62"/>
      <c r="AF392" s="62"/>
      <c r="AG392" s="62"/>
      <c r="AH392" s="62"/>
      <c r="AI392" s="62"/>
      <c r="AJ392" s="62"/>
      <c r="AK392" s="62"/>
      <c r="AL392" s="62"/>
      <c r="AM392" s="62"/>
      <c r="AN392" s="62"/>
      <c r="AO392" s="62"/>
      <c r="AP392" s="62"/>
      <c r="AQ392" s="62"/>
      <c r="AR392" s="62"/>
      <c r="AS392" s="62"/>
      <c r="AT392" s="62"/>
      <c r="AU392" s="62"/>
      <c r="AV392" s="62"/>
      <c r="AW392" s="62"/>
      <c r="AX392" s="62"/>
    </row>
    <row r="393" spans="1:50" ht="14.25" customHeight="1" x14ac:dyDescent="0.3">
      <c r="A393" s="58"/>
      <c r="B393" s="58"/>
      <c r="C393" s="58"/>
      <c r="D393" s="58"/>
      <c r="E393" s="58"/>
      <c r="F393" s="58"/>
      <c r="G393" s="59"/>
      <c r="H393" s="60"/>
      <c r="I393" s="60"/>
      <c r="J393" s="59"/>
      <c r="K393" s="61"/>
      <c r="M393" s="62"/>
      <c r="N393" s="62"/>
      <c r="O393" s="62"/>
      <c r="P393" s="62"/>
      <c r="Q393" s="62"/>
      <c r="R393" s="62"/>
      <c r="S393" s="62"/>
      <c r="T393" s="62"/>
      <c r="U393" s="62"/>
      <c r="V393" s="62"/>
      <c r="W393" s="62"/>
      <c r="X393" s="62"/>
      <c r="Y393" s="62"/>
      <c r="Z393" s="62"/>
      <c r="AA393" s="62"/>
      <c r="AB393" s="62"/>
      <c r="AC393" s="62"/>
      <c r="AD393" s="62"/>
      <c r="AE393" s="62"/>
      <c r="AF393" s="62"/>
      <c r="AG393" s="62"/>
      <c r="AH393" s="62"/>
      <c r="AI393" s="62"/>
      <c r="AJ393" s="62"/>
      <c r="AK393" s="62"/>
      <c r="AL393" s="62"/>
      <c r="AM393" s="62"/>
      <c r="AN393" s="62"/>
      <c r="AO393" s="62"/>
      <c r="AP393" s="62"/>
      <c r="AQ393" s="62"/>
      <c r="AR393" s="62"/>
      <c r="AS393" s="62"/>
      <c r="AT393" s="62"/>
      <c r="AU393" s="62"/>
      <c r="AV393" s="62"/>
      <c r="AW393" s="62"/>
      <c r="AX393" s="62"/>
    </row>
    <row r="394" spans="1:50" ht="14.25" customHeight="1" x14ac:dyDescent="0.3">
      <c r="A394" s="58"/>
      <c r="B394" s="58"/>
      <c r="C394" s="58"/>
      <c r="D394" s="58"/>
      <c r="E394" s="58"/>
      <c r="F394" s="58"/>
      <c r="G394" s="59"/>
      <c r="H394" s="60"/>
      <c r="I394" s="60"/>
      <c r="J394" s="59"/>
      <c r="K394" s="61"/>
      <c r="M394" s="62"/>
      <c r="N394" s="62"/>
      <c r="O394" s="62"/>
      <c r="P394" s="62"/>
      <c r="Q394" s="62"/>
      <c r="R394" s="62"/>
      <c r="S394" s="62"/>
      <c r="T394" s="62"/>
      <c r="U394" s="62"/>
      <c r="V394" s="62"/>
      <c r="W394" s="62"/>
      <c r="X394" s="62"/>
      <c r="Y394" s="62"/>
      <c r="Z394" s="62"/>
      <c r="AA394" s="62"/>
      <c r="AB394" s="62"/>
      <c r="AC394" s="62"/>
      <c r="AD394" s="62"/>
      <c r="AE394" s="62"/>
      <c r="AF394" s="62"/>
      <c r="AG394" s="62"/>
      <c r="AH394" s="62"/>
      <c r="AI394" s="62"/>
      <c r="AJ394" s="62"/>
      <c r="AK394" s="62"/>
      <c r="AL394" s="62"/>
      <c r="AM394" s="62"/>
      <c r="AN394" s="62"/>
      <c r="AO394" s="62"/>
      <c r="AP394" s="62"/>
      <c r="AQ394" s="62"/>
      <c r="AR394" s="62"/>
      <c r="AS394" s="62"/>
      <c r="AT394" s="62"/>
      <c r="AU394" s="62"/>
      <c r="AV394" s="62"/>
      <c r="AW394" s="62"/>
      <c r="AX394" s="62"/>
    </row>
    <row r="395" spans="1:50" ht="14.25" customHeight="1" x14ac:dyDescent="0.3">
      <c r="A395" s="58"/>
      <c r="B395" s="58"/>
      <c r="C395" s="58"/>
      <c r="D395" s="58"/>
      <c r="E395" s="58"/>
      <c r="F395" s="58"/>
      <c r="G395" s="59"/>
      <c r="H395" s="60"/>
      <c r="I395" s="60"/>
      <c r="J395" s="59"/>
      <c r="K395" s="61"/>
      <c r="M395" s="62"/>
      <c r="N395" s="62"/>
      <c r="O395" s="62"/>
      <c r="P395" s="62"/>
      <c r="Q395" s="62"/>
      <c r="R395" s="62"/>
      <c r="S395" s="62"/>
      <c r="T395" s="62"/>
      <c r="U395" s="62"/>
      <c r="V395" s="62"/>
      <c r="W395" s="62"/>
      <c r="X395" s="62"/>
      <c r="Y395" s="62"/>
      <c r="Z395" s="62"/>
      <c r="AA395" s="62"/>
      <c r="AB395" s="62"/>
      <c r="AC395" s="62"/>
      <c r="AD395" s="62"/>
      <c r="AE395" s="62"/>
      <c r="AF395" s="62"/>
      <c r="AG395" s="62"/>
      <c r="AH395" s="62"/>
      <c r="AI395" s="62"/>
      <c r="AJ395" s="62"/>
      <c r="AK395" s="62"/>
      <c r="AL395" s="62"/>
      <c r="AM395" s="62"/>
      <c r="AN395" s="62"/>
      <c r="AO395" s="62"/>
      <c r="AP395" s="62"/>
      <c r="AQ395" s="62"/>
      <c r="AR395" s="62"/>
      <c r="AS395" s="62"/>
      <c r="AT395" s="62"/>
      <c r="AU395" s="62"/>
      <c r="AV395" s="62"/>
      <c r="AW395" s="62"/>
      <c r="AX395" s="62"/>
    </row>
    <row r="396" spans="1:50" ht="14.25" customHeight="1" x14ac:dyDescent="0.3">
      <c r="A396" s="58"/>
      <c r="B396" s="58"/>
      <c r="C396" s="58"/>
      <c r="D396" s="58"/>
      <c r="E396" s="58"/>
      <c r="F396" s="58"/>
      <c r="G396" s="59"/>
      <c r="H396" s="60"/>
      <c r="I396" s="60"/>
      <c r="J396" s="59"/>
      <c r="K396" s="61"/>
      <c r="M396" s="62"/>
      <c r="N396" s="62"/>
      <c r="O396" s="62"/>
      <c r="P396" s="62"/>
      <c r="Q396" s="62"/>
      <c r="R396" s="62"/>
      <c r="S396" s="62"/>
      <c r="T396" s="62"/>
      <c r="U396" s="62"/>
      <c r="V396" s="62"/>
      <c r="W396" s="62"/>
      <c r="X396" s="62"/>
      <c r="Y396" s="62"/>
      <c r="Z396" s="62"/>
      <c r="AA396" s="62"/>
      <c r="AB396" s="62"/>
      <c r="AC396" s="62"/>
      <c r="AD396" s="62"/>
      <c r="AE396" s="62"/>
      <c r="AF396" s="62"/>
      <c r="AG396" s="62"/>
      <c r="AH396" s="62"/>
      <c r="AI396" s="62"/>
      <c r="AJ396" s="62"/>
      <c r="AK396" s="62"/>
      <c r="AL396" s="62"/>
      <c r="AM396" s="62"/>
      <c r="AN396" s="62"/>
      <c r="AO396" s="62"/>
      <c r="AP396" s="62"/>
      <c r="AQ396" s="62"/>
      <c r="AR396" s="62"/>
      <c r="AS396" s="62"/>
      <c r="AT396" s="62"/>
      <c r="AU396" s="62"/>
      <c r="AV396" s="62"/>
      <c r="AW396" s="62"/>
      <c r="AX396" s="62"/>
    </row>
    <row r="397" spans="1:50" ht="14.25" customHeight="1" x14ac:dyDescent="0.3">
      <c r="A397" s="58"/>
      <c r="B397" s="58"/>
      <c r="C397" s="58"/>
      <c r="D397" s="58"/>
      <c r="E397" s="58"/>
      <c r="F397" s="58"/>
      <c r="G397" s="59"/>
      <c r="H397" s="60"/>
      <c r="I397" s="60"/>
      <c r="J397" s="59"/>
      <c r="K397" s="61"/>
      <c r="M397" s="62"/>
      <c r="N397" s="62"/>
      <c r="O397" s="62"/>
      <c r="P397" s="62"/>
      <c r="Q397" s="62"/>
      <c r="R397" s="62"/>
      <c r="S397" s="62"/>
      <c r="T397" s="62"/>
      <c r="U397" s="62"/>
      <c r="V397" s="62"/>
      <c r="W397" s="62"/>
      <c r="X397" s="62"/>
      <c r="Y397" s="62"/>
      <c r="Z397" s="62"/>
      <c r="AA397" s="62"/>
      <c r="AB397" s="62"/>
      <c r="AC397" s="62"/>
      <c r="AD397" s="62"/>
      <c r="AE397" s="62"/>
      <c r="AF397" s="62"/>
      <c r="AG397" s="62"/>
      <c r="AH397" s="62"/>
      <c r="AI397" s="62"/>
      <c r="AJ397" s="62"/>
      <c r="AK397" s="62"/>
      <c r="AL397" s="62"/>
      <c r="AM397" s="62"/>
      <c r="AN397" s="62"/>
      <c r="AO397" s="62"/>
      <c r="AP397" s="62"/>
      <c r="AQ397" s="62"/>
      <c r="AR397" s="62"/>
      <c r="AS397" s="62"/>
      <c r="AT397" s="62"/>
      <c r="AU397" s="62"/>
      <c r="AV397" s="62"/>
      <c r="AW397" s="62"/>
      <c r="AX397" s="62"/>
    </row>
    <row r="398" spans="1:50" ht="14.25" customHeight="1" x14ac:dyDescent="0.3">
      <c r="A398" s="58"/>
      <c r="B398" s="58"/>
      <c r="C398" s="58"/>
      <c r="D398" s="58"/>
      <c r="E398" s="58"/>
      <c r="F398" s="58"/>
      <c r="G398" s="59"/>
      <c r="H398" s="60"/>
      <c r="I398" s="60"/>
      <c r="J398" s="59"/>
      <c r="K398" s="61"/>
      <c r="M398" s="62"/>
      <c r="N398" s="62"/>
      <c r="O398" s="62"/>
      <c r="P398" s="62"/>
      <c r="Q398" s="62"/>
      <c r="R398" s="62"/>
      <c r="S398" s="62"/>
      <c r="T398" s="62"/>
      <c r="U398" s="62"/>
      <c r="V398" s="62"/>
      <c r="W398" s="62"/>
      <c r="X398" s="62"/>
      <c r="Y398" s="62"/>
      <c r="Z398" s="62"/>
      <c r="AA398" s="62"/>
      <c r="AB398" s="62"/>
      <c r="AC398" s="62"/>
      <c r="AD398" s="62"/>
      <c r="AE398" s="62"/>
      <c r="AF398" s="62"/>
      <c r="AG398" s="62"/>
      <c r="AH398" s="62"/>
      <c r="AI398" s="62"/>
      <c r="AJ398" s="62"/>
      <c r="AK398" s="62"/>
      <c r="AL398" s="62"/>
      <c r="AM398" s="62"/>
      <c r="AN398" s="62"/>
      <c r="AO398" s="62"/>
      <c r="AP398" s="62"/>
      <c r="AQ398" s="62"/>
      <c r="AR398" s="62"/>
      <c r="AS398" s="62"/>
      <c r="AT398" s="62"/>
      <c r="AU398" s="62"/>
      <c r="AV398" s="62"/>
      <c r="AW398" s="62"/>
      <c r="AX398" s="62"/>
    </row>
    <row r="399" spans="1:50" ht="14.25" customHeight="1" x14ac:dyDescent="0.3">
      <c r="A399" s="58"/>
      <c r="B399" s="58"/>
      <c r="C399" s="58"/>
      <c r="D399" s="58"/>
      <c r="E399" s="58"/>
      <c r="F399" s="58"/>
      <c r="G399" s="59"/>
      <c r="H399" s="60"/>
      <c r="I399" s="60"/>
      <c r="J399" s="59"/>
      <c r="K399" s="61"/>
      <c r="M399" s="62"/>
      <c r="N399" s="62"/>
      <c r="O399" s="62"/>
      <c r="P399" s="62"/>
      <c r="Q399" s="62"/>
      <c r="R399" s="62"/>
      <c r="S399" s="62"/>
      <c r="T399" s="62"/>
      <c r="U399" s="62"/>
      <c r="V399" s="62"/>
      <c r="W399" s="62"/>
      <c r="X399" s="62"/>
      <c r="Y399" s="62"/>
      <c r="Z399" s="62"/>
      <c r="AA399" s="62"/>
      <c r="AB399" s="62"/>
      <c r="AC399" s="62"/>
      <c r="AD399" s="62"/>
      <c r="AE399" s="62"/>
      <c r="AF399" s="62"/>
      <c r="AG399" s="62"/>
      <c r="AH399" s="62"/>
      <c r="AI399" s="62"/>
      <c r="AJ399" s="62"/>
      <c r="AK399" s="62"/>
      <c r="AL399" s="62"/>
      <c r="AM399" s="62"/>
      <c r="AN399" s="62"/>
      <c r="AO399" s="62"/>
      <c r="AP399" s="62"/>
      <c r="AQ399" s="62"/>
      <c r="AR399" s="62"/>
      <c r="AS399" s="62"/>
      <c r="AT399" s="62"/>
      <c r="AU399" s="62"/>
      <c r="AV399" s="62"/>
      <c r="AW399" s="62"/>
      <c r="AX399" s="62"/>
    </row>
    <row r="400" spans="1:50" ht="14.25" customHeight="1" x14ac:dyDescent="0.3">
      <c r="A400" s="58"/>
      <c r="B400" s="58"/>
      <c r="C400" s="58"/>
      <c r="D400" s="58"/>
      <c r="E400" s="58"/>
      <c r="F400" s="58"/>
      <c r="G400" s="59"/>
      <c r="H400" s="60"/>
      <c r="I400" s="60"/>
      <c r="J400" s="59"/>
      <c r="K400" s="61"/>
      <c r="M400" s="62"/>
      <c r="N400" s="62"/>
      <c r="O400" s="62"/>
      <c r="P400" s="62"/>
      <c r="Q400" s="62"/>
      <c r="R400" s="62"/>
      <c r="S400" s="62"/>
      <c r="T400" s="62"/>
      <c r="U400" s="62"/>
      <c r="V400" s="62"/>
      <c r="W400" s="62"/>
      <c r="X400" s="62"/>
      <c r="Y400" s="62"/>
      <c r="Z400" s="62"/>
      <c r="AA400" s="62"/>
      <c r="AB400" s="62"/>
      <c r="AC400" s="62"/>
      <c r="AD400" s="62"/>
      <c r="AE400" s="62"/>
      <c r="AF400" s="62"/>
      <c r="AG400" s="62"/>
      <c r="AH400" s="62"/>
      <c r="AI400" s="62"/>
      <c r="AJ400" s="62"/>
      <c r="AK400" s="62"/>
      <c r="AL400" s="62"/>
      <c r="AM400" s="62"/>
      <c r="AN400" s="62"/>
      <c r="AO400" s="62"/>
      <c r="AP400" s="62"/>
      <c r="AQ400" s="62"/>
      <c r="AR400" s="62"/>
      <c r="AS400" s="62"/>
      <c r="AT400" s="62"/>
      <c r="AU400" s="62"/>
      <c r="AV400" s="62"/>
      <c r="AW400" s="62"/>
      <c r="AX400" s="62"/>
    </row>
    <row r="401" spans="1:50" ht="14.25" customHeight="1" x14ac:dyDescent="0.3">
      <c r="A401" s="58"/>
      <c r="B401" s="58"/>
      <c r="C401" s="58"/>
      <c r="D401" s="58"/>
      <c r="E401" s="58"/>
      <c r="F401" s="58"/>
      <c r="G401" s="59"/>
      <c r="H401" s="60"/>
      <c r="I401" s="60"/>
      <c r="J401" s="59"/>
      <c r="K401" s="61"/>
      <c r="M401" s="62"/>
      <c r="N401" s="62"/>
      <c r="O401" s="62"/>
      <c r="P401" s="62"/>
      <c r="Q401" s="62"/>
      <c r="R401" s="62"/>
      <c r="S401" s="62"/>
      <c r="T401" s="62"/>
      <c r="U401" s="62"/>
      <c r="V401" s="62"/>
      <c r="W401" s="62"/>
      <c r="X401" s="62"/>
      <c r="Y401" s="62"/>
      <c r="Z401" s="62"/>
      <c r="AA401" s="62"/>
      <c r="AB401" s="62"/>
      <c r="AC401" s="62"/>
      <c r="AD401" s="62"/>
      <c r="AE401" s="62"/>
      <c r="AF401" s="62"/>
      <c r="AG401" s="62"/>
      <c r="AH401" s="62"/>
      <c r="AI401" s="62"/>
      <c r="AJ401" s="62"/>
      <c r="AK401" s="62"/>
      <c r="AL401" s="62"/>
      <c r="AM401" s="62"/>
      <c r="AN401" s="62"/>
      <c r="AO401" s="62"/>
      <c r="AP401" s="62"/>
      <c r="AQ401" s="62"/>
      <c r="AR401" s="62"/>
      <c r="AS401" s="62"/>
      <c r="AT401" s="62"/>
      <c r="AU401" s="62"/>
      <c r="AV401" s="62"/>
      <c r="AW401" s="62"/>
      <c r="AX401" s="62"/>
    </row>
    <row r="402" spans="1:50" ht="14.25" customHeight="1" x14ac:dyDescent="0.3">
      <c r="A402" s="58"/>
      <c r="B402" s="58"/>
      <c r="C402" s="58"/>
      <c r="D402" s="58"/>
      <c r="E402" s="58"/>
      <c r="F402" s="58"/>
      <c r="G402" s="59"/>
      <c r="H402" s="60"/>
      <c r="I402" s="60"/>
      <c r="J402" s="59"/>
      <c r="K402" s="61"/>
      <c r="M402" s="62"/>
      <c r="N402" s="62"/>
      <c r="O402" s="62"/>
      <c r="P402" s="62"/>
      <c r="Q402" s="62"/>
      <c r="R402" s="62"/>
      <c r="S402" s="62"/>
      <c r="T402" s="62"/>
      <c r="U402" s="62"/>
      <c r="V402" s="62"/>
      <c r="W402" s="62"/>
      <c r="X402" s="62"/>
      <c r="Y402" s="62"/>
      <c r="Z402" s="62"/>
      <c r="AA402" s="62"/>
      <c r="AB402" s="62"/>
      <c r="AC402" s="62"/>
      <c r="AD402" s="62"/>
      <c r="AE402" s="62"/>
      <c r="AF402" s="62"/>
      <c r="AG402" s="62"/>
      <c r="AH402" s="62"/>
      <c r="AI402" s="62"/>
      <c r="AJ402" s="62"/>
      <c r="AK402" s="62"/>
      <c r="AL402" s="62"/>
      <c r="AM402" s="62"/>
      <c r="AN402" s="62"/>
      <c r="AO402" s="62"/>
      <c r="AP402" s="62"/>
      <c r="AQ402" s="62"/>
      <c r="AR402" s="62"/>
      <c r="AS402" s="62"/>
      <c r="AT402" s="62"/>
      <c r="AU402" s="62"/>
      <c r="AV402" s="62"/>
      <c r="AW402" s="62"/>
      <c r="AX402" s="62"/>
    </row>
    <row r="403" spans="1:50" ht="14.25" customHeight="1" x14ac:dyDescent="0.3">
      <c r="A403" s="58"/>
      <c r="B403" s="58"/>
      <c r="C403" s="58"/>
      <c r="D403" s="58"/>
      <c r="E403" s="58"/>
      <c r="F403" s="58"/>
      <c r="G403" s="59"/>
      <c r="H403" s="60"/>
      <c r="I403" s="60"/>
      <c r="J403" s="59"/>
      <c r="K403" s="61"/>
      <c r="M403" s="62"/>
      <c r="N403" s="62"/>
      <c r="O403" s="62"/>
      <c r="P403" s="62"/>
      <c r="Q403" s="62"/>
      <c r="R403" s="62"/>
      <c r="S403" s="62"/>
      <c r="T403" s="62"/>
      <c r="U403" s="62"/>
      <c r="V403" s="62"/>
      <c r="W403" s="62"/>
      <c r="X403" s="62"/>
      <c r="Y403" s="62"/>
      <c r="Z403" s="62"/>
      <c r="AA403" s="62"/>
      <c r="AB403" s="62"/>
      <c r="AC403" s="62"/>
      <c r="AD403" s="62"/>
      <c r="AE403" s="62"/>
      <c r="AF403" s="62"/>
      <c r="AG403" s="62"/>
      <c r="AH403" s="62"/>
      <c r="AI403" s="62"/>
      <c r="AJ403" s="62"/>
      <c r="AK403" s="62"/>
      <c r="AL403" s="62"/>
      <c r="AM403" s="62"/>
      <c r="AN403" s="62"/>
      <c r="AO403" s="62"/>
      <c r="AP403" s="62"/>
      <c r="AQ403" s="62"/>
      <c r="AR403" s="62"/>
      <c r="AS403" s="62"/>
      <c r="AT403" s="62"/>
      <c r="AU403" s="62"/>
      <c r="AV403" s="62"/>
      <c r="AW403" s="62"/>
      <c r="AX403" s="62"/>
    </row>
    <row r="404" spans="1:50" ht="14.25" customHeight="1" x14ac:dyDescent="0.3">
      <c r="A404" s="58"/>
      <c r="B404" s="58"/>
      <c r="C404" s="58"/>
      <c r="D404" s="58"/>
      <c r="E404" s="58"/>
      <c r="F404" s="58"/>
      <c r="G404" s="59"/>
      <c r="H404" s="60"/>
      <c r="I404" s="60"/>
      <c r="J404" s="59"/>
      <c r="K404" s="61"/>
      <c r="M404" s="62"/>
      <c r="N404" s="62"/>
      <c r="O404" s="62"/>
      <c r="P404" s="62"/>
      <c r="Q404" s="62"/>
      <c r="R404" s="62"/>
      <c r="S404" s="62"/>
      <c r="T404" s="62"/>
      <c r="U404" s="62"/>
      <c r="V404" s="62"/>
      <c r="W404" s="62"/>
      <c r="X404" s="62"/>
      <c r="Y404" s="62"/>
      <c r="Z404" s="62"/>
      <c r="AA404" s="62"/>
      <c r="AB404" s="62"/>
      <c r="AC404" s="62"/>
      <c r="AD404" s="62"/>
      <c r="AE404" s="62"/>
      <c r="AF404" s="62"/>
      <c r="AG404" s="62"/>
      <c r="AH404" s="62"/>
      <c r="AI404" s="62"/>
      <c r="AJ404" s="62"/>
      <c r="AK404" s="62"/>
      <c r="AL404" s="62"/>
      <c r="AM404" s="62"/>
      <c r="AN404" s="62"/>
      <c r="AO404" s="62"/>
      <c r="AP404" s="62"/>
      <c r="AQ404" s="62"/>
      <c r="AR404" s="62"/>
      <c r="AS404" s="62"/>
      <c r="AT404" s="62"/>
      <c r="AU404" s="62"/>
      <c r="AV404" s="62"/>
      <c r="AW404" s="62"/>
      <c r="AX404" s="62"/>
    </row>
    <row r="405" spans="1:50" ht="14.25" customHeight="1" x14ac:dyDescent="0.3">
      <c r="A405" s="58"/>
      <c r="B405" s="58"/>
      <c r="C405" s="58"/>
      <c r="D405" s="58"/>
      <c r="E405" s="58"/>
      <c r="F405" s="58"/>
      <c r="G405" s="59"/>
      <c r="H405" s="60"/>
      <c r="I405" s="60"/>
      <c r="J405" s="59"/>
      <c r="K405" s="61"/>
      <c r="M405" s="62"/>
      <c r="N405" s="62"/>
      <c r="O405" s="62"/>
      <c r="P405" s="62"/>
      <c r="Q405" s="62"/>
      <c r="R405" s="62"/>
      <c r="S405" s="62"/>
      <c r="T405" s="62"/>
      <c r="U405" s="62"/>
      <c r="V405" s="62"/>
      <c r="W405" s="62"/>
      <c r="X405" s="62"/>
      <c r="Y405" s="62"/>
      <c r="Z405" s="62"/>
      <c r="AA405" s="62"/>
      <c r="AB405" s="62"/>
      <c r="AC405" s="62"/>
      <c r="AD405" s="62"/>
      <c r="AE405" s="62"/>
      <c r="AF405" s="62"/>
      <c r="AG405" s="62"/>
      <c r="AH405" s="62"/>
      <c r="AI405" s="62"/>
      <c r="AJ405" s="62"/>
      <c r="AK405" s="62"/>
      <c r="AL405" s="62"/>
      <c r="AM405" s="62"/>
      <c r="AN405" s="62"/>
      <c r="AO405" s="62"/>
      <c r="AP405" s="62"/>
      <c r="AQ405" s="62"/>
      <c r="AR405" s="62"/>
      <c r="AS405" s="62"/>
      <c r="AT405" s="62"/>
      <c r="AU405" s="62"/>
      <c r="AV405" s="62"/>
      <c r="AW405" s="62"/>
      <c r="AX405" s="62"/>
    </row>
    <row r="406" spans="1:50" ht="14.25" customHeight="1" x14ac:dyDescent="0.3">
      <c r="A406" s="58"/>
      <c r="B406" s="58"/>
      <c r="C406" s="58"/>
      <c r="D406" s="58"/>
      <c r="E406" s="58"/>
      <c r="F406" s="58"/>
      <c r="G406" s="59"/>
      <c r="H406" s="60"/>
      <c r="I406" s="60"/>
      <c r="J406" s="59"/>
      <c r="K406" s="61"/>
      <c r="M406" s="62"/>
      <c r="N406" s="62"/>
      <c r="O406" s="62"/>
      <c r="P406" s="62"/>
      <c r="Q406" s="62"/>
      <c r="R406" s="62"/>
      <c r="S406" s="62"/>
      <c r="T406" s="62"/>
      <c r="U406" s="62"/>
      <c r="V406" s="62"/>
      <c r="W406" s="62"/>
      <c r="X406" s="62"/>
      <c r="Y406" s="62"/>
      <c r="Z406" s="62"/>
      <c r="AA406" s="62"/>
      <c r="AB406" s="62"/>
      <c r="AC406" s="62"/>
      <c r="AD406" s="62"/>
      <c r="AE406" s="62"/>
      <c r="AF406" s="62"/>
      <c r="AG406" s="62"/>
      <c r="AH406" s="62"/>
      <c r="AI406" s="62"/>
      <c r="AJ406" s="62"/>
      <c r="AK406" s="62"/>
      <c r="AL406" s="62"/>
      <c r="AM406" s="62"/>
      <c r="AN406" s="62"/>
      <c r="AO406" s="62"/>
      <c r="AP406" s="62"/>
      <c r="AQ406" s="62"/>
      <c r="AR406" s="62"/>
      <c r="AS406" s="62"/>
      <c r="AT406" s="62"/>
      <c r="AU406" s="62"/>
      <c r="AV406" s="62"/>
      <c r="AW406" s="62"/>
      <c r="AX406" s="62"/>
    </row>
    <row r="407" spans="1:50" ht="14.25" customHeight="1" x14ac:dyDescent="0.3">
      <c r="A407" s="58"/>
      <c r="B407" s="58"/>
      <c r="C407" s="58"/>
      <c r="D407" s="58"/>
      <c r="E407" s="58"/>
      <c r="F407" s="58"/>
      <c r="G407" s="59"/>
      <c r="H407" s="60"/>
      <c r="I407" s="60"/>
      <c r="J407" s="59"/>
      <c r="K407" s="61"/>
      <c r="M407" s="62"/>
      <c r="N407" s="62"/>
      <c r="O407" s="62"/>
      <c r="P407" s="62"/>
      <c r="Q407" s="62"/>
      <c r="R407" s="62"/>
      <c r="S407" s="62"/>
      <c r="T407" s="62"/>
      <c r="U407" s="62"/>
      <c r="V407" s="62"/>
      <c r="W407" s="62"/>
      <c r="X407" s="62"/>
      <c r="Y407" s="62"/>
      <c r="Z407" s="62"/>
      <c r="AA407" s="62"/>
      <c r="AB407" s="62"/>
      <c r="AC407" s="62"/>
      <c r="AD407" s="62"/>
      <c r="AE407" s="62"/>
      <c r="AF407" s="62"/>
      <c r="AG407" s="62"/>
      <c r="AH407" s="62"/>
      <c r="AI407" s="62"/>
      <c r="AJ407" s="62"/>
      <c r="AK407" s="62"/>
      <c r="AL407" s="62"/>
      <c r="AM407" s="62"/>
      <c r="AN407" s="62"/>
      <c r="AO407" s="62"/>
      <c r="AP407" s="62"/>
      <c r="AQ407" s="62"/>
      <c r="AR407" s="62"/>
      <c r="AS407" s="62"/>
      <c r="AT407" s="62"/>
      <c r="AU407" s="62"/>
      <c r="AV407" s="62"/>
      <c r="AW407" s="62"/>
      <c r="AX407" s="62"/>
    </row>
    <row r="408" spans="1:50" ht="14.25" customHeight="1" x14ac:dyDescent="0.3">
      <c r="A408" s="58"/>
      <c r="B408" s="58"/>
      <c r="C408" s="58"/>
      <c r="D408" s="58"/>
      <c r="E408" s="58"/>
      <c r="F408" s="58"/>
      <c r="G408" s="59"/>
      <c r="H408" s="60"/>
      <c r="I408" s="60"/>
      <c r="J408" s="59"/>
      <c r="K408" s="61"/>
      <c r="M408" s="62"/>
      <c r="N408" s="62"/>
      <c r="O408" s="62"/>
      <c r="P408" s="62"/>
      <c r="Q408" s="62"/>
      <c r="R408" s="62"/>
      <c r="S408" s="62"/>
      <c r="T408" s="62"/>
      <c r="U408" s="62"/>
      <c r="V408" s="62"/>
      <c r="W408" s="62"/>
      <c r="X408" s="62"/>
      <c r="Y408" s="62"/>
      <c r="Z408" s="62"/>
      <c r="AA408" s="62"/>
      <c r="AB408" s="62"/>
      <c r="AC408" s="62"/>
      <c r="AD408" s="62"/>
      <c r="AE408" s="62"/>
      <c r="AF408" s="62"/>
      <c r="AG408" s="62"/>
      <c r="AH408" s="62"/>
      <c r="AI408" s="62"/>
      <c r="AJ408" s="62"/>
      <c r="AK408" s="62"/>
      <c r="AL408" s="62"/>
      <c r="AM408" s="62"/>
      <c r="AN408" s="62"/>
      <c r="AO408" s="62"/>
      <c r="AP408" s="62"/>
      <c r="AQ408" s="62"/>
      <c r="AR408" s="62"/>
      <c r="AS408" s="62"/>
      <c r="AT408" s="62"/>
      <c r="AU408" s="62"/>
      <c r="AV408" s="62"/>
      <c r="AW408" s="62"/>
      <c r="AX408" s="62"/>
    </row>
    <row r="409" spans="1:50" ht="14.25" customHeight="1" x14ac:dyDescent="0.3">
      <c r="A409" s="58"/>
      <c r="B409" s="58"/>
      <c r="C409" s="58"/>
      <c r="D409" s="58"/>
      <c r="E409" s="58"/>
      <c r="F409" s="58"/>
      <c r="G409" s="59"/>
      <c r="H409" s="60"/>
      <c r="I409" s="60"/>
      <c r="J409" s="59"/>
      <c r="K409" s="61"/>
      <c r="M409" s="62"/>
      <c r="N409" s="62"/>
      <c r="O409" s="62"/>
      <c r="P409" s="62"/>
      <c r="Q409" s="62"/>
      <c r="R409" s="62"/>
      <c r="S409" s="62"/>
      <c r="T409" s="62"/>
      <c r="U409" s="62"/>
      <c r="V409" s="62"/>
      <c r="W409" s="62"/>
      <c r="X409" s="62"/>
      <c r="Y409" s="62"/>
      <c r="Z409" s="62"/>
      <c r="AA409" s="62"/>
      <c r="AB409" s="62"/>
      <c r="AC409" s="62"/>
      <c r="AD409" s="62"/>
      <c r="AE409" s="62"/>
      <c r="AF409" s="62"/>
      <c r="AG409" s="62"/>
      <c r="AH409" s="62"/>
      <c r="AI409" s="62"/>
      <c r="AJ409" s="62"/>
      <c r="AK409" s="62"/>
      <c r="AL409" s="62"/>
      <c r="AM409" s="62"/>
      <c r="AN409" s="62"/>
      <c r="AO409" s="62"/>
      <c r="AP409" s="62"/>
      <c r="AQ409" s="62"/>
      <c r="AR409" s="62"/>
      <c r="AS409" s="62"/>
      <c r="AT409" s="62"/>
      <c r="AU409" s="62"/>
      <c r="AV409" s="62"/>
      <c r="AW409" s="62"/>
      <c r="AX409" s="62"/>
    </row>
    <row r="410" spans="1:50" ht="14.25" customHeight="1" x14ac:dyDescent="0.3">
      <c r="A410" s="58"/>
      <c r="B410" s="58"/>
      <c r="C410" s="58"/>
      <c r="D410" s="58"/>
      <c r="E410" s="58"/>
      <c r="F410" s="58"/>
      <c r="G410" s="59"/>
      <c r="H410" s="60"/>
      <c r="I410" s="60"/>
      <c r="J410" s="59"/>
      <c r="K410" s="61"/>
      <c r="M410" s="62"/>
      <c r="N410" s="62"/>
      <c r="O410" s="62"/>
      <c r="P410" s="62"/>
      <c r="Q410" s="62"/>
      <c r="R410" s="62"/>
      <c r="S410" s="62"/>
      <c r="T410" s="62"/>
      <c r="U410" s="62"/>
      <c r="V410" s="62"/>
      <c r="W410" s="62"/>
      <c r="X410" s="62"/>
      <c r="Y410" s="62"/>
      <c r="Z410" s="62"/>
      <c r="AA410" s="62"/>
      <c r="AB410" s="62"/>
      <c r="AC410" s="62"/>
      <c r="AD410" s="62"/>
      <c r="AE410" s="62"/>
      <c r="AF410" s="62"/>
      <c r="AG410" s="62"/>
      <c r="AH410" s="62"/>
      <c r="AI410" s="62"/>
      <c r="AJ410" s="62"/>
      <c r="AK410" s="62"/>
      <c r="AL410" s="62"/>
      <c r="AM410" s="62"/>
      <c r="AN410" s="62"/>
      <c r="AO410" s="62"/>
      <c r="AP410" s="62"/>
      <c r="AQ410" s="62"/>
      <c r="AR410" s="62"/>
      <c r="AS410" s="62"/>
      <c r="AT410" s="62"/>
      <c r="AU410" s="62"/>
      <c r="AV410" s="62"/>
      <c r="AW410" s="62"/>
      <c r="AX410" s="62"/>
    </row>
    <row r="411" spans="1:50" ht="14.25" customHeight="1" x14ac:dyDescent="0.3">
      <c r="A411" s="58"/>
      <c r="B411" s="58"/>
      <c r="C411" s="58"/>
      <c r="D411" s="58"/>
      <c r="E411" s="58"/>
      <c r="F411" s="58"/>
      <c r="G411" s="59"/>
      <c r="H411" s="60"/>
      <c r="I411" s="60"/>
      <c r="J411" s="59"/>
      <c r="K411" s="61"/>
      <c r="M411" s="62"/>
      <c r="N411" s="62"/>
      <c r="O411" s="62"/>
      <c r="P411" s="62"/>
      <c r="Q411" s="62"/>
      <c r="R411" s="62"/>
      <c r="S411" s="62"/>
      <c r="T411" s="62"/>
      <c r="U411" s="62"/>
      <c r="V411" s="62"/>
      <c r="W411" s="62"/>
      <c r="X411" s="62"/>
      <c r="Y411" s="62"/>
      <c r="Z411" s="62"/>
      <c r="AA411" s="62"/>
      <c r="AB411" s="62"/>
      <c r="AC411" s="62"/>
      <c r="AD411" s="62"/>
      <c r="AE411" s="62"/>
      <c r="AF411" s="62"/>
      <c r="AG411" s="62"/>
      <c r="AH411" s="62"/>
      <c r="AI411" s="62"/>
      <c r="AJ411" s="62"/>
      <c r="AK411" s="62"/>
      <c r="AL411" s="62"/>
      <c r="AM411" s="62"/>
      <c r="AN411" s="62"/>
      <c r="AO411" s="62"/>
      <c r="AP411" s="62"/>
      <c r="AQ411" s="62"/>
      <c r="AR411" s="62"/>
      <c r="AS411" s="62"/>
      <c r="AT411" s="62"/>
      <c r="AU411" s="62"/>
      <c r="AV411" s="62"/>
      <c r="AW411" s="62"/>
      <c r="AX411" s="62"/>
    </row>
    <row r="412" spans="1:50" ht="14.25" customHeight="1" x14ac:dyDescent="0.3">
      <c r="A412" s="58"/>
      <c r="B412" s="58"/>
      <c r="C412" s="58"/>
      <c r="D412" s="58"/>
      <c r="E412" s="58"/>
      <c r="F412" s="58"/>
      <c r="G412" s="59"/>
      <c r="H412" s="60"/>
      <c r="I412" s="60"/>
      <c r="J412" s="59"/>
      <c r="K412" s="61"/>
      <c r="M412" s="62"/>
      <c r="N412" s="62"/>
      <c r="O412" s="62"/>
      <c r="P412" s="62"/>
      <c r="Q412" s="62"/>
      <c r="R412" s="62"/>
      <c r="S412" s="62"/>
      <c r="T412" s="62"/>
      <c r="U412" s="62"/>
      <c r="V412" s="62"/>
      <c r="W412" s="62"/>
      <c r="X412" s="62"/>
      <c r="Y412" s="62"/>
      <c r="Z412" s="62"/>
      <c r="AA412" s="62"/>
      <c r="AB412" s="62"/>
      <c r="AC412" s="62"/>
      <c r="AD412" s="62"/>
      <c r="AE412" s="62"/>
      <c r="AF412" s="62"/>
      <c r="AG412" s="62"/>
      <c r="AH412" s="62"/>
      <c r="AI412" s="62"/>
      <c r="AJ412" s="62"/>
      <c r="AK412" s="62"/>
      <c r="AL412" s="62"/>
      <c r="AM412" s="62"/>
      <c r="AN412" s="62"/>
      <c r="AO412" s="62"/>
      <c r="AP412" s="62"/>
      <c r="AQ412" s="62"/>
      <c r="AR412" s="62"/>
      <c r="AS412" s="62"/>
      <c r="AT412" s="62"/>
      <c r="AU412" s="62"/>
      <c r="AV412" s="62"/>
      <c r="AW412" s="62"/>
      <c r="AX412" s="62"/>
    </row>
    <row r="413" spans="1:50" ht="14.25" customHeight="1" x14ac:dyDescent="0.3">
      <c r="A413" s="58"/>
      <c r="B413" s="58"/>
      <c r="C413" s="58"/>
      <c r="D413" s="58"/>
      <c r="E413" s="58"/>
      <c r="F413" s="58"/>
      <c r="G413" s="59"/>
      <c r="H413" s="60"/>
      <c r="I413" s="60"/>
      <c r="J413" s="59"/>
      <c r="K413" s="61"/>
      <c r="M413" s="62"/>
      <c r="N413" s="62"/>
      <c r="O413" s="62"/>
      <c r="P413" s="62"/>
      <c r="Q413" s="62"/>
      <c r="R413" s="62"/>
      <c r="S413" s="62"/>
      <c r="T413" s="62"/>
      <c r="U413" s="62"/>
      <c r="V413" s="62"/>
      <c r="W413" s="62"/>
      <c r="X413" s="62"/>
      <c r="Y413" s="62"/>
      <c r="Z413" s="62"/>
      <c r="AA413" s="62"/>
      <c r="AB413" s="62"/>
      <c r="AC413" s="62"/>
      <c r="AD413" s="62"/>
      <c r="AE413" s="62"/>
      <c r="AF413" s="62"/>
      <c r="AG413" s="62"/>
      <c r="AH413" s="62"/>
      <c r="AI413" s="62"/>
      <c r="AJ413" s="62"/>
      <c r="AK413" s="62"/>
      <c r="AL413" s="62"/>
      <c r="AM413" s="62"/>
      <c r="AN413" s="62"/>
      <c r="AO413" s="62"/>
      <c r="AP413" s="62"/>
      <c r="AQ413" s="62"/>
      <c r="AR413" s="62"/>
      <c r="AS413" s="62"/>
      <c r="AT413" s="62"/>
      <c r="AU413" s="62"/>
      <c r="AV413" s="62"/>
      <c r="AW413" s="62"/>
      <c r="AX413" s="62"/>
    </row>
    <row r="414" spans="1:50" ht="14.25" customHeight="1" x14ac:dyDescent="0.3">
      <c r="A414" s="58"/>
      <c r="B414" s="58"/>
      <c r="C414" s="58"/>
      <c r="D414" s="58"/>
      <c r="E414" s="58"/>
      <c r="F414" s="58"/>
      <c r="G414" s="59"/>
      <c r="H414" s="60"/>
      <c r="I414" s="60"/>
      <c r="J414" s="59"/>
      <c r="K414" s="61"/>
      <c r="M414" s="62"/>
      <c r="N414" s="62"/>
      <c r="O414" s="62"/>
      <c r="P414" s="62"/>
      <c r="Q414" s="62"/>
      <c r="R414" s="62"/>
      <c r="S414" s="62"/>
      <c r="T414" s="62"/>
      <c r="U414" s="62"/>
      <c r="V414" s="62"/>
      <c r="W414" s="62"/>
      <c r="X414" s="62"/>
      <c r="Y414" s="62"/>
      <c r="Z414" s="62"/>
      <c r="AA414" s="62"/>
      <c r="AB414" s="62"/>
      <c r="AC414" s="62"/>
      <c r="AD414" s="62"/>
      <c r="AE414" s="62"/>
      <c r="AF414" s="62"/>
      <c r="AG414" s="62"/>
      <c r="AH414" s="62"/>
      <c r="AI414" s="62"/>
      <c r="AJ414" s="62"/>
      <c r="AK414" s="62"/>
      <c r="AL414" s="62"/>
      <c r="AM414" s="62"/>
      <c r="AN414" s="62"/>
      <c r="AO414" s="62"/>
      <c r="AP414" s="62"/>
      <c r="AQ414" s="62"/>
      <c r="AR414" s="62"/>
      <c r="AS414" s="62"/>
      <c r="AT414" s="62"/>
      <c r="AU414" s="62"/>
      <c r="AV414" s="62"/>
      <c r="AW414" s="62"/>
      <c r="AX414" s="62"/>
    </row>
    <row r="415" spans="1:50" ht="14.25" customHeight="1" x14ac:dyDescent="0.3">
      <c r="A415" s="58"/>
      <c r="B415" s="58"/>
      <c r="C415" s="58"/>
      <c r="D415" s="58"/>
      <c r="E415" s="58"/>
      <c r="F415" s="58"/>
      <c r="G415" s="59"/>
      <c r="H415" s="60"/>
      <c r="I415" s="60"/>
      <c r="J415" s="59"/>
      <c r="K415" s="61"/>
      <c r="M415" s="62"/>
      <c r="N415" s="62"/>
      <c r="O415" s="62"/>
      <c r="P415" s="62"/>
      <c r="Q415" s="62"/>
      <c r="R415" s="62"/>
      <c r="S415" s="62"/>
      <c r="T415" s="62"/>
      <c r="U415" s="62"/>
      <c r="V415" s="62"/>
      <c r="W415" s="62"/>
      <c r="X415" s="62"/>
      <c r="Y415" s="62"/>
      <c r="Z415" s="62"/>
      <c r="AA415" s="62"/>
      <c r="AB415" s="62"/>
      <c r="AC415" s="62"/>
      <c r="AD415" s="62"/>
      <c r="AE415" s="62"/>
      <c r="AF415" s="62"/>
      <c r="AG415" s="62"/>
      <c r="AH415" s="62"/>
      <c r="AI415" s="62"/>
      <c r="AJ415" s="62"/>
      <c r="AK415" s="62"/>
      <c r="AL415" s="62"/>
      <c r="AM415" s="62"/>
      <c r="AN415" s="62"/>
      <c r="AO415" s="62"/>
      <c r="AP415" s="62"/>
      <c r="AQ415" s="62"/>
      <c r="AR415" s="62"/>
      <c r="AS415" s="62"/>
      <c r="AT415" s="62"/>
      <c r="AU415" s="62"/>
      <c r="AV415" s="62"/>
      <c r="AW415" s="62"/>
      <c r="AX415" s="62"/>
    </row>
    <row r="416" spans="1:50" ht="14.25" customHeight="1" x14ac:dyDescent="0.3">
      <c r="A416" s="58"/>
      <c r="B416" s="58"/>
      <c r="C416" s="58"/>
      <c r="D416" s="58"/>
      <c r="E416" s="58"/>
      <c r="F416" s="58"/>
      <c r="G416" s="59"/>
      <c r="H416" s="60"/>
      <c r="I416" s="60"/>
      <c r="J416" s="59"/>
      <c r="K416" s="61"/>
      <c r="M416" s="62"/>
      <c r="N416" s="62"/>
      <c r="O416" s="62"/>
      <c r="P416" s="62"/>
      <c r="Q416" s="62"/>
      <c r="R416" s="62"/>
      <c r="S416" s="62"/>
      <c r="T416" s="62"/>
      <c r="U416" s="62"/>
      <c r="V416" s="62"/>
      <c r="W416" s="62"/>
      <c r="X416" s="62"/>
      <c r="Y416" s="62"/>
      <c r="Z416" s="62"/>
      <c r="AA416" s="62"/>
      <c r="AB416" s="62"/>
      <c r="AC416" s="62"/>
      <c r="AD416" s="62"/>
      <c r="AE416" s="62"/>
      <c r="AF416" s="62"/>
      <c r="AG416" s="62"/>
      <c r="AH416" s="62"/>
      <c r="AI416" s="62"/>
      <c r="AJ416" s="62"/>
      <c r="AK416" s="62"/>
      <c r="AL416" s="62"/>
      <c r="AM416" s="62"/>
      <c r="AN416" s="62"/>
      <c r="AO416" s="62"/>
      <c r="AP416" s="62"/>
      <c r="AQ416" s="62"/>
      <c r="AR416" s="62"/>
      <c r="AS416" s="62"/>
      <c r="AT416" s="62"/>
      <c r="AU416" s="62"/>
      <c r="AV416" s="62"/>
      <c r="AW416" s="62"/>
      <c r="AX416" s="62"/>
    </row>
    <row r="417" spans="1:50" ht="14.25" customHeight="1" x14ac:dyDescent="0.3">
      <c r="A417" s="58"/>
      <c r="B417" s="58"/>
      <c r="C417" s="58"/>
      <c r="D417" s="58"/>
      <c r="E417" s="58"/>
      <c r="F417" s="58"/>
      <c r="G417" s="59"/>
      <c r="H417" s="60"/>
      <c r="I417" s="60"/>
      <c r="J417" s="59"/>
      <c r="K417" s="61"/>
      <c r="M417" s="62"/>
      <c r="N417" s="62"/>
      <c r="O417" s="62"/>
      <c r="P417" s="62"/>
      <c r="Q417" s="62"/>
      <c r="R417" s="62"/>
      <c r="S417" s="62"/>
      <c r="T417" s="62"/>
      <c r="U417" s="62"/>
      <c r="V417" s="62"/>
      <c r="W417" s="62"/>
      <c r="X417" s="62"/>
      <c r="Y417" s="62"/>
      <c r="Z417" s="62"/>
      <c r="AA417" s="62"/>
      <c r="AB417" s="62"/>
      <c r="AC417" s="62"/>
      <c r="AD417" s="62"/>
      <c r="AE417" s="62"/>
      <c r="AF417" s="62"/>
      <c r="AG417" s="62"/>
      <c r="AH417" s="62"/>
      <c r="AI417" s="62"/>
      <c r="AJ417" s="62"/>
      <c r="AK417" s="62"/>
      <c r="AL417" s="62"/>
      <c r="AM417" s="62"/>
      <c r="AN417" s="62"/>
      <c r="AO417" s="62"/>
      <c r="AP417" s="62"/>
      <c r="AQ417" s="62"/>
      <c r="AR417" s="62"/>
      <c r="AS417" s="62"/>
      <c r="AT417" s="62"/>
      <c r="AU417" s="62"/>
      <c r="AV417" s="62"/>
      <c r="AW417" s="62"/>
      <c r="AX417" s="62"/>
    </row>
    <row r="418" spans="1:50" ht="14.25" customHeight="1" x14ac:dyDescent="0.3">
      <c r="A418" s="58"/>
      <c r="B418" s="58"/>
      <c r="C418" s="58"/>
      <c r="D418" s="58"/>
      <c r="E418" s="58"/>
      <c r="F418" s="58"/>
      <c r="G418" s="59"/>
      <c r="H418" s="60"/>
      <c r="I418" s="60"/>
      <c r="J418" s="59"/>
      <c r="K418" s="61"/>
      <c r="M418" s="62"/>
      <c r="N418" s="62"/>
      <c r="O418" s="62"/>
      <c r="P418" s="62"/>
      <c r="Q418" s="62"/>
      <c r="R418" s="62"/>
      <c r="S418" s="62"/>
      <c r="T418" s="62"/>
      <c r="U418" s="62"/>
      <c r="V418" s="62"/>
      <c r="W418" s="62"/>
      <c r="X418" s="62"/>
      <c r="Y418" s="62"/>
      <c r="Z418" s="62"/>
      <c r="AA418" s="62"/>
      <c r="AB418" s="62"/>
      <c r="AC418" s="62"/>
      <c r="AD418" s="62"/>
      <c r="AE418" s="62"/>
      <c r="AF418" s="62"/>
      <c r="AG418" s="62"/>
      <c r="AH418" s="62"/>
      <c r="AI418" s="62"/>
      <c r="AJ418" s="62"/>
      <c r="AK418" s="62"/>
      <c r="AL418" s="62"/>
      <c r="AM418" s="62"/>
      <c r="AN418" s="62"/>
      <c r="AO418" s="62"/>
      <c r="AP418" s="62"/>
      <c r="AQ418" s="62"/>
      <c r="AR418" s="62"/>
      <c r="AS418" s="62"/>
      <c r="AT418" s="62"/>
      <c r="AU418" s="62"/>
      <c r="AV418" s="62"/>
      <c r="AW418" s="62"/>
      <c r="AX418" s="62"/>
    </row>
    <row r="419" spans="1:50" ht="14.25" customHeight="1" x14ac:dyDescent="0.3">
      <c r="A419" s="58"/>
      <c r="B419" s="58"/>
      <c r="C419" s="58"/>
      <c r="D419" s="58"/>
      <c r="E419" s="58"/>
      <c r="F419" s="58"/>
      <c r="G419" s="59"/>
      <c r="H419" s="60"/>
      <c r="I419" s="60"/>
      <c r="J419" s="59"/>
      <c r="K419" s="61"/>
      <c r="M419" s="62"/>
      <c r="N419" s="62"/>
      <c r="O419" s="62"/>
      <c r="P419" s="62"/>
      <c r="Q419" s="62"/>
      <c r="R419" s="62"/>
      <c r="S419" s="62"/>
      <c r="T419" s="62"/>
      <c r="U419" s="62"/>
      <c r="V419" s="62"/>
      <c r="W419" s="62"/>
      <c r="X419" s="62"/>
      <c r="Y419" s="62"/>
      <c r="Z419" s="62"/>
      <c r="AA419" s="62"/>
      <c r="AB419" s="62"/>
      <c r="AC419" s="62"/>
      <c r="AD419" s="62"/>
      <c r="AE419" s="62"/>
      <c r="AF419" s="62"/>
      <c r="AG419" s="62"/>
      <c r="AH419" s="62"/>
      <c r="AI419" s="62"/>
      <c r="AJ419" s="62"/>
      <c r="AK419" s="62"/>
      <c r="AL419" s="62"/>
      <c r="AM419" s="62"/>
      <c r="AN419" s="62"/>
      <c r="AO419" s="62"/>
      <c r="AP419" s="62"/>
      <c r="AQ419" s="62"/>
      <c r="AR419" s="62"/>
      <c r="AS419" s="62"/>
      <c r="AT419" s="62"/>
      <c r="AU419" s="62"/>
      <c r="AV419" s="62"/>
      <c r="AW419" s="62"/>
      <c r="AX419" s="62"/>
    </row>
    <row r="420" spans="1:50" ht="14.25" customHeight="1" x14ac:dyDescent="0.3">
      <c r="A420" s="58"/>
      <c r="B420" s="58"/>
      <c r="C420" s="58"/>
      <c r="D420" s="58"/>
      <c r="E420" s="58"/>
      <c r="F420" s="58"/>
      <c r="G420" s="59"/>
      <c r="H420" s="60"/>
      <c r="I420" s="60"/>
      <c r="J420" s="59"/>
      <c r="K420" s="61"/>
      <c r="M420" s="62"/>
      <c r="N420" s="62"/>
      <c r="O420" s="62"/>
      <c r="P420" s="62"/>
      <c r="Q420" s="62"/>
      <c r="R420" s="62"/>
      <c r="S420" s="62"/>
      <c r="T420" s="62"/>
      <c r="U420" s="62"/>
      <c r="V420" s="62"/>
      <c r="W420" s="62"/>
      <c r="X420" s="62"/>
      <c r="Y420" s="62"/>
      <c r="Z420" s="62"/>
      <c r="AA420" s="62"/>
      <c r="AB420" s="62"/>
      <c r="AC420" s="62"/>
      <c r="AD420" s="62"/>
      <c r="AE420" s="62"/>
      <c r="AF420" s="62"/>
      <c r="AG420" s="62"/>
      <c r="AH420" s="62"/>
      <c r="AI420" s="62"/>
      <c r="AJ420" s="62"/>
      <c r="AK420" s="62"/>
      <c r="AL420" s="62"/>
      <c r="AM420" s="62"/>
      <c r="AN420" s="62"/>
      <c r="AO420" s="62"/>
      <c r="AP420" s="62"/>
      <c r="AQ420" s="62"/>
      <c r="AR420" s="62"/>
      <c r="AS420" s="62"/>
      <c r="AT420" s="62"/>
      <c r="AU420" s="62"/>
      <c r="AV420" s="62"/>
      <c r="AW420" s="62"/>
      <c r="AX420" s="62"/>
    </row>
    <row r="421" spans="1:50" ht="14.25" customHeight="1" x14ac:dyDescent="0.3">
      <c r="A421" s="58"/>
      <c r="B421" s="58"/>
      <c r="C421" s="58"/>
      <c r="D421" s="58"/>
      <c r="E421" s="58"/>
      <c r="F421" s="58"/>
      <c r="G421" s="59"/>
      <c r="H421" s="60"/>
      <c r="I421" s="60"/>
      <c r="J421" s="59"/>
      <c r="K421" s="61"/>
      <c r="M421" s="62"/>
      <c r="N421" s="62"/>
      <c r="O421" s="62"/>
      <c r="P421" s="62"/>
      <c r="Q421" s="62"/>
      <c r="R421" s="62"/>
      <c r="S421" s="62"/>
      <c r="T421" s="62"/>
      <c r="U421" s="62"/>
      <c r="V421" s="62"/>
      <c r="W421" s="62"/>
      <c r="X421" s="62"/>
      <c r="Y421" s="62"/>
      <c r="Z421" s="62"/>
      <c r="AA421" s="62"/>
      <c r="AB421" s="62"/>
      <c r="AC421" s="62"/>
      <c r="AD421" s="62"/>
      <c r="AE421" s="62"/>
      <c r="AF421" s="62"/>
      <c r="AG421" s="62"/>
      <c r="AH421" s="62"/>
      <c r="AI421" s="62"/>
      <c r="AJ421" s="62"/>
      <c r="AK421" s="62"/>
      <c r="AL421" s="62"/>
      <c r="AM421" s="62"/>
      <c r="AN421" s="62"/>
      <c r="AO421" s="62"/>
      <c r="AP421" s="62"/>
      <c r="AQ421" s="62"/>
      <c r="AR421" s="62"/>
      <c r="AS421" s="62"/>
      <c r="AT421" s="62"/>
      <c r="AU421" s="62"/>
      <c r="AV421" s="62"/>
      <c r="AW421" s="62"/>
      <c r="AX421" s="62"/>
    </row>
    <row r="422" spans="1:50" ht="14.25" customHeight="1" x14ac:dyDescent="0.3">
      <c r="A422" s="58"/>
      <c r="B422" s="58"/>
      <c r="C422" s="58"/>
      <c r="D422" s="58"/>
      <c r="E422" s="58"/>
      <c r="F422" s="58"/>
      <c r="G422" s="59"/>
      <c r="H422" s="60"/>
      <c r="I422" s="60"/>
      <c r="J422" s="59"/>
      <c r="K422" s="61"/>
      <c r="M422" s="62"/>
      <c r="N422" s="62"/>
      <c r="O422" s="62"/>
      <c r="P422" s="62"/>
      <c r="Q422" s="62"/>
      <c r="R422" s="62"/>
      <c r="S422" s="62"/>
      <c r="T422" s="62"/>
      <c r="U422" s="62"/>
      <c r="V422" s="62"/>
      <c r="W422" s="62"/>
      <c r="X422" s="62"/>
      <c r="Y422" s="62"/>
      <c r="Z422" s="62"/>
      <c r="AA422" s="62"/>
      <c r="AB422" s="62"/>
      <c r="AC422" s="62"/>
      <c r="AD422" s="62"/>
      <c r="AE422" s="62"/>
      <c r="AF422" s="62"/>
      <c r="AG422" s="62"/>
      <c r="AH422" s="62"/>
      <c r="AI422" s="62"/>
      <c r="AJ422" s="62"/>
      <c r="AK422" s="62"/>
      <c r="AL422" s="62"/>
      <c r="AM422" s="62"/>
      <c r="AN422" s="62"/>
      <c r="AO422" s="62"/>
      <c r="AP422" s="62"/>
      <c r="AQ422" s="62"/>
      <c r="AR422" s="62"/>
      <c r="AS422" s="62"/>
      <c r="AT422" s="62"/>
      <c r="AU422" s="62"/>
      <c r="AV422" s="62"/>
      <c r="AW422" s="62"/>
      <c r="AX422" s="62"/>
    </row>
    <row r="423" spans="1:50" ht="14.25" customHeight="1" x14ac:dyDescent="0.3">
      <c r="A423" s="58"/>
      <c r="B423" s="58"/>
      <c r="C423" s="58"/>
      <c r="D423" s="58"/>
      <c r="E423" s="58"/>
      <c r="F423" s="58"/>
      <c r="G423" s="59"/>
      <c r="H423" s="60"/>
      <c r="I423" s="60"/>
      <c r="J423" s="59"/>
      <c r="K423" s="61"/>
      <c r="M423" s="62"/>
      <c r="N423" s="62"/>
      <c r="O423" s="62"/>
      <c r="P423" s="62"/>
      <c r="Q423" s="62"/>
      <c r="R423" s="62"/>
      <c r="S423" s="62"/>
      <c r="T423" s="62"/>
      <c r="U423" s="62"/>
      <c r="V423" s="62"/>
      <c r="W423" s="62"/>
      <c r="X423" s="62"/>
      <c r="Y423" s="62"/>
      <c r="Z423" s="62"/>
      <c r="AA423" s="62"/>
      <c r="AB423" s="62"/>
      <c r="AC423" s="62"/>
      <c r="AD423" s="62"/>
      <c r="AE423" s="62"/>
      <c r="AF423" s="62"/>
      <c r="AG423" s="62"/>
      <c r="AH423" s="62"/>
      <c r="AI423" s="62"/>
      <c r="AJ423" s="62"/>
      <c r="AK423" s="62"/>
      <c r="AL423" s="62"/>
      <c r="AM423" s="62"/>
      <c r="AN423" s="62"/>
      <c r="AO423" s="62"/>
      <c r="AP423" s="62"/>
      <c r="AQ423" s="62"/>
      <c r="AR423" s="62"/>
      <c r="AS423" s="62"/>
      <c r="AT423" s="62"/>
      <c r="AU423" s="62"/>
      <c r="AV423" s="62"/>
      <c r="AW423" s="62"/>
      <c r="AX423" s="62"/>
    </row>
    <row r="424" spans="1:50" ht="14.25" customHeight="1" x14ac:dyDescent="0.3">
      <c r="A424" s="58"/>
      <c r="B424" s="58"/>
      <c r="C424" s="58"/>
      <c r="D424" s="58"/>
      <c r="E424" s="58"/>
      <c r="F424" s="58"/>
      <c r="G424" s="59"/>
      <c r="H424" s="60"/>
      <c r="I424" s="60"/>
      <c r="J424" s="59"/>
      <c r="K424" s="61"/>
      <c r="M424" s="62"/>
      <c r="N424" s="62"/>
      <c r="O424" s="62"/>
      <c r="P424" s="62"/>
      <c r="Q424" s="62"/>
      <c r="R424" s="62"/>
      <c r="S424" s="62"/>
      <c r="T424" s="62"/>
      <c r="U424" s="62"/>
      <c r="V424" s="62"/>
      <c r="W424" s="62"/>
      <c r="X424" s="62"/>
      <c r="Y424" s="62"/>
      <c r="Z424" s="62"/>
      <c r="AA424" s="62"/>
      <c r="AB424" s="62"/>
      <c r="AC424" s="62"/>
      <c r="AD424" s="62"/>
      <c r="AE424" s="62"/>
      <c r="AF424" s="62"/>
      <c r="AG424" s="62"/>
      <c r="AH424" s="62"/>
      <c r="AI424" s="62"/>
      <c r="AJ424" s="62"/>
      <c r="AK424" s="62"/>
      <c r="AL424" s="62"/>
      <c r="AM424" s="62"/>
      <c r="AN424" s="62"/>
      <c r="AO424" s="62"/>
      <c r="AP424" s="62"/>
      <c r="AQ424" s="62"/>
      <c r="AR424" s="62"/>
      <c r="AS424" s="62"/>
      <c r="AT424" s="62"/>
      <c r="AU424" s="62"/>
      <c r="AV424" s="62"/>
      <c r="AW424" s="62"/>
      <c r="AX424" s="62"/>
    </row>
    <row r="425" spans="1:50" ht="14.25" customHeight="1" x14ac:dyDescent="0.3">
      <c r="A425" s="58"/>
      <c r="B425" s="58"/>
      <c r="C425" s="58"/>
      <c r="D425" s="58"/>
      <c r="E425" s="58"/>
      <c r="F425" s="58"/>
      <c r="G425" s="59"/>
      <c r="H425" s="60"/>
      <c r="I425" s="60"/>
      <c r="J425" s="59"/>
      <c r="K425" s="61"/>
      <c r="M425" s="62"/>
      <c r="N425" s="62"/>
      <c r="O425" s="62"/>
      <c r="P425" s="62"/>
      <c r="Q425" s="62"/>
      <c r="R425" s="62"/>
      <c r="S425" s="62"/>
      <c r="T425" s="62"/>
      <c r="U425" s="62"/>
      <c r="V425" s="62"/>
      <c r="W425" s="62"/>
      <c r="X425" s="62"/>
      <c r="Y425" s="62"/>
      <c r="Z425" s="62"/>
      <c r="AA425" s="62"/>
      <c r="AB425" s="62"/>
      <c r="AC425" s="62"/>
      <c r="AD425" s="62"/>
      <c r="AE425" s="62"/>
      <c r="AF425" s="62"/>
      <c r="AG425" s="62"/>
      <c r="AH425" s="62"/>
      <c r="AI425" s="62"/>
      <c r="AJ425" s="62"/>
      <c r="AK425" s="62"/>
      <c r="AL425" s="62"/>
      <c r="AM425" s="62"/>
      <c r="AN425" s="62"/>
      <c r="AO425" s="62"/>
      <c r="AP425" s="62"/>
      <c r="AQ425" s="62"/>
      <c r="AR425" s="62"/>
      <c r="AS425" s="62"/>
      <c r="AT425" s="62"/>
      <c r="AU425" s="62"/>
      <c r="AV425" s="62"/>
      <c r="AW425" s="62"/>
      <c r="AX425" s="62"/>
    </row>
    <row r="426" spans="1:50" ht="14.25" customHeight="1" x14ac:dyDescent="0.3">
      <c r="A426" s="58"/>
      <c r="B426" s="58"/>
      <c r="C426" s="58"/>
      <c r="D426" s="58"/>
      <c r="E426" s="58"/>
      <c r="F426" s="58"/>
      <c r="G426" s="59"/>
      <c r="H426" s="60"/>
      <c r="I426" s="60"/>
      <c r="J426" s="59"/>
      <c r="K426" s="61"/>
      <c r="M426" s="62"/>
      <c r="N426" s="62"/>
      <c r="O426" s="62"/>
      <c r="P426" s="62"/>
      <c r="Q426" s="62"/>
      <c r="R426" s="62"/>
      <c r="S426" s="62"/>
      <c r="T426" s="62"/>
      <c r="U426" s="62"/>
      <c r="V426" s="62"/>
      <c r="W426" s="62"/>
      <c r="X426" s="62"/>
      <c r="Y426" s="62"/>
      <c r="Z426" s="62"/>
      <c r="AA426" s="62"/>
      <c r="AB426" s="62"/>
      <c r="AC426" s="62"/>
      <c r="AD426" s="62"/>
      <c r="AE426" s="62"/>
      <c r="AF426" s="62"/>
      <c r="AG426" s="62"/>
      <c r="AH426" s="62"/>
      <c r="AI426" s="62"/>
      <c r="AJ426" s="62"/>
      <c r="AK426" s="62"/>
      <c r="AL426" s="62"/>
      <c r="AM426" s="62"/>
      <c r="AN426" s="62"/>
      <c r="AO426" s="62"/>
      <c r="AP426" s="62"/>
      <c r="AQ426" s="62"/>
      <c r="AR426" s="62"/>
      <c r="AS426" s="62"/>
      <c r="AT426" s="62"/>
      <c r="AU426" s="62"/>
      <c r="AV426" s="62"/>
      <c r="AW426" s="62"/>
      <c r="AX426" s="62"/>
    </row>
    <row r="427" spans="1:50" ht="14.25" customHeight="1" x14ac:dyDescent="0.3">
      <c r="A427" s="58"/>
      <c r="B427" s="58"/>
      <c r="C427" s="58"/>
      <c r="D427" s="58"/>
      <c r="E427" s="58"/>
      <c r="F427" s="58"/>
      <c r="G427" s="59"/>
      <c r="H427" s="60"/>
      <c r="I427" s="60"/>
      <c r="J427" s="59"/>
      <c r="K427" s="61"/>
      <c r="M427" s="62"/>
      <c r="N427" s="62"/>
      <c r="O427" s="62"/>
      <c r="P427" s="62"/>
      <c r="Q427" s="62"/>
      <c r="R427" s="62"/>
      <c r="S427" s="62"/>
      <c r="T427" s="62"/>
      <c r="U427" s="62"/>
      <c r="V427" s="62"/>
      <c r="W427" s="62"/>
      <c r="X427" s="62"/>
      <c r="Y427" s="62"/>
      <c r="Z427" s="62"/>
      <c r="AA427" s="62"/>
      <c r="AB427" s="62"/>
      <c r="AC427" s="62"/>
      <c r="AD427" s="62"/>
      <c r="AE427" s="62"/>
      <c r="AF427" s="62"/>
      <c r="AG427" s="62"/>
      <c r="AH427" s="62"/>
      <c r="AI427" s="62"/>
      <c r="AJ427" s="62"/>
      <c r="AK427" s="62"/>
      <c r="AL427" s="62"/>
      <c r="AM427" s="62"/>
      <c r="AN427" s="62"/>
      <c r="AO427" s="62"/>
      <c r="AP427" s="62"/>
      <c r="AQ427" s="62"/>
      <c r="AR427" s="62"/>
      <c r="AS427" s="62"/>
      <c r="AT427" s="62"/>
      <c r="AU427" s="62"/>
      <c r="AV427" s="62"/>
      <c r="AW427" s="62"/>
      <c r="AX427" s="62"/>
    </row>
    <row r="428" spans="1:50" ht="14.25" customHeight="1" x14ac:dyDescent="0.3">
      <c r="A428" s="58"/>
      <c r="B428" s="58"/>
      <c r="C428" s="58"/>
      <c r="D428" s="58"/>
      <c r="E428" s="58"/>
      <c r="F428" s="58"/>
      <c r="G428" s="59"/>
      <c r="H428" s="60"/>
      <c r="I428" s="60"/>
      <c r="J428" s="59"/>
      <c r="K428" s="61"/>
      <c r="M428" s="62"/>
      <c r="N428" s="62"/>
      <c r="O428" s="62"/>
      <c r="P428" s="62"/>
      <c r="Q428" s="62"/>
      <c r="R428" s="62"/>
      <c r="S428" s="62"/>
      <c r="T428" s="62"/>
      <c r="U428" s="62"/>
      <c r="V428" s="62"/>
      <c r="W428" s="62"/>
      <c r="X428" s="62"/>
      <c r="Y428" s="62"/>
      <c r="Z428" s="62"/>
      <c r="AA428" s="62"/>
      <c r="AB428" s="62"/>
      <c r="AC428" s="62"/>
      <c r="AD428" s="62"/>
      <c r="AE428" s="62"/>
      <c r="AF428" s="62"/>
      <c r="AG428" s="62"/>
      <c r="AH428" s="62"/>
      <c r="AI428" s="62"/>
      <c r="AJ428" s="62"/>
      <c r="AK428" s="62"/>
      <c r="AL428" s="62"/>
      <c r="AM428" s="62"/>
      <c r="AN428" s="62"/>
      <c r="AO428" s="62"/>
      <c r="AP428" s="62"/>
      <c r="AQ428" s="62"/>
      <c r="AR428" s="62"/>
      <c r="AS428" s="62"/>
      <c r="AT428" s="62"/>
      <c r="AU428" s="62"/>
      <c r="AV428" s="62"/>
      <c r="AW428" s="62"/>
      <c r="AX428" s="62"/>
    </row>
    <row r="429" spans="1:50" ht="14.25" customHeight="1" x14ac:dyDescent="0.3">
      <c r="A429" s="58"/>
      <c r="B429" s="58"/>
      <c r="C429" s="58"/>
      <c r="D429" s="58"/>
      <c r="E429" s="58"/>
      <c r="F429" s="58"/>
      <c r="G429" s="59"/>
      <c r="H429" s="60"/>
      <c r="I429" s="60"/>
      <c r="J429" s="59"/>
      <c r="K429" s="61"/>
      <c r="M429" s="62"/>
      <c r="N429" s="62"/>
      <c r="O429" s="62"/>
      <c r="P429" s="62"/>
      <c r="Q429" s="62"/>
      <c r="R429" s="62"/>
      <c r="S429" s="62"/>
      <c r="T429" s="62"/>
      <c r="U429" s="62"/>
      <c r="V429" s="62"/>
      <c r="W429" s="62"/>
      <c r="X429" s="62"/>
      <c r="Y429" s="62"/>
      <c r="Z429" s="62"/>
      <c r="AA429" s="62"/>
      <c r="AB429" s="62"/>
      <c r="AC429" s="62"/>
      <c r="AD429" s="62"/>
      <c r="AE429" s="62"/>
      <c r="AF429" s="62"/>
      <c r="AG429" s="62"/>
      <c r="AH429" s="62"/>
      <c r="AI429" s="62"/>
      <c r="AJ429" s="62"/>
      <c r="AK429" s="62"/>
      <c r="AL429" s="62"/>
      <c r="AM429" s="62"/>
      <c r="AN429" s="62"/>
      <c r="AO429" s="62"/>
      <c r="AP429" s="62"/>
      <c r="AQ429" s="62"/>
      <c r="AR429" s="62"/>
      <c r="AS429" s="62"/>
      <c r="AT429" s="62"/>
      <c r="AU429" s="62"/>
      <c r="AV429" s="62"/>
      <c r="AW429" s="62"/>
      <c r="AX429" s="62"/>
    </row>
    <row r="430" spans="1:50" ht="14.25" customHeight="1" x14ac:dyDescent="0.3">
      <c r="A430" s="58"/>
      <c r="B430" s="58"/>
      <c r="C430" s="58"/>
      <c r="D430" s="58"/>
      <c r="E430" s="58"/>
      <c r="F430" s="58"/>
      <c r="G430" s="59"/>
      <c r="H430" s="60"/>
      <c r="I430" s="60"/>
      <c r="J430" s="59"/>
      <c r="K430" s="61"/>
      <c r="M430" s="62"/>
      <c r="N430" s="62"/>
      <c r="O430" s="62"/>
      <c r="P430" s="62"/>
      <c r="Q430" s="62"/>
      <c r="R430" s="62"/>
      <c r="S430" s="62"/>
      <c r="T430" s="62"/>
      <c r="U430" s="62"/>
      <c r="V430" s="62"/>
      <c r="W430" s="62"/>
      <c r="X430" s="62"/>
      <c r="Y430" s="62"/>
      <c r="Z430" s="62"/>
      <c r="AA430" s="62"/>
      <c r="AB430" s="62"/>
      <c r="AC430" s="62"/>
      <c r="AD430" s="62"/>
      <c r="AE430" s="62"/>
      <c r="AF430" s="62"/>
      <c r="AG430" s="62"/>
      <c r="AH430" s="62"/>
      <c r="AI430" s="62"/>
      <c r="AJ430" s="62"/>
      <c r="AK430" s="62"/>
      <c r="AL430" s="62"/>
      <c r="AM430" s="62"/>
      <c r="AN430" s="62"/>
      <c r="AO430" s="62"/>
      <c r="AP430" s="62"/>
      <c r="AQ430" s="62"/>
      <c r="AR430" s="62"/>
      <c r="AS430" s="62"/>
      <c r="AT430" s="62"/>
      <c r="AU430" s="62"/>
      <c r="AV430" s="62"/>
      <c r="AW430" s="62"/>
      <c r="AX430" s="62"/>
    </row>
    <row r="431" spans="1:50" ht="14.25" customHeight="1" x14ac:dyDescent="0.3">
      <c r="A431" s="58"/>
      <c r="B431" s="58"/>
      <c r="C431" s="58"/>
      <c r="D431" s="58"/>
      <c r="E431" s="58"/>
      <c r="F431" s="58"/>
      <c r="G431" s="59"/>
      <c r="H431" s="60"/>
      <c r="I431" s="60"/>
      <c r="J431" s="59"/>
      <c r="K431" s="61"/>
      <c r="M431" s="62"/>
      <c r="N431" s="62"/>
      <c r="O431" s="62"/>
      <c r="P431" s="62"/>
      <c r="Q431" s="62"/>
      <c r="R431" s="62"/>
      <c r="S431" s="62"/>
      <c r="T431" s="62"/>
      <c r="U431" s="62"/>
      <c r="V431" s="62"/>
      <c r="W431" s="62"/>
      <c r="X431" s="62"/>
      <c r="Y431" s="62"/>
      <c r="Z431" s="62"/>
      <c r="AA431" s="62"/>
      <c r="AB431" s="62"/>
      <c r="AC431" s="62"/>
      <c r="AD431" s="62"/>
      <c r="AE431" s="62"/>
      <c r="AF431" s="62"/>
      <c r="AG431" s="62"/>
      <c r="AH431" s="62"/>
      <c r="AI431" s="62"/>
      <c r="AJ431" s="62"/>
      <c r="AK431" s="62"/>
      <c r="AL431" s="62"/>
      <c r="AM431" s="62"/>
      <c r="AN431" s="62"/>
      <c r="AO431" s="62"/>
      <c r="AP431" s="62"/>
      <c r="AQ431" s="62"/>
      <c r="AR431" s="62"/>
      <c r="AS431" s="62"/>
      <c r="AT431" s="62"/>
      <c r="AU431" s="62"/>
      <c r="AV431" s="62"/>
      <c r="AW431" s="62"/>
      <c r="AX431" s="62"/>
    </row>
    <row r="432" spans="1:50" ht="14.25" customHeight="1" x14ac:dyDescent="0.3">
      <c r="A432" s="58"/>
      <c r="B432" s="58"/>
      <c r="C432" s="58"/>
      <c r="D432" s="58"/>
      <c r="E432" s="58"/>
      <c r="F432" s="58"/>
      <c r="G432" s="59"/>
      <c r="H432" s="60"/>
      <c r="I432" s="60"/>
      <c r="J432" s="59"/>
      <c r="K432" s="61"/>
      <c r="M432" s="62"/>
      <c r="N432" s="62"/>
      <c r="O432" s="62"/>
      <c r="P432" s="62"/>
      <c r="Q432" s="62"/>
      <c r="R432" s="62"/>
      <c r="S432" s="62"/>
      <c r="T432" s="62"/>
      <c r="U432" s="62"/>
      <c r="V432" s="62"/>
      <c r="W432" s="62"/>
      <c r="X432" s="62"/>
      <c r="Y432" s="62"/>
      <c r="Z432" s="62"/>
      <c r="AA432" s="62"/>
      <c r="AB432" s="62"/>
      <c r="AC432" s="62"/>
      <c r="AD432" s="62"/>
      <c r="AE432" s="62"/>
      <c r="AF432" s="62"/>
      <c r="AG432" s="62"/>
      <c r="AH432" s="62"/>
      <c r="AI432" s="62"/>
      <c r="AJ432" s="62"/>
      <c r="AK432" s="62"/>
      <c r="AL432" s="62"/>
      <c r="AM432" s="62"/>
      <c r="AN432" s="62"/>
      <c r="AO432" s="62"/>
      <c r="AP432" s="62"/>
      <c r="AQ432" s="62"/>
      <c r="AR432" s="62"/>
      <c r="AS432" s="62"/>
      <c r="AT432" s="62"/>
      <c r="AU432" s="62"/>
      <c r="AV432" s="62"/>
      <c r="AW432" s="62"/>
      <c r="AX432" s="62"/>
    </row>
    <row r="433" spans="1:50" ht="14.25" customHeight="1" x14ac:dyDescent="0.3">
      <c r="A433" s="58"/>
      <c r="B433" s="58"/>
      <c r="C433" s="58"/>
      <c r="D433" s="58"/>
      <c r="E433" s="58"/>
      <c r="F433" s="58"/>
      <c r="G433" s="59"/>
      <c r="H433" s="60"/>
      <c r="I433" s="60"/>
      <c r="J433" s="59"/>
      <c r="K433" s="61"/>
      <c r="M433" s="62"/>
      <c r="N433" s="62"/>
      <c r="O433" s="62"/>
      <c r="P433" s="62"/>
      <c r="Q433" s="62"/>
      <c r="R433" s="62"/>
      <c r="S433" s="62"/>
      <c r="T433" s="62"/>
      <c r="U433" s="62"/>
      <c r="V433" s="62"/>
      <c r="W433" s="62"/>
      <c r="X433" s="62"/>
      <c r="Y433" s="62"/>
      <c r="Z433" s="62"/>
      <c r="AA433" s="62"/>
      <c r="AB433" s="62"/>
      <c r="AC433" s="62"/>
      <c r="AD433" s="62"/>
      <c r="AE433" s="62"/>
      <c r="AF433" s="62"/>
      <c r="AG433" s="62"/>
      <c r="AH433" s="62"/>
      <c r="AI433" s="62"/>
      <c r="AJ433" s="62"/>
      <c r="AK433" s="62"/>
      <c r="AL433" s="62"/>
      <c r="AM433" s="62"/>
      <c r="AN433" s="62"/>
      <c r="AO433" s="62"/>
      <c r="AP433" s="62"/>
      <c r="AQ433" s="62"/>
      <c r="AR433" s="62"/>
      <c r="AS433" s="62"/>
      <c r="AT433" s="62"/>
      <c r="AU433" s="62"/>
      <c r="AV433" s="62"/>
      <c r="AW433" s="62"/>
      <c r="AX433" s="62"/>
    </row>
    <row r="434" spans="1:50" ht="14.25" customHeight="1" x14ac:dyDescent="0.3">
      <c r="A434" s="58"/>
      <c r="B434" s="58"/>
      <c r="C434" s="58"/>
      <c r="D434" s="58"/>
      <c r="E434" s="58"/>
      <c r="F434" s="58"/>
      <c r="G434" s="59"/>
      <c r="H434" s="60"/>
      <c r="I434" s="60"/>
      <c r="J434" s="59"/>
      <c r="K434" s="61"/>
      <c r="M434" s="62"/>
      <c r="N434" s="62"/>
      <c r="O434" s="62"/>
      <c r="P434" s="62"/>
      <c r="Q434" s="62"/>
      <c r="R434" s="62"/>
      <c r="S434" s="62"/>
      <c r="T434" s="62"/>
      <c r="U434" s="62"/>
      <c r="V434" s="62"/>
      <c r="W434" s="62"/>
      <c r="X434" s="62"/>
      <c r="Y434" s="62"/>
      <c r="Z434" s="62"/>
      <c r="AA434" s="62"/>
      <c r="AB434" s="62"/>
      <c r="AC434" s="62"/>
      <c r="AD434" s="62"/>
      <c r="AE434" s="62"/>
      <c r="AF434" s="62"/>
      <c r="AG434" s="62"/>
      <c r="AH434" s="62"/>
      <c r="AI434" s="62"/>
      <c r="AJ434" s="62"/>
      <c r="AK434" s="62"/>
      <c r="AL434" s="62"/>
      <c r="AM434" s="62"/>
      <c r="AN434" s="62"/>
      <c r="AO434" s="62"/>
      <c r="AP434" s="62"/>
      <c r="AQ434" s="62"/>
      <c r="AR434" s="62"/>
      <c r="AS434" s="62"/>
      <c r="AT434" s="62"/>
      <c r="AU434" s="62"/>
      <c r="AV434" s="62"/>
      <c r="AW434" s="62"/>
      <c r="AX434" s="62"/>
    </row>
    <row r="435" spans="1:50" ht="14.25" customHeight="1" x14ac:dyDescent="0.3">
      <c r="A435" s="58"/>
      <c r="B435" s="58"/>
      <c r="C435" s="58"/>
      <c r="D435" s="58"/>
      <c r="E435" s="58"/>
      <c r="F435" s="58"/>
      <c r="G435" s="59"/>
      <c r="H435" s="60"/>
      <c r="I435" s="60"/>
      <c r="J435" s="59"/>
      <c r="K435" s="61"/>
      <c r="M435" s="62"/>
      <c r="N435" s="62"/>
      <c r="O435" s="62"/>
      <c r="P435" s="62"/>
      <c r="Q435" s="62"/>
      <c r="R435" s="62"/>
      <c r="S435" s="62"/>
      <c r="T435" s="62"/>
      <c r="U435" s="62"/>
      <c r="V435" s="62"/>
      <c r="W435" s="62"/>
      <c r="X435" s="62"/>
      <c r="Y435" s="62"/>
      <c r="Z435" s="62"/>
      <c r="AA435" s="62"/>
      <c r="AB435" s="62"/>
      <c r="AC435" s="62"/>
      <c r="AD435" s="62"/>
      <c r="AE435" s="62"/>
      <c r="AF435" s="62"/>
      <c r="AG435" s="62"/>
      <c r="AH435" s="62"/>
      <c r="AI435" s="62"/>
      <c r="AJ435" s="62"/>
      <c r="AK435" s="62"/>
      <c r="AL435" s="62"/>
      <c r="AM435" s="62"/>
      <c r="AN435" s="62"/>
      <c r="AO435" s="62"/>
      <c r="AP435" s="62"/>
      <c r="AQ435" s="62"/>
      <c r="AR435" s="62"/>
      <c r="AS435" s="62"/>
      <c r="AT435" s="62"/>
      <c r="AU435" s="62"/>
      <c r="AV435" s="62"/>
      <c r="AW435" s="62"/>
      <c r="AX435" s="62"/>
    </row>
    <row r="436" spans="1:50" ht="14.25" customHeight="1" x14ac:dyDescent="0.3">
      <c r="A436" s="58"/>
      <c r="B436" s="58"/>
      <c r="C436" s="58"/>
      <c r="D436" s="58"/>
      <c r="E436" s="58"/>
      <c r="F436" s="58"/>
      <c r="G436" s="59"/>
      <c r="H436" s="60"/>
      <c r="I436" s="60"/>
      <c r="J436" s="59"/>
      <c r="K436" s="61"/>
      <c r="M436" s="62"/>
      <c r="N436" s="62"/>
      <c r="O436" s="62"/>
      <c r="P436" s="62"/>
      <c r="Q436" s="62"/>
      <c r="R436" s="62"/>
      <c r="S436" s="62"/>
      <c r="T436" s="62"/>
      <c r="U436" s="62"/>
      <c r="V436" s="62"/>
      <c r="W436" s="62"/>
      <c r="X436" s="62"/>
      <c r="Y436" s="62"/>
      <c r="Z436" s="62"/>
      <c r="AA436" s="62"/>
      <c r="AB436" s="62"/>
      <c r="AC436" s="62"/>
      <c r="AD436" s="62"/>
      <c r="AE436" s="62"/>
      <c r="AF436" s="62"/>
      <c r="AG436" s="62"/>
      <c r="AH436" s="62"/>
      <c r="AI436" s="62"/>
      <c r="AJ436" s="62"/>
      <c r="AK436" s="62"/>
      <c r="AL436" s="62"/>
      <c r="AM436" s="62"/>
      <c r="AN436" s="62"/>
      <c r="AO436" s="62"/>
      <c r="AP436" s="62"/>
      <c r="AQ436" s="62"/>
      <c r="AR436" s="62"/>
      <c r="AS436" s="62"/>
      <c r="AT436" s="62"/>
      <c r="AU436" s="62"/>
      <c r="AV436" s="62"/>
      <c r="AW436" s="62"/>
      <c r="AX436" s="62"/>
    </row>
    <row r="437" spans="1:50" ht="14.25" customHeight="1" x14ac:dyDescent="0.3">
      <c r="A437" s="58"/>
      <c r="B437" s="58"/>
      <c r="C437" s="58"/>
      <c r="D437" s="58"/>
      <c r="E437" s="58"/>
      <c r="F437" s="58"/>
      <c r="G437" s="59"/>
      <c r="H437" s="60"/>
      <c r="I437" s="60"/>
      <c r="J437" s="59"/>
      <c r="K437" s="61"/>
      <c r="M437" s="62"/>
      <c r="N437" s="62"/>
      <c r="O437" s="62"/>
      <c r="P437" s="62"/>
      <c r="Q437" s="62"/>
      <c r="R437" s="62"/>
      <c r="S437" s="62"/>
      <c r="T437" s="62"/>
      <c r="U437" s="62"/>
      <c r="V437" s="62"/>
      <c r="W437" s="62"/>
      <c r="X437" s="62"/>
      <c r="Y437" s="62"/>
      <c r="Z437" s="62"/>
      <c r="AA437" s="62"/>
      <c r="AB437" s="62"/>
      <c r="AC437" s="62"/>
      <c r="AD437" s="62"/>
      <c r="AE437" s="62"/>
      <c r="AF437" s="62"/>
      <c r="AG437" s="62"/>
      <c r="AH437" s="62"/>
      <c r="AI437" s="62"/>
      <c r="AJ437" s="62"/>
      <c r="AK437" s="62"/>
      <c r="AL437" s="62"/>
      <c r="AM437" s="62"/>
      <c r="AN437" s="62"/>
      <c r="AO437" s="62"/>
      <c r="AP437" s="62"/>
      <c r="AQ437" s="62"/>
      <c r="AR437" s="62"/>
      <c r="AS437" s="62"/>
      <c r="AT437" s="62"/>
      <c r="AU437" s="62"/>
      <c r="AV437" s="62"/>
      <c r="AW437" s="62"/>
      <c r="AX437" s="62"/>
    </row>
    <row r="438" spans="1:50" ht="14.25" customHeight="1" x14ac:dyDescent="0.3">
      <c r="A438" s="58"/>
      <c r="B438" s="58"/>
      <c r="C438" s="58"/>
      <c r="D438" s="58"/>
      <c r="E438" s="58"/>
      <c r="F438" s="58"/>
      <c r="G438" s="59"/>
      <c r="H438" s="60"/>
      <c r="I438" s="60"/>
      <c r="J438" s="59"/>
      <c r="K438" s="61"/>
      <c r="M438" s="62"/>
      <c r="N438" s="62"/>
      <c r="O438" s="62"/>
      <c r="P438" s="62"/>
      <c r="Q438" s="62"/>
      <c r="R438" s="62"/>
      <c r="S438" s="62"/>
      <c r="T438" s="62"/>
      <c r="U438" s="62"/>
      <c r="V438" s="62"/>
      <c r="W438" s="62"/>
      <c r="X438" s="62"/>
      <c r="Y438" s="62"/>
      <c r="Z438" s="62"/>
      <c r="AA438" s="62"/>
      <c r="AB438" s="62"/>
      <c r="AC438" s="62"/>
      <c r="AD438" s="62"/>
      <c r="AE438" s="62"/>
      <c r="AF438" s="62"/>
      <c r="AG438" s="62"/>
      <c r="AH438" s="62"/>
      <c r="AI438" s="62"/>
      <c r="AJ438" s="62"/>
      <c r="AK438" s="62"/>
      <c r="AL438" s="62"/>
      <c r="AM438" s="62"/>
      <c r="AN438" s="62"/>
      <c r="AO438" s="62"/>
      <c r="AP438" s="62"/>
      <c r="AQ438" s="62"/>
      <c r="AR438" s="62"/>
      <c r="AS438" s="62"/>
      <c r="AT438" s="62"/>
      <c r="AU438" s="62"/>
      <c r="AV438" s="62"/>
      <c r="AW438" s="62"/>
      <c r="AX438" s="62"/>
    </row>
    <row r="439" spans="1:50" ht="14.25" customHeight="1" x14ac:dyDescent="0.3">
      <c r="A439" s="58"/>
      <c r="B439" s="58"/>
      <c r="C439" s="58"/>
      <c r="D439" s="58"/>
      <c r="E439" s="58"/>
      <c r="F439" s="58"/>
      <c r="G439" s="59"/>
      <c r="H439" s="60"/>
      <c r="I439" s="60"/>
      <c r="J439" s="59"/>
      <c r="K439" s="61"/>
      <c r="M439" s="62"/>
      <c r="N439" s="62"/>
      <c r="O439" s="62"/>
      <c r="P439" s="62"/>
      <c r="Q439" s="62"/>
      <c r="R439" s="62"/>
      <c r="S439" s="62"/>
      <c r="T439" s="62"/>
      <c r="U439" s="62"/>
      <c r="V439" s="62"/>
      <c r="W439" s="62"/>
      <c r="X439" s="62"/>
      <c r="Y439" s="62"/>
      <c r="Z439" s="62"/>
      <c r="AA439" s="62"/>
      <c r="AB439" s="62"/>
      <c r="AC439" s="62"/>
      <c r="AD439" s="62"/>
      <c r="AE439" s="62"/>
      <c r="AF439" s="62"/>
      <c r="AG439" s="62"/>
      <c r="AH439" s="62"/>
      <c r="AI439" s="62"/>
      <c r="AJ439" s="62"/>
      <c r="AK439" s="62"/>
      <c r="AL439" s="62"/>
      <c r="AM439" s="62"/>
      <c r="AN439" s="62"/>
      <c r="AO439" s="62"/>
      <c r="AP439" s="62"/>
      <c r="AQ439" s="62"/>
      <c r="AR439" s="62"/>
      <c r="AS439" s="62"/>
      <c r="AT439" s="62"/>
      <c r="AU439" s="62"/>
      <c r="AV439" s="62"/>
      <c r="AW439" s="62"/>
      <c r="AX439" s="62"/>
    </row>
    <row r="440" spans="1:50" ht="14.25" customHeight="1" x14ac:dyDescent="0.3">
      <c r="A440" s="58"/>
      <c r="B440" s="58"/>
      <c r="C440" s="58"/>
      <c r="D440" s="58"/>
      <c r="E440" s="58"/>
      <c r="F440" s="58"/>
      <c r="G440" s="59"/>
      <c r="H440" s="60"/>
      <c r="I440" s="60"/>
      <c r="J440" s="59"/>
      <c r="K440" s="61"/>
      <c r="M440" s="62"/>
      <c r="N440" s="62"/>
      <c r="O440" s="62"/>
      <c r="P440" s="62"/>
      <c r="Q440" s="62"/>
      <c r="R440" s="62"/>
      <c r="S440" s="62"/>
      <c r="T440" s="62"/>
      <c r="U440" s="62"/>
      <c r="V440" s="62"/>
      <c r="W440" s="62"/>
      <c r="X440" s="62"/>
      <c r="Y440" s="62"/>
      <c r="Z440" s="62"/>
      <c r="AA440" s="62"/>
      <c r="AB440" s="62"/>
      <c r="AC440" s="62"/>
      <c r="AD440" s="62"/>
      <c r="AE440" s="62"/>
      <c r="AF440" s="62"/>
      <c r="AG440" s="62"/>
      <c r="AH440" s="62"/>
      <c r="AI440" s="62"/>
      <c r="AJ440" s="62"/>
      <c r="AK440" s="62"/>
      <c r="AL440" s="62"/>
      <c r="AM440" s="62"/>
      <c r="AN440" s="62"/>
      <c r="AO440" s="62"/>
      <c r="AP440" s="62"/>
      <c r="AQ440" s="62"/>
      <c r="AR440" s="62"/>
      <c r="AS440" s="62"/>
      <c r="AT440" s="62"/>
      <c r="AU440" s="62"/>
      <c r="AV440" s="62"/>
      <c r="AW440" s="62"/>
      <c r="AX440" s="62"/>
    </row>
    <row r="441" spans="1:50" ht="14.25" customHeight="1" x14ac:dyDescent="0.3">
      <c r="A441" s="58"/>
      <c r="B441" s="58"/>
      <c r="C441" s="58"/>
      <c r="D441" s="58"/>
      <c r="E441" s="58"/>
      <c r="F441" s="58"/>
      <c r="G441" s="59"/>
      <c r="H441" s="60"/>
      <c r="I441" s="60"/>
      <c r="J441" s="59"/>
      <c r="K441" s="61"/>
      <c r="M441" s="62"/>
      <c r="N441" s="62"/>
      <c r="O441" s="62"/>
      <c r="P441" s="62"/>
      <c r="Q441" s="62"/>
      <c r="R441" s="62"/>
      <c r="S441" s="62"/>
      <c r="T441" s="62"/>
      <c r="U441" s="62"/>
      <c r="V441" s="62"/>
      <c r="W441" s="62"/>
      <c r="X441" s="62"/>
      <c r="Y441" s="62"/>
      <c r="Z441" s="62"/>
      <c r="AA441" s="62"/>
      <c r="AB441" s="62"/>
      <c r="AC441" s="62"/>
      <c r="AD441" s="62"/>
      <c r="AE441" s="62"/>
      <c r="AF441" s="62"/>
      <c r="AG441" s="62"/>
      <c r="AH441" s="62"/>
      <c r="AI441" s="62"/>
      <c r="AJ441" s="62"/>
      <c r="AK441" s="62"/>
      <c r="AL441" s="62"/>
      <c r="AM441" s="62"/>
      <c r="AN441" s="62"/>
      <c r="AO441" s="62"/>
      <c r="AP441" s="62"/>
      <c r="AQ441" s="62"/>
      <c r="AR441" s="62"/>
      <c r="AS441" s="62"/>
      <c r="AT441" s="62"/>
      <c r="AU441" s="62"/>
      <c r="AV441" s="62"/>
      <c r="AW441" s="62"/>
      <c r="AX441" s="62"/>
    </row>
    <row r="442" spans="1:50" ht="14.25" customHeight="1" x14ac:dyDescent="0.3">
      <c r="A442" s="58"/>
      <c r="B442" s="58"/>
      <c r="C442" s="58"/>
      <c r="D442" s="58"/>
      <c r="E442" s="58"/>
      <c r="F442" s="58"/>
      <c r="G442" s="59"/>
      <c r="H442" s="60"/>
      <c r="I442" s="60"/>
      <c r="J442" s="59"/>
      <c r="K442" s="61"/>
      <c r="M442" s="62"/>
      <c r="N442" s="62"/>
      <c r="O442" s="62"/>
      <c r="P442" s="62"/>
      <c r="Q442" s="62"/>
      <c r="R442" s="62"/>
      <c r="S442" s="62"/>
      <c r="T442" s="62"/>
      <c r="U442" s="62"/>
      <c r="V442" s="62"/>
      <c r="W442" s="62"/>
      <c r="X442" s="62"/>
      <c r="Y442" s="62"/>
      <c r="Z442" s="62"/>
      <c r="AA442" s="62"/>
      <c r="AB442" s="62"/>
      <c r="AC442" s="62"/>
      <c r="AD442" s="62"/>
      <c r="AE442" s="62"/>
      <c r="AF442" s="62"/>
      <c r="AG442" s="62"/>
      <c r="AH442" s="62"/>
      <c r="AI442" s="62"/>
      <c r="AJ442" s="62"/>
      <c r="AK442" s="62"/>
      <c r="AL442" s="62"/>
      <c r="AM442" s="62"/>
      <c r="AN442" s="62"/>
      <c r="AO442" s="62"/>
      <c r="AP442" s="62"/>
      <c r="AQ442" s="62"/>
      <c r="AR442" s="62"/>
      <c r="AS442" s="62"/>
      <c r="AT442" s="62"/>
      <c r="AU442" s="62"/>
      <c r="AV442" s="62"/>
      <c r="AW442" s="62"/>
      <c r="AX442" s="62"/>
    </row>
    <row r="443" spans="1:50" ht="14.25" customHeight="1" x14ac:dyDescent="0.3">
      <c r="A443" s="58"/>
      <c r="B443" s="58"/>
      <c r="C443" s="58"/>
      <c r="D443" s="58"/>
      <c r="E443" s="58"/>
      <c r="F443" s="58"/>
      <c r="G443" s="59"/>
      <c r="H443" s="60"/>
      <c r="I443" s="60"/>
      <c r="J443" s="59"/>
      <c r="K443" s="61"/>
      <c r="M443" s="62"/>
      <c r="N443" s="62"/>
      <c r="O443" s="62"/>
      <c r="P443" s="62"/>
      <c r="Q443" s="62"/>
      <c r="R443" s="62"/>
      <c r="S443" s="62"/>
      <c r="T443" s="62"/>
      <c r="U443" s="62"/>
      <c r="V443" s="62"/>
      <c r="W443" s="62"/>
      <c r="X443" s="62"/>
      <c r="Y443" s="62"/>
      <c r="Z443" s="62"/>
      <c r="AA443" s="62"/>
      <c r="AB443" s="62"/>
      <c r="AC443" s="62"/>
      <c r="AD443" s="62"/>
      <c r="AE443" s="62"/>
      <c r="AF443" s="62"/>
      <c r="AG443" s="62"/>
      <c r="AH443" s="62"/>
      <c r="AI443" s="62"/>
      <c r="AJ443" s="62"/>
      <c r="AK443" s="62"/>
      <c r="AL443" s="62"/>
      <c r="AM443" s="62"/>
      <c r="AN443" s="62"/>
      <c r="AO443" s="62"/>
      <c r="AP443" s="62"/>
      <c r="AQ443" s="62"/>
      <c r="AR443" s="62"/>
      <c r="AS443" s="62"/>
      <c r="AT443" s="62"/>
      <c r="AU443" s="62"/>
      <c r="AV443" s="62"/>
      <c r="AW443" s="62"/>
      <c r="AX443" s="62"/>
    </row>
    <row r="444" spans="1:50" ht="14.25" customHeight="1" x14ac:dyDescent="0.3">
      <c r="A444" s="58"/>
      <c r="B444" s="58"/>
      <c r="C444" s="58"/>
      <c r="D444" s="58"/>
      <c r="E444" s="58"/>
      <c r="F444" s="58"/>
      <c r="G444" s="59"/>
      <c r="H444" s="60"/>
      <c r="I444" s="60"/>
      <c r="J444" s="59"/>
      <c r="K444" s="61"/>
      <c r="M444" s="62"/>
      <c r="N444" s="62"/>
      <c r="O444" s="62"/>
      <c r="P444" s="62"/>
      <c r="Q444" s="62"/>
      <c r="R444" s="62"/>
      <c r="S444" s="62"/>
      <c r="T444" s="62"/>
      <c r="U444" s="62"/>
      <c r="V444" s="62"/>
      <c r="W444" s="62"/>
      <c r="X444" s="62"/>
      <c r="Y444" s="62"/>
      <c r="Z444" s="62"/>
      <c r="AA444" s="62"/>
      <c r="AB444" s="62"/>
      <c r="AC444" s="62"/>
      <c r="AD444" s="62"/>
      <c r="AE444" s="62"/>
      <c r="AF444" s="62"/>
      <c r="AG444" s="62"/>
      <c r="AH444" s="62"/>
      <c r="AI444" s="62"/>
      <c r="AJ444" s="62"/>
      <c r="AK444" s="62"/>
      <c r="AL444" s="62"/>
      <c r="AM444" s="62"/>
      <c r="AN444" s="62"/>
      <c r="AO444" s="62"/>
      <c r="AP444" s="62"/>
      <c r="AQ444" s="62"/>
      <c r="AR444" s="62"/>
      <c r="AS444" s="62"/>
      <c r="AT444" s="62"/>
      <c r="AU444" s="62"/>
      <c r="AV444" s="62"/>
      <c r="AW444" s="62"/>
      <c r="AX444" s="62"/>
    </row>
    <row r="445" spans="1:50" ht="14.25" customHeight="1" x14ac:dyDescent="0.3">
      <c r="A445" s="58"/>
      <c r="B445" s="58"/>
      <c r="C445" s="58"/>
      <c r="D445" s="58"/>
      <c r="E445" s="58"/>
      <c r="F445" s="58"/>
      <c r="G445" s="59"/>
      <c r="H445" s="60"/>
      <c r="I445" s="60"/>
      <c r="J445" s="59"/>
      <c r="K445" s="61"/>
      <c r="M445" s="62"/>
      <c r="N445" s="62"/>
      <c r="O445" s="62"/>
      <c r="P445" s="62"/>
      <c r="Q445" s="62"/>
      <c r="R445" s="62"/>
      <c r="S445" s="62"/>
      <c r="T445" s="62"/>
      <c r="U445" s="62"/>
      <c r="V445" s="62"/>
      <c r="W445" s="62"/>
      <c r="X445" s="62"/>
      <c r="Y445" s="62"/>
      <c r="Z445" s="62"/>
      <c r="AA445" s="62"/>
      <c r="AB445" s="62"/>
      <c r="AC445" s="62"/>
      <c r="AD445" s="62"/>
      <c r="AE445" s="62"/>
      <c r="AF445" s="62"/>
      <c r="AG445" s="62"/>
      <c r="AH445" s="62"/>
      <c r="AI445" s="62"/>
      <c r="AJ445" s="62"/>
      <c r="AK445" s="62"/>
      <c r="AL445" s="62"/>
      <c r="AM445" s="62"/>
      <c r="AN445" s="62"/>
      <c r="AO445" s="62"/>
      <c r="AP445" s="62"/>
      <c r="AQ445" s="62"/>
      <c r="AR445" s="62"/>
      <c r="AS445" s="62"/>
      <c r="AT445" s="62"/>
      <c r="AU445" s="62"/>
      <c r="AV445" s="62"/>
      <c r="AW445" s="62"/>
      <c r="AX445" s="62"/>
    </row>
    <row r="446" spans="1:50" ht="14.25" customHeight="1" x14ac:dyDescent="0.3">
      <c r="A446" s="58"/>
      <c r="B446" s="58"/>
      <c r="C446" s="58"/>
      <c r="D446" s="58"/>
      <c r="E446" s="58"/>
      <c r="F446" s="58"/>
      <c r="G446" s="59"/>
      <c r="H446" s="60"/>
      <c r="I446" s="60"/>
      <c r="J446" s="59"/>
      <c r="K446" s="61"/>
      <c r="M446" s="62"/>
      <c r="N446" s="62"/>
      <c r="O446" s="62"/>
      <c r="P446" s="62"/>
      <c r="Q446" s="62"/>
      <c r="R446" s="62"/>
      <c r="S446" s="62"/>
      <c r="T446" s="62"/>
      <c r="U446" s="62"/>
      <c r="V446" s="62"/>
      <c r="W446" s="62"/>
      <c r="X446" s="62"/>
      <c r="Y446" s="62"/>
      <c r="Z446" s="62"/>
      <c r="AA446" s="62"/>
      <c r="AB446" s="62"/>
      <c r="AC446" s="62"/>
      <c r="AD446" s="62"/>
      <c r="AE446" s="62"/>
      <c r="AF446" s="62"/>
      <c r="AG446" s="62"/>
      <c r="AH446" s="62"/>
      <c r="AI446" s="62"/>
      <c r="AJ446" s="62"/>
      <c r="AK446" s="62"/>
      <c r="AL446" s="62"/>
      <c r="AM446" s="62"/>
      <c r="AN446" s="62"/>
      <c r="AO446" s="62"/>
      <c r="AP446" s="62"/>
      <c r="AQ446" s="62"/>
      <c r="AR446" s="62"/>
      <c r="AS446" s="62"/>
      <c r="AT446" s="62"/>
      <c r="AU446" s="62"/>
      <c r="AV446" s="62"/>
      <c r="AW446" s="62"/>
      <c r="AX446" s="62"/>
    </row>
    <row r="447" spans="1:50" ht="14.25" customHeight="1" x14ac:dyDescent="0.3">
      <c r="A447" s="58"/>
      <c r="B447" s="58"/>
      <c r="C447" s="58"/>
      <c r="D447" s="58"/>
      <c r="E447" s="58"/>
      <c r="F447" s="58"/>
      <c r="G447" s="59"/>
      <c r="H447" s="60"/>
      <c r="I447" s="60"/>
      <c r="J447" s="59"/>
      <c r="K447" s="61"/>
      <c r="M447" s="62"/>
      <c r="N447" s="62"/>
      <c r="O447" s="62"/>
      <c r="P447" s="62"/>
      <c r="Q447" s="62"/>
      <c r="R447" s="62"/>
      <c r="S447" s="62"/>
      <c r="T447" s="62"/>
      <c r="U447" s="62"/>
      <c r="V447" s="62"/>
      <c r="W447" s="62"/>
      <c r="X447" s="62"/>
      <c r="Y447" s="62"/>
      <c r="Z447" s="62"/>
      <c r="AA447" s="62"/>
      <c r="AB447" s="62"/>
      <c r="AC447" s="62"/>
      <c r="AD447" s="62"/>
      <c r="AE447" s="62"/>
      <c r="AF447" s="62"/>
      <c r="AG447" s="62"/>
      <c r="AH447" s="62"/>
      <c r="AI447" s="62"/>
      <c r="AJ447" s="62"/>
      <c r="AK447" s="62"/>
      <c r="AL447" s="62"/>
      <c r="AM447" s="62"/>
      <c r="AN447" s="62"/>
      <c r="AO447" s="62"/>
      <c r="AP447" s="62"/>
      <c r="AQ447" s="62"/>
      <c r="AR447" s="62"/>
      <c r="AS447" s="62"/>
      <c r="AT447" s="62"/>
      <c r="AU447" s="62"/>
      <c r="AV447" s="62"/>
      <c r="AW447" s="62"/>
      <c r="AX447" s="62"/>
    </row>
    <row r="448" spans="1:50" ht="14.25" customHeight="1" x14ac:dyDescent="0.3">
      <c r="A448" s="58"/>
      <c r="B448" s="58"/>
      <c r="C448" s="58"/>
      <c r="D448" s="58"/>
      <c r="E448" s="58"/>
      <c r="F448" s="58"/>
      <c r="G448" s="59"/>
      <c r="H448" s="60"/>
      <c r="I448" s="60"/>
      <c r="J448" s="59"/>
      <c r="K448" s="61"/>
      <c r="M448" s="62"/>
      <c r="N448" s="62"/>
      <c r="O448" s="62"/>
      <c r="P448" s="62"/>
      <c r="Q448" s="62"/>
      <c r="R448" s="62"/>
      <c r="S448" s="62"/>
      <c r="T448" s="62"/>
      <c r="U448" s="62"/>
      <c r="V448" s="62"/>
      <c r="W448" s="62"/>
      <c r="X448" s="62"/>
      <c r="Y448" s="62"/>
      <c r="Z448" s="62"/>
      <c r="AA448" s="62"/>
      <c r="AB448" s="62"/>
      <c r="AC448" s="62"/>
      <c r="AD448" s="62"/>
      <c r="AE448" s="62"/>
      <c r="AF448" s="62"/>
      <c r="AG448" s="62"/>
      <c r="AH448" s="62"/>
      <c r="AI448" s="62"/>
      <c r="AJ448" s="62"/>
      <c r="AK448" s="62"/>
      <c r="AL448" s="62"/>
      <c r="AM448" s="62"/>
      <c r="AN448" s="62"/>
      <c r="AO448" s="62"/>
      <c r="AP448" s="62"/>
      <c r="AQ448" s="62"/>
      <c r="AR448" s="62"/>
      <c r="AS448" s="62"/>
      <c r="AT448" s="62"/>
      <c r="AU448" s="62"/>
      <c r="AV448" s="62"/>
      <c r="AW448" s="62"/>
      <c r="AX448" s="62"/>
    </row>
    <row r="449" spans="1:50" ht="14.25" customHeight="1" x14ac:dyDescent="0.3">
      <c r="A449" s="58"/>
      <c r="B449" s="58"/>
      <c r="C449" s="58"/>
      <c r="D449" s="58"/>
      <c r="E449" s="58"/>
      <c r="F449" s="58"/>
      <c r="G449" s="59"/>
      <c r="H449" s="60"/>
      <c r="I449" s="60"/>
      <c r="J449" s="59"/>
      <c r="K449" s="61"/>
      <c r="M449" s="62"/>
      <c r="N449" s="62"/>
      <c r="O449" s="62"/>
      <c r="P449" s="62"/>
      <c r="Q449" s="62"/>
      <c r="R449" s="62"/>
      <c r="S449" s="62"/>
      <c r="T449" s="62"/>
      <c r="U449" s="62"/>
      <c r="V449" s="62"/>
      <c r="W449" s="62"/>
      <c r="X449" s="62"/>
      <c r="Y449" s="62"/>
      <c r="Z449" s="62"/>
      <c r="AA449" s="62"/>
      <c r="AB449" s="62"/>
      <c r="AC449" s="62"/>
      <c r="AD449" s="62"/>
      <c r="AE449" s="62"/>
      <c r="AF449" s="62"/>
      <c r="AG449" s="62"/>
      <c r="AH449" s="62"/>
      <c r="AI449" s="62"/>
      <c r="AJ449" s="62"/>
      <c r="AK449" s="62"/>
      <c r="AL449" s="62"/>
      <c r="AM449" s="62"/>
      <c r="AN449" s="62"/>
      <c r="AO449" s="62"/>
      <c r="AP449" s="62"/>
      <c r="AQ449" s="62"/>
      <c r="AR449" s="62"/>
      <c r="AS449" s="62"/>
      <c r="AT449" s="62"/>
      <c r="AU449" s="62"/>
      <c r="AV449" s="62"/>
      <c r="AW449" s="62"/>
      <c r="AX449" s="62"/>
    </row>
    <row r="450" spans="1:50" ht="14.25" customHeight="1" x14ac:dyDescent="0.3">
      <c r="A450" s="58"/>
      <c r="B450" s="58"/>
      <c r="C450" s="58"/>
      <c r="D450" s="58"/>
      <c r="E450" s="58"/>
      <c r="F450" s="58"/>
      <c r="G450" s="59"/>
      <c r="H450" s="60"/>
      <c r="I450" s="60"/>
      <c r="J450" s="59"/>
      <c r="K450" s="61"/>
      <c r="M450" s="62"/>
      <c r="N450" s="62"/>
      <c r="O450" s="62"/>
      <c r="P450" s="62"/>
      <c r="Q450" s="62"/>
      <c r="R450" s="62"/>
      <c r="S450" s="62"/>
      <c r="T450" s="62"/>
      <c r="U450" s="62"/>
      <c r="V450" s="62"/>
      <c r="W450" s="62"/>
      <c r="X450" s="62"/>
      <c r="Y450" s="62"/>
      <c r="Z450" s="62"/>
      <c r="AA450" s="62"/>
      <c r="AB450" s="62"/>
      <c r="AC450" s="62"/>
      <c r="AD450" s="62"/>
      <c r="AE450" s="62"/>
      <c r="AF450" s="62"/>
      <c r="AG450" s="62"/>
      <c r="AH450" s="62"/>
      <c r="AI450" s="62"/>
      <c r="AJ450" s="62"/>
      <c r="AK450" s="62"/>
      <c r="AL450" s="62"/>
      <c r="AM450" s="62"/>
      <c r="AN450" s="62"/>
      <c r="AO450" s="62"/>
      <c r="AP450" s="62"/>
      <c r="AQ450" s="62"/>
      <c r="AR450" s="62"/>
      <c r="AS450" s="62"/>
      <c r="AT450" s="62"/>
      <c r="AU450" s="62"/>
      <c r="AV450" s="62"/>
      <c r="AW450" s="62"/>
      <c r="AX450" s="62"/>
    </row>
    <row r="451" spans="1:50" ht="14.25" customHeight="1" x14ac:dyDescent="0.3">
      <c r="A451" s="58"/>
      <c r="B451" s="58"/>
      <c r="C451" s="58"/>
      <c r="D451" s="58"/>
      <c r="E451" s="58"/>
      <c r="F451" s="58"/>
      <c r="G451" s="59"/>
      <c r="H451" s="60"/>
      <c r="I451" s="60"/>
      <c r="J451" s="59"/>
      <c r="K451" s="61"/>
      <c r="M451" s="62"/>
      <c r="N451" s="62"/>
      <c r="O451" s="62"/>
      <c r="P451" s="62"/>
      <c r="Q451" s="62"/>
      <c r="R451" s="62"/>
      <c r="S451" s="62"/>
      <c r="T451" s="62"/>
      <c r="U451" s="62"/>
      <c r="V451" s="62"/>
      <c r="W451" s="62"/>
      <c r="X451" s="62"/>
      <c r="Y451" s="62"/>
      <c r="Z451" s="62"/>
      <c r="AA451" s="62"/>
      <c r="AB451" s="62"/>
      <c r="AC451" s="62"/>
      <c r="AD451" s="62"/>
      <c r="AE451" s="62"/>
      <c r="AF451" s="62"/>
      <c r="AG451" s="62"/>
      <c r="AH451" s="62"/>
      <c r="AI451" s="62"/>
      <c r="AJ451" s="62"/>
      <c r="AK451" s="62"/>
      <c r="AL451" s="62"/>
      <c r="AM451" s="62"/>
      <c r="AN451" s="62"/>
      <c r="AO451" s="62"/>
      <c r="AP451" s="62"/>
      <c r="AQ451" s="62"/>
      <c r="AR451" s="62"/>
      <c r="AS451" s="62"/>
      <c r="AT451" s="62"/>
      <c r="AU451" s="62"/>
      <c r="AV451" s="62"/>
      <c r="AW451" s="62"/>
      <c r="AX451" s="62"/>
    </row>
    <row r="452" spans="1:50" ht="14.25" customHeight="1" x14ac:dyDescent="0.3">
      <c r="A452" s="58"/>
      <c r="B452" s="58"/>
      <c r="C452" s="58"/>
      <c r="D452" s="58"/>
      <c r="E452" s="58"/>
      <c r="F452" s="58"/>
      <c r="G452" s="59"/>
      <c r="H452" s="60"/>
      <c r="I452" s="60"/>
      <c r="J452" s="59"/>
      <c r="K452" s="61"/>
      <c r="M452" s="62"/>
      <c r="N452" s="62"/>
      <c r="O452" s="62"/>
      <c r="P452" s="62"/>
      <c r="Q452" s="62"/>
      <c r="R452" s="62"/>
      <c r="S452" s="62"/>
      <c r="T452" s="62"/>
      <c r="U452" s="62"/>
      <c r="V452" s="62"/>
      <c r="W452" s="62"/>
      <c r="X452" s="62"/>
      <c r="Y452" s="62"/>
      <c r="Z452" s="62"/>
      <c r="AA452" s="62"/>
      <c r="AB452" s="62"/>
      <c r="AC452" s="62"/>
      <c r="AD452" s="62"/>
      <c r="AE452" s="62"/>
      <c r="AF452" s="62"/>
      <c r="AG452" s="62"/>
      <c r="AH452" s="62"/>
      <c r="AI452" s="62"/>
      <c r="AJ452" s="62"/>
      <c r="AK452" s="62"/>
      <c r="AL452" s="62"/>
      <c r="AM452" s="62"/>
      <c r="AN452" s="62"/>
      <c r="AO452" s="62"/>
      <c r="AP452" s="62"/>
      <c r="AQ452" s="62"/>
      <c r="AR452" s="62"/>
      <c r="AS452" s="62"/>
      <c r="AT452" s="62"/>
      <c r="AU452" s="62"/>
      <c r="AV452" s="62"/>
      <c r="AW452" s="62"/>
      <c r="AX452" s="62"/>
    </row>
    <row r="453" spans="1:50" ht="14.25" customHeight="1" x14ac:dyDescent="0.3">
      <c r="A453" s="58"/>
      <c r="B453" s="58"/>
      <c r="C453" s="58"/>
      <c r="D453" s="58"/>
      <c r="E453" s="58"/>
      <c r="F453" s="58"/>
      <c r="G453" s="59"/>
      <c r="H453" s="60"/>
      <c r="I453" s="60"/>
      <c r="J453" s="59"/>
      <c r="K453" s="61"/>
      <c r="M453" s="62"/>
      <c r="N453" s="62"/>
      <c r="O453" s="62"/>
      <c r="P453" s="62"/>
      <c r="Q453" s="62"/>
      <c r="R453" s="62"/>
      <c r="S453" s="62"/>
      <c r="T453" s="62"/>
      <c r="U453" s="62"/>
      <c r="V453" s="62"/>
      <c r="W453" s="62"/>
      <c r="X453" s="62"/>
      <c r="Y453" s="62"/>
      <c r="Z453" s="62"/>
      <c r="AA453" s="62"/>
      <c r="AB453" s="62"/>
      <c r="AC453" s="62"/>
      <c r="AD453" s="62"/>
      <c r="AE453" s="62"/>
      <c r="AF453" s="62"/>
      <c r="AG453" s="62"/>
      <c r="AH453" s="62"/>
      <c r="AI453" s="62"/>
      <c r="AJ453" s="62"/>
      <c r="AK453" s="62"/>
      <c r="AL453" s="62"/>
      <c r="AM453" s="62"/>
      <c r="AN453" s="62"/>
      <c r="AO453" s="62"/>
      <c r="AP453" s="62"/>
      <c r="AQ453" s="62"/>
      <c r="AR453" s="62"/>
      <c r="AS453" s="62"/>
      <c r="AT453" s="62"/>
      <c r="AU453" s="62"/>
      <c r="AV453" s="62"/>
      <c r="AW453" s="62"/>
      <c r="AX453" s="62"/>
    </row>
    <row r="454" spans="1:50" ht="14.25" customHeight="1" x14ac:dyDescent="0.3">
      <c r="A454" s="58"/>
      <c r="B454" s="58"/>
      <c r="C454" s="58"/>
      <c r="D454" s="58"/>
      <c r="E454" s="58"/>
      <c r="F454" s="58"/>
      <c r="G454" s="59"/>
      <c r="H454" s="60"/>
      <c r="I454" s="60"/>
      <c r="J454" s="59"/>
      <c r="K454" s="61"/>
      <c r="M454" s="62"/>
      <c r="N454" s="62"/>
      <c r="O454" s="62"/>
      <c r="P454" s="62"/>
      <c r="Q454" s="62"/>
      <c r="R454" s="62"/>
      <c r="S454" s="62"/>
      <c r="T454" s="62"/>
      <c r="U454" s="62"/>
      <c r="V454" s="62"/>
      <c r="W454" s="62"/>
      <c r="X454" s="62"/>
      <c r="Y454" s="62"/>
      <c r="Z454" s="62"/>
      <c r="AA454" s="62"/>
      <c r="AB454" s="62"/>
      <c r="AC454" s="62"/>
      <c r="AD454" s="62"/>
      <c r="AE454" s="62"/>
      <c r="AF454" s="62"/>
      <c r="AG454" s="62"/>
      <c r="AH454" s="62"/>
      <c r="AI454" s="62"/>
      <c r="AJ454" s="62"/>
      <c r="AK454" s="62"/>
      <c r="AL454" s="62"/>
      <c r="AM454" s="62"/>
      <c r="AN454" s="62"/>
      <c r="AO454" s="62"/>
      <c r="AP454" s="62"/>
      <c r="AQ454" s="62"/>
      <c r="AR454" s="62"/>
      <c r="AS454" s="62"/>
      <c r="AT454" s="62"/>
      <c r="AU454" s="62"/>
      <c r="AV454" s="62"/>
      <c r="AW454" s="62"/>
      <c r="AX454" s="62"/>
    </row>
    <row r="455" spans="1:50" ht="14.25" customHeight="1" x14ac:dyDescent="0.3">
      <c r="A455" s="58"/>
      <c r="B455" s="58"/>
      <c r="C455" s="58"/>
      <c r="D455" s="58"/>
      <c r="E455" s="58"/>
      <c r="F455" s="58"/>
      <c r="G455" s="59"/>
      <c r="H455" s="60"/>
      <c r="I455" s="60"/>
      <c r="J455" s="59"/>
      <c r="K455" s="61"/>
      <c r="M455" s="62"/>
      <c r="N455" s="62"/>
      <c r="O455" s="62"/>
      <c r="P455" s="62"/>
      <c r="Q455" s="62"/>
      <c r="R455" s="62"/>
      <c r="S455" s="62"/>
      <c r="T455" s="62"/>
      <c r="U455" s="62"/>
      <c r="V455" s="62"/>
      <c r="W455" s="62"/>
      <c r="X455" s="62"/>
      <c r="Y455" s="62"/>
      <c r="Z455" s="62"/>
      <c r="AA455" s="62"/>
      <c r="AB455" s="62"/>
      <c r="AC455" s="62"/>
      <c r="AD455" s="62"/>
      <c r="AE455" s="62"/>
      <c r="AF455" s="62"/>
      <c r="AG455" s="62"/>
      <c r="AH455" s="62"/>
      <c r="AI455" s="62"/>
      <c r="AJ455" s="62"/>
      <c r="AK455" s="62"/>
      <c r="AL455" s="62"/>
      <c r="AM455" s="62"/>
      <c r="AN455" s="62"/>
      <c r="AO455" s="62"/>
      <c r="AP455" s="62"/>
      <c r="AQ455" s="62"/>
      <c r="AR455" s="62"/>
      <c r="AS455" s="62"/>
      <c r="AT455" s="62"/>
      <c r="AU455" s="62"/>
      <c r="AV455" s="62"/>
      <c r="AW455" s="62"/>
      <c r="AX455" s="62"/>
    </row>
    <row r="456" spans="1:50" ht="14.25" customHeight="1" x14ac:dyDescent="0.3">
      <c r="A456" s="58"/>
      <c r="B456" s="58"/>
      <c r="C456" s="58"/>
      <c r="D456" s="58"/>
      <c r="E456" s="58"/>
      <c r="F456" s="58"/>
      <c r="G456" s="59"/>
      <c r="H456" s="60"/>
      <c r="I456" s="60"/>
      <c r="J456" s="59"/>
      <c r="K456" s="61"/>
      <c r="M456" s="62"/>
      <c r="N456" s="62"/>
      <c r="O456" s="62"/>
      <c r="P456" s="62"/>
      <c r="Q456" s="62"/>
      <c r="R456" s="62"/>
      <c r="S456" s="62"/>
      <c r="T456" s="62"/>
      <c r="U456" s="62"/>
      <c r="V456" s="62"/>
      <c r="W456" s="62"/>
      <c r="X456" s="62"/>
      <c r="Y456" s="62"/>
      <c r="Z456" s="62"/>
      <c r="AA456" s="62"/>
      <c r="AB456" s="62"/>
      <c r="AC456" s="62"/>
      <c r="AD456" s="62"/>
      <c r="AE456" s="62"/>
      <c r="AF456" s="62"/>
      <c r="AG456" s="62"/>
      <c r="AH456" s="62"/>
      <c r="AI456" s="62"/>
      <c r="AJ456" s="62"/>
      <c r="AK456" s="62"/>
      <c r="AL456" s="62"/>
      <c r="AM456" s="62"/>
      <c r="AN456" s="62"/>
      <c r="AO456" s="62"/>
      <c r="AP456" s="62"/>
      <c r="AQ456" s="62"/>
      <c r="AR456" s="62"/>
      <c r="AS456" s="62"/>
      <c r="AT456" s="62"/>
      <c r="AU456" s="62"/>
      <c r="AV456" s="62"/>
      <c r="AW456" s="62"/>
      <c r="AX456" s="62"/>
    </row>
    <row r="457" spans="1:50" ht="14.25" customHeight="1" x14ac:dyDescent="0.3">
      <c r="A457" s="58"/>
      <c r="B457" s="58"/>
      <c r="C457" s="58"/>
      <c r="D457" s="58"/>
      <c r="E457" s="58"/>
      <c r="F457" s="58"/>
      <c r="G457" s="59"/>
      <c r="H457" s="60"/>
      <c r="I457" s="60"/>
      <c r="J457" s="59"/>
      <c r="K457" s="61"/>
      <c r="M457" s="62"/>
      <c r="N457" s="62"/>
      <c r="O457" s="62"/>
      <c r="P457" s="62"/>
      <c r="Q457" s="62"/>
      <c r="R457" s="62"/>
      <c r="S457" s="62"/>
      <c r="T457" s="62"/>
      <c r="U457" s="62"/>
      <c r="V457" s="62"/>
      <c r="W457" s="62"/>
      <c r="X457" s="62"/>
      <c r="Y457" s="62"/>
      <c r="Z457" s="62"/>
      <c r="AA457" s="62"/>
      <c r="AB457" s="62"/>
      <c r="AC457" s="62"/>
      <c r="AD457" s="62"/>
      <c r="AE457" s="62"/>
      <c r="AF457" s="62"/>
      <c r="AG457" s="62"/>
      <c r="AH457" s="62"/>
      <c r="AI457" s="62"/>
      <c r="AJ457" s="62"/>
      <c r="AK457" s="62"/>
      <c r="AL457" s="62"/>
      <c r="AM457" s="62"/>
      <c r="AN457" s="62"/>
      <c r="AO457" s="62"/>
      <c r="AP457" s="62"/>
      <c r="AQ457" s="62"/>
      <c r="AR457" s="62"/>
      <c r="AS457" s="62"/>
      <c r="AT457" s="62"/>
      <c r="AU457" s="62"/>
      <c r="AV457" s="62"/>
      <c r="AW457" s="62"/>
      <c r="AX457" s="62"/>
    </row>
    <row r="458" spans="1:50" ht="14.25" customHeight="1" x14ac:dyDescent="0.3">
      <c r="A458" s="58"/>
      <c r="B458" s="58"/>
      <c r="C458" s="58"/>
      <c r="D458" s="58"/>
      <c r="E458" s="58"/>
      <c r="F458" s="58"/>
      <c r="G458" s="59"/>
      <c r="H458" s="60"/>
      <c r="I458" s="60"/>
      <c r="J458" s="59"/>
      <c r="K458" s="61"/>
      <c r="M458" s="62"/>
      <c r="N458" s="62"/>
      <c r="O458" s="62"/>
      <c r="P458" s="62"/>
      <c r="Q458" s="62"/>
      <c r="R458" s="62"/>
      <c r="S458" s="62"/>
      <c r="T458" s="62"/>
      <c r="U458" s="62"/>
      <c r="V458" s="62"/>
      <c r="W458" s="62"/>
      <c r="X458" s="62"/>
      <c r="Y458" s="62"/>
      <c r="Z458" s="62"/>
      <c r="AA458" s="62"/>
      <c r="AB458" s="62"/>
      <c r="AC458" s="62"/>
      <c r="AD458" s="62"/>
      <c r="AE458" s="62"/>
      <c r="AF458" s="62"/>
      <c r="AG458" s="62"/>
      <c r="AH458" s="62"/>
      <c r="AI458" s="62"/>
      <c r="AJ458" s="62"/>
      <c r="AK458" s="62"/>
      <c r="AL458" s="62"/>
      <c r="AM458" s="62"/>
      <c r="AN458" s="62"/>
      <c r="AO458" s="62"/>
      <c r="AP458" s="62"/>
      <c r="AQ458" s="62"/>
      <c r="AR458" s="62"/>
      <c r="AS458" s="62"/>
      <c r="AT458" s="62"/>
      <c r="AU458" s="62"/>
      <c r="AV458" s="62"/>
      <c r="AW458" s="62"/>
      <c r="AX458" s="62"/>
    </row>
    <row r="459" spans="1:50" ht="14.25" customHeight="1" x14ac:dyDescent="0.3">
      <c r="A459" s="58"/>
      <c r="B459" s="58"/>
      <c r="C459" s="58"/>
      <c r="D459" s="58"/>
      <c r="E459" s="58"/>
      <c r="F459" s="58"/>
      <c r="G459" s="59"/>
      <c r="H459" s="60"/>
      <c r="I459" s="60"/>
      <c r="J459" s="59"/>
      <c r="K459" s="61"/>
      <c r="M459" s="62"/>
      <c r="N459" s="62"/>
      <c r="O459" s="62"/>
      <c r="P459" s="62"/>
      <c r="Q459" s="62"/>
      <c r="R459" s="62"/>
      <c r="S459" s="62"/>
      <c r="T459" s="62"/>
      <c r="U459" s="62"/>
      <c r="V459" s="62"/>
      <c r="W459" s="62"/>
      <c r="X459" s="62"/>
      <c r="Y459" s="62"/>
      <c r="Z459" s="62"/>
      <c r="AA459" s="62"/>
      <c r="AB459" s="62"/>
      <c r="AC459" s="62"/>
      <c r="AD459" s="62"/>
      <c r="AE459" s="62"/>
      <c r="AF459" s="62"/>
      <c r="AG459" s="62"/>
      <c r="AH459" s="62"/>
      <c r="AI459" s="62"/>
      <c r="AJ459" s="62"/>
      <c r="AK459" s="62"/>
      <c r="AL459" s="62"/>
      <c r="AM459" s="62"/>
      <c r="AN459" s="62"/>
      <c r="AO459" s="62"/>
      <c r="AP459" s="62"/>
      <c r="AQ459" s="62"/>
      <c r="AR459" s="62"/>
      <c r="AS459" s="62"/>
      <c r="AT459" s="62"/>
      <c r="AU459" s="62"/>
      <c r="AV459" s="62"/>
      <c r="AW459" s="62"/>
      <c r="AX459" s="62"/>
    </row>
    <row r="460" spans="1:50" ht="14.25" customHeight="1" x14ac:dyDescent="0.3">
      <c r="A460" s="58"/>
      <c r="B460" s="58"/>
      <c r="C460" s="58"/>
      <c r="D460" s="58"/>
      <c r="E460" s="58"/>
      <c r="F460" s="58"/>
      <c r="G460" s="59"/>
      <c r="H460" s="60"/>
      <c r="I460" s="60"/>
      <c r="J460" s="59"/>
      <c r="K460" s="61"/>
      <c r="M460" s="62"/>
      <c r="N460" s="62"/>
      <c r="O460" s="62"/>
      <c r="P460" s="62"/>
      <c r="Q460" s="62"/>
      <c r="R460" s="62"/>
      <c r="S460" s="62"/>
      <c r="T460" s="62"/>
      <c r="U460" s="62"/>
      <c r="V460" s="62"/>
      <c r="W460" s="62"/>
      <c r="X460" s="62"/>
      <c r="Y460" s="62"/>
      <c r="Z460" s="62"/>
      <c r="AA460" s="62"/>
      <c r="AB460" s="62"/>
      <c r="AC460" s="62"/>
      <c r="AD460" s="62"/>
      <c r="AE460" s="62"/>
      <c r="AF460" s="62"/>
      <c r="AG460" s="62"/>
      <c r="AH460" s="62"/>
      <c r="AI460" s="62"/>
      <c r="AJ460" s="62"/>
      <c r="AK460" s="62"/>
      <c r="AL460" s="62"/>
      <c r="AM460" s="62"/>
      <c r="AN460" s="62"/>
      <c r="AO460" s="62"/>
      <c r="AP460" s="62"/>
      <c r="AQ460" s="62"/>
      <c r="AR460" s="62"/>
      <c r="AS460" s="62"/>
      <c r="AT460" s="62"/>
      <c r="AU460" s="62"/>
      <c r="AV460" s="62"/>
      <c r="AW460" s="62"/>
      <c r="AX460" s="62"/>
    </row>
    <row r="461" spans="1:50" ht="14.25" customHeight="1" x14ac:dyDescent="0.3">
      <c r="A461" s="58"/>
      <c r="B461" s="58"/>
      <c r="C461" s="58"/>
      <c r="D461" s="58"/>
      <c r="E461" s="58"/>
      <c r="F461" s="58"/>
      <c r="G461" s="59"/>
      <c r="H461" s="60"/>
      <c r="I461" s="60"/>
      <c r="J461" s="59"/>
      <c r="K461" s="61"/>
      <c r="M461" s="62"/>
      <c r="N461" s="62"/>
      <c r="O461" s="62"/>
      <c r="P461" s="62"/>
      <c r="Q461" s="62"/>
      <c r="R461" s="62"/>
      <c r="S461" s="62"/>
      <c r="T461" s="62"/>
      <c r="U461" s="62"/>
      <c r="V461" s="62"/>
      <c r="W461" s="62"/>
      <c r="X461" s="62"/>
      <c r="Y461" s="62"/>
      <c r="Z461" s="62"/>
      <c r="AA461" s="62"/>
      <c r="AB461" s="62"/>
      <c r="AC461" s="62"/>
      <c r="AD461" s="62"/>
      <c r="AE461" s="62"/>
      <c r="AF461" s="62"/>
      <c r="AG461" s="62"/>
      <c r="AH461" s="62"/>
      <c r="AI461" s="62"/>
      <c r="AJ461" s="62"/>
      <c r="AK461" s="62"/>
      <c r="AL461" s="62"/>
      <c r="AM461" s="62"/>
      <c r="AN461" s="62"/>
      <c r="AO461" s="62"/>
      <c r="AP461" s="62"/>
      <c r="AQ461" s="62"/>
      <c r="AR461" s="62"/>
      <c r="AS461" s="62"/>
      <c r="AT461" s="62"/>
      <c r="AU461" s="62"/>
      <c r="AV461" s="62"/>
      <c r="AW461" s="62"/>
      <c r="AX461" s="62"/>
    </row>
    <row r="462" spans="1:50" ht="14.25" customHeight="1" x14ac:dyDescent="0.3">
      <c r="A462" s="58"/>
      <c r="B462" s="58"/>
      <c r="C462" s="58"/>
      <c r="D462" s="58"/>
      <c r="E462" s="58"/>
      <c r="F462" s="58"/>
      <c r="G462" s="59"/>
      <c r="H462" s="60"/>
      <c r="I462" s="60"/>
      <c r="J462" s="59"/>
      <c r="K462" s="61"/>
      <c r="M462" s="62"/>
      <c r="N462" s="62"/>
      <c r="O462" s="62"/>
      <c r="P462" s="62"/>
      <c r="Q462" s="62"/>
      <c r="R462" s="62"/>
      <c r="S462" s="62"/>
      <c r="T462" s="62"/>
      <c r="U462" s="62"/>
      <c r="V462" s="62"/>
      <c r="W462" s="62"/>
      <c r="X462" s="62"/>
      <c r="Y462" s="62"/>
      <c r="Z462" s="62"/>
      <c r="AA462" s="62"/>
      <c r="AB462" s="62"/>
      <c r="AC462" s="62"/>
      <c r="AD462" s="62"/>
      <c r="AE462" s="62"/>
      <c r="AF462" s="62"/>
      <c r="AG462" s="62"/>
      <c r="AH462" s="62"/>
      <c r="AI462" s="62"/>
      <c r="AJ462" s="62"/>
      <c r="AK462" s="62"/>
      <c r="AL462" s="62"/>
      <c r="AM462" s="62"/>
      <c r="AN462" s="62"/>
      <c r="AO462" s="62"/>
      <c r="AP462" s="62"/>
      <c r="AQ462" s="62"/>
      <c r="AR462" s="62"/>
      <c r="AS462" s="62"/>
      <c r="AT462" s="62"/>
      <c r="AU462" s="62"/>
      <c r="AV462" s="62"/>
      <c r="AW462" s="62"/>
      <c r="AX462" s="62"/>
    </row>
    <row r="463" spans="1:50" ht="14.25" customHeight="1" x14ac:dyDescent="0.3">
      <c r="A463" s="58"/>
      <c r="B463" s="58"/>
      <c r="C463" s="58"/>
      <c r="D463" s="58"/>
      <c r="E463" s="58"/>
      <c r="F463" s="58"/>
      <c r="G463" s="59"/>
      <c r="H463" s="60"/>
      <c r="I463" s="60"/>
      <c r="J463" s="59"/>
      <c r="K463" s="61"/>
      <c r="M463" s="62"/>
      <c r="N463" s="62"/>
      <c r="O463" s="62"/>
      <c r="P463" s="62"/>
      <c r="Q463" s="62"/>
      <c r="R463" s="62"/>
      <c r="S463" s="62"/>
      <c r="T463" s="62"/>
      <c r="U463" s="62"/>
      <c r="V463" s="62"/>
      <c r="W463" s="62"/>
      <c r="X463" s="62"/>
      <c r="Y463" s="62"/>
      <c r="Z463" s="62"/>
      <c r="AA463" s="62"/>
      <c r="AB463" s="62"/>
      <c r="AC463" s="62"/>
      <c r="AD463" s="62"/>
      <c r="AE463" s="62"/>
      <c r="AF463" s="62"/>
      <c r="AG463" s="62"/>
      <c r="AH463" s="62"/>
      <c r="AI463" s="62"/>
      <c r="AJ463" s="62"/>
      <c r="AK463" s="62"/>
      <c r="AL463" s="62"/>
      <c r="AM463" s="62"/>
      <c r="AN463" s="62"/>
      <c r="AO463" s="62"/>
      <c r="AP463" s="62"/>
      <c r="AQ463" s="62"/>
      <c r="AR463" s="62"/>
      <c r="AS463" s="62"/>
      <c r="AT463" s="62"/>
      <c r="AU463" s="62"/>
      <c r="AV463" s="62"/>
      <c r="AW463" s="62"/>
      <c r="AX463" s="62"/>
    </row>
    <row r="464" spans="1:50" ht="14.25" customHeight="1" x14ac:dyDescent="0.3">
      <c r="A464" s="58"/>
      <c r="B464" s="58"/>
      <c r="C464" s="58"/>
      <c r="D464" s="58"/>
      <c r="E464" s="58"/>
      <c r="F464" s="58"/>
      <c r="G464" s="59"/>
      <c r="H464" s="60"/>
      <c r="I464" s="60"/>
      <c r="J464" s="59"/>
      <c r="K464" s="61"/>
      <c r="M464" s="62"/>
      <c r="N464" s="62"/>
      <c r="O464" s="62"/>
      <c r="P464" s="62"/>
      <c r="Q464" s="62"/>
      <c r="R464" s="62"/>
      <c r="S464" s="62"/>
      <c r="T464" s="62"/>
      <c r="U464" s="62"/>
      <c r="V464" s="62"/>
      <c r="W464" s="62"/>
      <c r="X464" s="62"/>
      <c r="Y464" s="62"/>
      <c r="Z464" s="62"/>
      <c r="AA464" s="62"/>
      <c r="AB464" s="62"/>
      <c r="AC464" s="62"/>
      <c r="AD464" s="62"/>
      <c r="AE464" s="62"/>
      <c r="AF464" s="62"/>
      <c r="AG464" s="62"/>
      <c r="AH464" s="62"/>
      <c r="AI464" s="62"/>
      <c r="AJ464" s="62"/>
      <c r="AK464" s="62"/>
      <c r="AL464" s="62"/>
      <c r="AM464" s="62"/>
      <c r="AN464" s="62"/>
      <c r="AO464" s="62"/>
      <c r="AP464" s="62"/>
      <c r="AQ464" s="62"/>
      <c r="AR464" s="62"/>
      <c r="AS464" s="62"/>
      <c r="AT464" s="62"/>
      <c r="AU464" s="62"/>
      <c r="AV464" s="62"/>
      <c r="AW464" s="62"/>
      <c r="AX464" s="62"/>
    </row>
    <row r="465" spans="1:50" ht="14.25" customHeight="1" x14ac:dyDescent="0.3">
      <c r="A465" s="58"/>
      <c r="B465" s="58"/>
      <c r="C465" s="58"/>
      <c r="D465" s="58"/>
      <c r="E465" s="58"/>
      <c r="F465" s="58"/>
      <c r="G465" s="59"/>
      <c r="H465" s="60"/>
      <c r="I465" s="60"/>
      <c r="J465" s="59"/>
      <c r="K465" s="61"/>
      <c r="M465" s="62"/>
      <c r="N465" s="62"/>
      <c r="O465" s="62"/>
      <c r="P465" s="62"/>
      <c r="Q465" s="62"/>
      <c r="R465" s="62"/>
      <c r="S465" s="62"/>
      <c r="T465" s="62"/>
      <c r="U465" s="62"/>
      <c r="V465" s="62"/>
      <c r="W465" s="62"/>
      <c r="X465" s="62"/>
      <c r="Y465" s="62"/>
      <c r="Z465" s="62"/>
      <c r="AA465" s="62"/>
      <c r="AB465" s="62"/>
      <c r="AC465" s="62"/>
      <c r="AD465" s="62"/>
      <c r="AE465" s="62"/>
      <c r="AF465" s="62"/>
      <c r="AG465" s="62"/>
      <c r="AH465" s="62"/>
      <c r="AI465" s="62"/>
      <c r="AJ465" s="62"/>
      <c r="AK465" s="62"/>
      <c r="AL465" s="62"/>
      <c r="AM465" s="62"/>
      <c r="AN465" s="62"/>
      <c r="AO465" s="62"/>
      <c r="AP465" s="62"/>
      <c r="AQ465" s="62"/>
      <c r="AR465" s="62"/>
      <c r="AS465" s="62"/>
      <c r="AT465" s="62"/>
      <c r="AU465" s="62"/>
      <c r="AV465" s="62"/>
      <c r="AW465" s="62"/>
      <c r="AX465" s="62"/>
    </row>
    <row r="466" spans="1:50" ht="14.25" customHeight="1" x14ac:dyDescent="0.3">
      <c r="A466" s="58"/>
      <c r="B466" s="58"/>
      <c r="C466" s="58"/>
      <c r="D466" s="58"/>
      <c r="E466" s="58"/>
      <c r="F466" s="58"/>
      <c r="G466" s="59"/>
      <c r="H466" s="60"/>
      <c r="I466" s="60"/>
      <c r="J466" s="59"/>
      <c r="K466" s="61"/>
      <c r="M466" s="62"/>
      <c r="N466" s="62"/>
      <c r="O466" s="62"/>
      <c r="P466" s="62"/>
      <c r="Q466" s="62"/>
      <c r="R466" s="62"/>
      <c r="S466" s="62"/>
      <c r="T466" s="62"/>
      <c r="U466" s="62"/>
      <c r="V466" s="62"/>
      <c r="W466" s="62"/>
      <c r="X466" s="62"/>
      <c r="Y466" s="62"/>
      <c r="Z466" s="62"/>
      <c r="AA466" s="62"/>
      <c r="AB466" s="62"/>
      <c r="AC466" s="62"/>
      <c r="AD466" s="62"/>
      <c r="AE466" s="62"/>
      <c r="AF466" s="62"/>
      <c r="AG466" s="62"/>
      <c r="AH466" s="62"/>
      <c r="AI466" s="62"/>
      <c r="AJ466" s="62"/>
      <c r="AK466" s="62"/>
      <c r="AL466" s="62"/>
      <c r="AM466" s="62"/>
      <c r="AN466" s="62"/>
      <c r="AO466" s="62"/>
      <c r="AP466" s="62"/>
      <c r="AQ466" s="62"/>
      <c r="AR466" s="62"/>
      <c r="AS466" s="62"/>
      <c r="AT466" s="62"/>
      <c r="AU466" s="62"/>
      <c r="AV466" s="62"/>
      <c r="AW466" s="62"/>
      <c r="AX466" s="62"/>
    </row>
    <row r="467" spans="1:50" ht="14.25" customHeight="1" x14ac:dyDescent="0.3">
      <c r="A467" s="58"/>
      <c r="B467" s="58"/>
      <c r="C467" s="58"/>
      <c r="D467" s="58"/>
      <c r="E467" s="58"/>
      <c r="F467" s="58"/>
      <c r="G467" s="59"/>
      <c r="H467" s="60"/>
      <c r="I467" s="60"/>
      <c r="J467" s="59"/>
      <c r="K467" s="61"/>
      <c r="M467" s="62"/>
      <c r="N467" s="62"/>
      <c r="O467" s="62"/>
      <c r="P467" s="62"/>
      <c r="Q467" s="62"/>
      <c r="R467" s="62"/>
      <c r="S467" s="62"/>
      <c r="T467" s="62"/>
      <c r="U467" s="62"/>
      <c r="V467" s="62"/>
      <c r="W467" s="62"/>
      <c r="X467" s="62"/>
      <c r="Y467" s="62"/>
      <c r="Z467" s="62"/>
      <c r="AA467" s="62"/>
      <c r="AB467" s="62"/>
      <c r="AC467" s="62"/>
      <c r="AD467" s="62"/>
      <c r="AE467" s="62"/>
      <c r="AF467" s="62"/>
      <c r="AG467" s="62"/>
      <c r="AH467" s="62"/>
      <c r="AI467" s="62"/>
      <c r="AJ467" s="62"/>
      <c r="AK467" s="62"/>
      <c r="AL467" s="62"/>
      <c r="AM467" s="62"/>
      <c r="AN467" s="62"/>
      <c r="AO467" s="62"/>
      <c r="AP467" s="62"/>
      <c r="AQ467" s="62"/>
      <c r="AR467" s="62"/>
      <c r="AS467" s="62"/>
      <c r="AT467" s="62"/>
      <c r="AU467" s="62"/>
      <c r="AV467" s="62"/>
      <c r="AW467" s="62"/>
      <c r="AX467" s="62"/>
    </row>
    <row r="468" spans="1:50" ht="14.25" customHeight="1" x14ac:dyDescent="0.3">
      <c r="A468" s="58"/>
      <c r="B468" s="58"/>
      <c r="C468" s="58"/>
      <c r="D468" s="58"/>
      <c r="E468" s="58"/>
      <c r="F468" s="58"/>
      <c r="G468" s="59"/>
      <c r="H468" s="60"/>
      <c r="I468" s="60"/>
      <c r="J468" s="59"/>
      <c r="K468" s="61"/>
      <c r="M468" s="62"/>
      <c r="N468" s="62"/>
      <c r="O468" s="62"/>
      <c r="P468" s="62"/>
      <c r="Q468" s="62"/>
      <c r="R468" s="62"/>
      <c r="S468" s="62"/>
      <c r="T468" s="62"/>
      <c r="U468" s="62"/>
      <c r="V468" s="62"/>
      <c r="W468" s="62"/>
      <c r="X468" s="62"/>
      <c r="Y468" s="62"/>
      <c r="Z468" s="62"/>
      <c r="AA468" s="62"/>
      <c r="AB468" s="62"/>
      <c r="AC468" s="62"/>
      <c r="AD468" s="62"/>
      <c r="AE468" s="62"/>
      <c r="AF468" s="62"/>
      <c r="AG468" s="62"/>
      <c r="AH468" s="62"/>
      <c r="AI468" s="62"/>
      <c r="AJ468" s="62"/>
      <c r="AK468" s="62"/>
      <c r="AL468" s="62"/>
      <c r="AM468" s="62"/>
      <c r="AN468" s="62"/>
      <c r="AO468" s="62"/>
      <c r="AP468" s="62"/>
      <c r="AQ468" s="62"/>
      <c r="AR468" s="62"/>
      <c r="AS468" s="62"/>
      <c r="AT468" s="62"/>
      <c r="AU468" s="62"/>
      <c r="AV468" s="62"/>
      <c r="AW468" s="62"/>
      <c r="AX468" s="62"/>
    </row>
    <row r="469" spans="1:50" ht="14.25" customHeight="1" x14ac:dyDescent="0.3">
      <c r="A469" s="58"/>
      <c r="B469" s="58"/>
      <c r="C469" s="58"/>
      <c r="D469" s="58"/>
      <c r="E469" s="58"/>
      <c r="F469" s="58"/>
      <c r="G469" s="59"/>
      <c r="H469" s="60"/>
      <c r="I469" s="60"/>
      <c r="J469" s="59"/>
      <c r="K469" s="61"/>
      <c r="M469" s="62"/>
      <c r="N469" s="62"/>
      <c r="O469" s="62"/>
      <c r="P469" s="62"/>
      <c r="Q469" s="62"/>
      <c r="R469" s="62"/>
      <c r="S469" s="62"/>
      <c r="T469" s="62"/>
      <c r="U469" s="62"/>
      <c r="V469" s="62"/>
      <c r="W469" s="62"/>
      <c r="X469" s="62"/>
      <c r="Y469" s="62"/>
      <c r="Z469" s="62"/>
      <c r="AA469" s="62"/>
      <c r="AB469" s="62"/>
      <c r="AC469" s="62"/>
      <c r="AD469" s="62"/>
      <c r="AE469" s="62"/>
      <c r="AF469" s="62"/>
      <c r="AG469" s="62"/>
      <c r="AH469" s="62"/>
      <c r="AI469" s="62"/>
      <c r="AJ469" s="62"/>
      <c r="AK469" s="62"/>
      <c r="AL469" s="62"/>
      <c r="AM469" s="62"/>
      <c r="AN469" s="62"/>
      <c r="AO469" s="62"/>
      <c r="AP469" s="62"/>
      <c r="AQ469" s="62"/>
      <c r="AR469" s="62"/>
      <c r="AS469" s="62"/>
      <c r="AT469" s="62"/>
      <c r="AU469" s="62"/>
      <c r="AV469" s="62"/>
      <c r="AW469" s="62"/>
      <c r="AX469" s="62"/>
    </row>
    <row r="470" spans="1:50" ht="14.25" customHeight="1" x14ac:dyDescent="0.3">
      <c r="A470" s="58"/>
      <c r="B470" s="58"/>
      <c r="C470" s="58"/>
      <c r="D470" s="58"/>
      <c r="E470" s="58"/>
      <c r="F470" s="58"/>
      <c r="G470" s="59"/>
      <c r="H470" s="60"/>
      <c r="I470" s="60"/>
      <c r="J470" s="59"/>
      <c r="K470" s="61"/>
      <c r="M470" s="62"/>
      <c r="N470" s="62"/>
      <c r="O470" s="62"/>
      <c r="P470" s="62"/>
      <c r="Q470" s="62"/>
      <c r="R470" s="62"/>
      <c r="S470" s="62"/>
      <c r="T470" s="62"/>
      <c r="U470" s="62"/>
      <c r="V470" s="62"/>
      <c r="W470" s="62"/>
      <c r="X470" s="62"/>
      <c r="Y470" s="62"/>
      <c r="Z470" s="62"/>
      <c r="AA470" s="62"/>
      <c r="AB470" s="62"/>
      <c r="AC470" s="62"/>
      <c r="AD470" s="62"/>
      <c r="AE470" s="62"/>
      <c r="AF470" s="62"/>
      <c r="AG470" s="62"/>
      <c r="AH470" s="62"/>
      <c r="AI470" s="62"/>
      <c r="AJ470" s="62"/>
      <c r="AK470" s="62"/>
      <c r="AL470" s="62"/>
      <c r="AM470" s="62"/>
      <c r="AN470" s="62"/>
      <c r="AO470" s="62"/>
      <c r="AP470" s="62"/>
      <c r="AQ470" s="62"/>
      <c r="AR470" s="62"/>
      <c r="AS470" s="62"/>
      <c r="AT470" s="62"/>
      <c r="AU470" s="62"/>
      <c r="AV470" s="62"/>
      <c r="AW470" s="62"/>
      <c r="AX470" s="62"/>
    </row>
    <row r="471" spans="1:50" ht="14.25" customHeight="1" x14ac:dyDescent="0.3">
      <c r="A471" s="58"/>
      <c r="B471" s="58"/>
      <c r="C471" s="58"/>
      <c r="D471" s="58"/>
      <c r="E471" s="58"/>
      <c r="F471" s="58"/>
      <c r="G471" s="59"/>
      <c r="H471" s="60"/>
      <c r="I471" s="60"/>
      <c r="J471" s="59"/>
      <c r="K471" s="61"/>
      <c r="M471" s="62"/>
      <c r="N471" s="62"/>
      <c r="O471" s="62"/>
      <c r="P471" s="62"/>
      <c r="Q471" s="62"/>
      <c r="R471" s="62"/>
      <c r="S471" s="62"/>
      <c r="T471" s="62"/>
      <c r="U471" s="62"/>
      <c r="V471" s="62"/>
      <c r="W471" s="62"/>
      <c r="X471" s="62"/>
      <c r="Y471" s="62"/>
      <c r="Z471" s="62"/>
      <c r="AA471" s="62"/>
      <c r="AB471" s="62"/>
      <c r="AC471" s="62"/>
      <c r="AD471" s="62"/>
      <c r="AE471" s="62"/>
      <c r="AF471" s="62"/>
      <c r="AG471" s="62"/>
      <c r="AH471" s="62"/>
      <c r="AI471" s="62"/>
      <c r="AJ471" s="62"/>
      <c r="AK471" s="62"/>
      <c r="AL471" s="62"/>
      <c r="AM471" s="62"/>
      <c r="AN471" s="62"/>
      <c r="AO471" s="62"/>
      <c r="AP471" s="62"/>
      <c r="AQ471" s="62"/>
      <c r="AR471" s="62"/>
      <c r="AS471" s="62"/>
      <c r="AT471" s="62"/>
      <c r="AU471" s="62"/>
      <c r="AV471" s="62"/>
      <c r="AW471" s="62"/>
      <c r="AX471" s="62"/>
    </row>
    <row r="472" spans="1:50" ht="14.25" customHeight="1" x14ac:dyDescent="0.3">
      <c r="A472" s="58"/>
      <c r="B472" s="58"/>
      <c r="C472" s="58"/>
      <c r="D472" s="58"/>
      <c r="E472" s="58"/>
      <c r="F472" s="58"/>
      <c r="G472" s="59"/>
      <c r="H472" s="60"/>
      <c r="I472" s="60"/>
      <c r="J472" s="59"/>
      <c r="K472" s="61"/>
      <c r="M472" s="62"/>
      <c r="N472" s="62"/>
      <c r="O472" s="62"/>
      <c r="P472" s="62"/>
      <c r="Q472" s="62"/>
      <c r="R472" s="62"/>
      <c r="S472" s="62"/>
      <c r="T472" s="62"/>
      <c r="U472" s="62"/>
      <c r="V472" s="62"/>
      <c r="W472" s="62"/>
      <c r="X472" s="62"/>
      <c r="Y472" s="62"/>
      <c r="Z472" s="62"/>
      <c r="AA472" s="62"/>
      <c r="AB472" s="62"/>
      <c r="AC472" s="62"/>
      <c r="AD472" s="62"/>
      <c r="AE472" s="62"/>
      <c r="AF472" s="62"/>
      <c r="AG472" s="62"/>
      <c r="AH472" s="62"/>
      <c r="AI472" s="62"/>
      <c r="AJ472" s="62"/>
      <c r="AK472" s="62"/>
      <c r="AL472" s="62"/>
      <c r="AM472" s="62"/>
      <c r="AN472" s="62"/>
      <c r="AO472" s="62"/>
      <c r="AP472" s="62"/>
      <c r="AQ472" s="62"/>
      <c r="AR472" s="62"/>
      <c r="AS472" s="62"/>
      <c r="AT472" s="62"/>
      <c r="AU472" s="62"/>
      <c r="AV472" s="62"/>
      <c r="AW472" s="62"/>
      <c r="AX472" s="62"/>
    </row>
    <row r="473" spans="1:50" ht="14.25" customHeight="1" x14ac:dyDescent="0.3">
      <c r="A473" s="58"/>
      <c r="B473" s="58"/>
      <c r="C473" s="58"/>
      <c r="D473" s="58"/>
      <c r="E473" s="58"/>
      <c r="F473" s="58"/>
      <c r="G473" s="59"/>
      <c r="H473" s="60"/>
      <c r="I473" s="60"/>
      <c r="J473" s="59"/>
      <c r="K473" s="61"/>
      <c r="M473" s="62"/>
      <c r="N473" s="62"/>
      <c r="O473" s="62"/>
      <c r="P473" s="62"/>
      <c r="Q473" s="62"/>
      <c r="R473" s="62"/>
      <c r="S473" s="62"/>
      <c r="T473" s="62"/>
      <c r="U473" s="62"/>
      <c r="V473" s="62"/>
      <c r="W473" s="62"/>
      <c r="X473" s="62"/>
      <c r="Y473" s="62"/>
      <c r="Z473" s="62"/>
      <c r="AA473" s="62"/>
      <c r="AB473" s="62"/>
      <c r="AC473" s="62"/>
      <c r="AD473" s="62"/>
      <c r="AE473" s="62"/>
      <c r="AF473" s="62"/>
      <c r="AG473" s="62"/>
      <c r="AH473" s="62"/>
      <c r="AI473" s="62"/>
      <c r="AJ473" s="62"/>
      <c r="AK473" s="62"/>
      <c r="AL473" s="62"/>
      <c r="AM473" s="62"/>
      <c r="AN473" s="62"/>
      <c r="AO473" s="62"/>
      <c r="AP473" s="62"/>
      <c r="AQ473" s="62"/>
      <c r="AR473" s="62"/>
      <c r="AS473" s="62"/>
      <c r="AT473" s="62"/>
      <c r="AU473" s="62"/>
      <c r="AV473" s="62"/>
      <c r="AW473" s="62"/>
      <c r="AX473" s="62"/>
    </row>
    <row r="474" spans="1:50" ht="14.25" customHeight="1" x14ac:dyDescent="0.3">
      <c r="A474" s="58"/>
      <c r="B474" s="58"/>
      <c r="C474" s="58"/>
      <c r="D474" s="58"/>
      <c r="E474" s="58"/>
      <c r="F474" s="58"/>
      <c r="G474" s="59"/>
      <c r="H474" s="60"/>
      <c r="I474" s="60"/>
      <c r="J474" s="59"/>
      <c r="K474" s="61"/>
      <c r="M474" s="62"/>
      <c r="N474" s="62"/>
      <c r="O474" s="62"/>
      <c r="P474" s="62"/>
      <c r="Q474" s="62"/>
      <c r="R474" s="62"/>
      <c r="S474" s="62"/>
      <c r="T474" s="62"/>
      <c r="U474" s="62"/>
      <c r="V474" s="62"/>
      <c r="W474" s="62"/>
      <c r="X474" s="62"/>
      <c r="Y474" s="62"/>
      <c r="Z474" s="62"/>
      <c r="AA474" s="62"/>
      <c r="AB474" s="62"/>
      <c r="AC474" s="62"/>
      <c r="AD474" s="62"/>
      <c r="AE474" s="62"/>
      <c r="AF474" s="62"/>
      <c r="AG474" s="62"/>
      <c r="AH474" s="62"/>
      <c r="AI474" s="62"/>
      <c r="AJ474" s="62"/>
      <c r="AK474" s="62"/>
      <c r="AL474" s="62"/>
      <c r="AM474" s="62"/>
      <c r="AN474" s="62"/>
      <c r="AO474" s="62"/>
      <c r="AP474" s="62"/>
      <c r="AQ474" s="62"/>
      <c r="AR474" s="62"/>
      <c r="AS474" s="62"/>
      <c r="AT474" s="62"/>
      <c r="AU474" s="62"/>
      <c r="AV474" s="62"/>
      <c r="AW474" s="62"/>
      <c r="AX474" s="62"/>
    </row>
    <row r="475" spans="1:50" ht="14.25" customHeight="1" x14ac:dyDescent="0.3">
      <c r="A475" s="58"/>
      <c r="B475" s="58"/>
      <c r="C475" s="58"/>
      <c r="D475" s="58"/>
      <c r="E475" s="58"/>
      <c r="F475" s="58"/>
      <c r="G475" s="59"/>
      <c r="H475" s="60"/>
      <c r="I475" s="60"/>
      <c r="J475" s="59"/>
      <c r="K475" s="61"/>
      <c r="M475" s="62"/>
      <c r="N475" s="62"/>
      <c r="O475" s="62"/>
      <c r="P475" s="62"/>
      <c r="Q475" s="62"/>
      <c r="R475" s="62"/>
      <c r="S475" s="62"/>
      <c r="T475" s="62"/>
      <c r="U475" s="62"/>
      <c r="V475" s="62"/>
      <c r="W475" s="62"/>
      <c r="X475" s="62"/>
      <c r="Y475" s="62"/>
      <c r="Z475" s="62"/>
      <c r="AA475" s="62"/>
      <c r="AB475" s="62"/>
      <c r="AC475" s="62"/>
      <c r="AD475" s="62"/>
      <c r="AE475" s="62"/>
      <c r="AF475" s="62"/>
      <c r="AG475" s="62"/>
      <c r="AH475" s="62"/>
      <c r="AI475" s="62"/>
      <c r="AJ475" s="62"/>
      <c r="AK475" s="62"/>
      <c r="AL475" s="62"/>
      <c r="AM475" s="62"/>
      <c r="AN475" s="62"/>
      <c r="AO475" s="62"/>
      <c r="AP475" s="62"/>
      <c r="AQ475" s="62"/>
      <c r="AR475" s="62"/>
      <c r="AS475" s="62"/>
      <c r="AT475" s="62"/>
      <c r="AU475" s="62"/>
      <c r="AV475" s="62"/>
      <c r="AW475" s="62"/>
      <c r="AX475" s="62"/>
    </row>
    <row r="476" spans="1:50" ht="14.25" customHeight="1" x14ac:dyDescent="0.3">
      <c r="A476" s="58"/>
      <c r="B476" s="58"/>
      <c r="C476" s="58"/>
      <c r="D476" s="58"/>
      <c r="E476" s="58"/>
      <c r="F476" s="58"/>
      <c r="G476" s="59"/>
      <c r="H476" s="60"/>
      <c r="I476" s="60"/>
      <c r="J476" s="59"/>
      <c r="K476" s="61"/>
      <c r="M476" s="62"/>
      <c r="N476" s="62"/>
      <c r="O476" s="62"/>
      <c r="P476" s="62"/>
      <c r="Q476" s="62"/>
      <c r="R476" s="62"/>
      <c r="S476" s="62"/>
      <c r="T476" s="62"/>
      <c r="U476" s="62"/>
      <c r="V476" s="62"/>
      <c r="W476" s="62"/>
      <c r="X476" s="62"/>
      <c r="Y476" s="62"/>
      <c r="Z476" s="62"/>
      <c r="AA476" s="62"/>
      <c r="AB476" s="62"/>
      <c r="AC476" s="62"/>
      <c r="AD476" s="62"/>
      <c r="AE476" s="62"/>
      <c r="AF476" s="62"/>
      <c r="AG476" s="62"/>
      <c r="AH476" s="62"/>
      <c r="AI476" s="62"/>
      <c r="AJ476" s="62"/>
      <c r="AK476" s="62"/>
      <c r="AL476" s="62"/>
      <c r="AM476" s="62"/>
      <c r="AN476" s="62"/>
      <c r="AO476" s="62"/>
      <c r="AP476" s="62"/>
      <c r="AQ476" s="62"/>
      <c r="AR476" s="62"/>
      <c r="AS476" s="62"/>
      <c r="AT476" s="62"/>
      <c r="AU476" s="62"/>
      <c r="AV476" s="62"/>
      <c r="AW476" s="62"/>
      <c r="AX476" s="62"/>
    </row>
    <row r="477" spans="1:50" ht="14.25" customHeight="1" x14ac:dyDescent="0.3">
      <c r="A477" s="58"/>
      <c r="B477" s="58"/>
      <c r="C477" s="58"/>
      <c r="D477" s="58"/>
      <c r="E477" s="58"/>
      <c r="F477" s="58"/>
      <c r="G477" s="59"/>
      <c r="H477" s="60"/>
      <c r="I477" s="60"/>
      <c r="J477" s="59"/>
      <c r="K477" s="61"/>
      <c r="M477" s="62"/>
      <c r="N477" s="62"/>
      <c r="O477" s="62"/>
      <c r="P477" s="62"/>
      <c r="Q477" s="62"/>
      <c r="R477" s="62"/>
      <c r="S477" s="62"/>
      <c r="T477" s="62"/>
      <c r="U477" s="62"/>
      <c r="V477" s="62"/>
      <c r="W477" s="62"/>
      <c r="X477" s="62"/>
      <c r="Y477" s="62"/>
      <c r="Z477" s="62"/>
      <c r="AA477" s="62"/>
      <c r="AB477" s="62"/>
      <c r="AC477" s="62"/>
      <c r="AD477" s="62"/>
      <c r="AE477" s="62"/>
      <c r="AF477" s="62"/>
      <c r="AG477" s="62"/>
      <c r="AH477" s="62"/>
      <c r="AI477" s="62"/>
      <c r="AJ477" s="62"/>
      <c r="AK477" s="62"/>
      <c r="AL477" s="62"/>
      <c r="AM477" s="62"/>
      <c r="AN477" s="62"/>
      <c r="AO477" s="62"/>
      <c r="AP477" s="62"/>
      <c r="AQ477" s="62"/>
      <c r="AR477" s="62"/>
      <c r="AS477" s="62"/>
      <c r="AT477" s="62"/>
      <c r="AU477" s="62"/>
      <c r="AV477" s="62"/>
      <c r="AW477" s="62"/>
      <c r="AX477" s="62"/>
    </row>
    <row r="478" spans="1:50" ht="14.25" customHeight="1" x14ac:dyDescent="0.3">
      <c r="A478" s="58"/>
      <c r="B478" s="58"/>
      <c r="C478" s="58"/>
      <c r="D478" s="58"/>
      <c r="E478" s="58"/>
      <c r="F478" s="58"/>
      <c r="G478" s="59"/>
      <c r="H478" s="60"/>
      <c r="I478" s="60"/>
      <c r="J478" s="59"/>
      <c r="K478" s="61"/>
      <c r="M478" s="62"/>
      <c r="N478" s="62"/>
      <c r="O478" s="62"/>
      <c r="P478" s="62"/>
      <c r="Q478" s="62"/>
      <c r="R478" s="62"/>
      <c r="S478" s="62"/>
      <c r="T478" s="62"/>
      <c r="U478" s="62"/>
      <c r="V478" s="62"/>
      <c r="W478" s="62"/>
      <c r="X478" s="62"/>
      <c r="Y478" s="62"/>
      <c r="Z478" s="62"/>
      <c r="AA478" s="62"/>
      <c r="AB478" s="62"/>
      <c r="AC478" s="62"/>
      <c r="AD478" s="62"/>
      <c r="AE478" s="62"/>
      <c r="AF478" s="62"/>
      <c r="AG478" s="62"/>
      <c r="AH478" s="62"/>
      <c r="AI478" s="62"/>
      <c r="AJ478" s="62"/>
      <c r="AK478" s="62"/>
      <c r="AL478" s="62"/>
      <c r="AM478" s="62"/>
      <c r="AN478" s="62"/>
      <c r="AO478" s="62"/>
      <c r="AP478" s="62"/>
      <c r="AQ478" s="62"/>
      <c r="AR478" s="62"/>
      <c r="AS478" s="62"/>
      <c r="AT478" s="62"/>
      <c r="AU478" s="62"/>
      <c r="AV478" s="62"/>
      <c r="AW478" s="62"/>
      <c r="AX478" s="62"/>
    </row>
    <row r="479" spans="1:50" ht="14.25" customHeight="1" x14ac:dyDescent="0.3">
      <c r="A479" s="58"/>
      <c r="B479" s="58"/>
      <c r="C479" s="58"/>
      <c r="D479" s="58"/>
      <c r="E479" s="58"/>
      <c r="F479" s="58"/>
      <c r="G479" s="59"/>
      <c r="H479" s="60"/>
      <c r="I479" s="60"/>
      <c r="J479" s="59"/>
      <c r="K479" s="61"/>
      <c r="M479" s="62"/>
      <c r="N479" s="62"/>
      <c r="O479" s="62"/>
      <c r="P479" s="62"/>
      <c r="Q479" s="62"/>
      <c r="R479" s="62"/>
      <c r="S479" s="62"/>
      <c r="T479" s="62"/>
      <c r="U479" s="62"/>
      <c r="V479" s="62"/>
      <c r="W479" s="62"/>
      <c r="X479" s="62"/>
      <c r="Y479" s="62"/>
      <c r="Z479" s="62"/>
      <c r="AA479" s="62"/>
      <c r="AB479" s="62"/>
      <c r="AC479" s="62"/>
      <c r="AD479" s="62"/>
      <c r="AE479" s="62"/>
      <c r="AF479" s="62"/>
      <c r="AG479" s="62"/>
      <c r="AH479" s="62"/>
      <c r="AI479" s="62"/>
      <c r="AJ479" s="62"/>
      <c r="AK479" s="62"/>
      <c r="AL479" s="62"/>
      <c r="AM479" s="62"/>
      <c r="AN479" s="62"/>
      <c r="AO479" s="62"/>
      <c r="AP479" s="62"/>
      <c r="AQ479" s="62"/>
      <c r="AR479" s="62"/>
      <c r="AS479" s="62"/>
      <c r="AT479" s="62"/>
      <c r="AU479" s="62"/>
      <c r="AV479" s="62"/>
      <c r="AW479" s="62"/>
      <c r="AX479" s="62"/>
    </row>
    <row r="480" spans="1:50" ht="14.25" customHeight="1" x14ac:dyDescent="0.3">
      <c r="A480" s="58"/>
      <c r="B480" s="58"/>
      <c r="C480" s="58"/>
      <c r="D480" s="58"/>
      <c r="E480" s="58"/>
      <c r="F480" s="58"/>
      <c r="G480" s="59"/>
      <c r="H480" s="60"/>
      <c r="I480" s="60"/>
      <c r="J480" s="59"/>
      <c r="K480" s="61"/>
      <c r="M480" s="62"/>
      <c r="N480" s="62"/>
      <c r="O480" s="62"/>
      <c r="P480" s="62"/>
      <c r="Q480" s="62"/>
      <c r="R480" s="62"/>
      <c r="S480" s="62"/>
      <c r="T480" s="62"/>
      <c r="U480" s="62"/>
      <c r="V480" s="62"/>
      <c r="W480" s="62"/>
      <c r="X480" s="62"/>
      <c r="Y480" s="62"/>
      <c r="Z480" s="62"/>
      <c r="AA480" s="62"/>
      <c r="AB480" s="62"/>
      <c r="AC480" s="62"/>
      <c r="AD480" s="62"/>
      <c r="AE480" s="62"/>
      <c r="AF480" s="62"/>
      <c r="AG480" s="62"/>
      <c r="AH480" s="62"/>
      <c r="AI480" s="62"/>
      <c r="AJ480" s="62"/>
      <c r="AK480" s="62"/>
      <c r="AL480" s="62"/>
      <c r="AM480" s="62"/>
      <c r="AN480" s="62"/>
      <c r="AO480" s="62"/>
      <c r="AP480" s="62"/>
      <c r="AQ480" s="62"/>
      <c r="AR480" s="62"/>
      <c r="AS480" s="62"/>
      <c r="AT480" s="62"/>
      <c r="AU480" s="62"/>
      <c r="AV480" s="62"/>
      <c r="AW480" s="62"/>
      <c r="AX480" s="62"/>
    </row>
    <row r="481" spans="1:50" ht="14.25" customHeight="1" x14ac:dyDescent="0.3">
      <c r="A481" s="58"/>
      <c r="B481" s="58"/>
      <c r="C481" s="58"/>
      <c r="D481" s="58"/>
      <c r="E481" s="58"/>
      <c r="F481" s="58"/>
      <c r="G481" s="59"/>
      <c r="H481" s="60"/>
      <c r="I481" s="60"/>
      <c r="J481" s="59"/>
      <c r="K481" s="61"/>
      <c r="M481" s="62"/>
      <c r="N481" s="62"/>
      <c r="O481" s="62"/>
      <c r="P481" s="62"/>
      <c r="Q481" s="62"/>
      <c r="R481" s="62"/>
      <c r="S481" s="62"/>
      <c r="T481" s="62"/>
      <c r="U481" s="62"/>
      <c r="V481" s="62"/>
      <c r="W481" s="62"/>
      <c r="X481" s="62"/>
      <c r="Y481" s="62"/>
      <c r="Z481" s="62"/>
      <c r="AA481" s="62"/>
      <c r="AB481" s="62"/>
      <c r="AC481" s="62"/>
      <c r="AD481" s="62"/>
      <c r="AE481" s="62"/>
      <c r="AF481" s="62"/>
      <c r="AG481" s="62"/>
      <c r="AH481" s="62"/>
      <c r="AI481" s="62"/>
      <c r="AJ481" s="62"/>
      <c r="AK481" s="62"/>
      <c r="AL481" s="62"/>
      <c r="AM481" s="62"/>
      <c r="AN481" s="62"/>
      <c r="AO481" s="62"/>
      <c r="AP481" s="62"/>
      <c r="AQ481" s="62"/>
      <c r="AR481" s="62"/>
      <c r="AS481" s="62"/>
      <c r="AT481" s="62"/>
      <c r="AU481" s="62"/>
      <c r="AV481" s="62"/>
      <c r="AW481" s="62"/>
      <c r="AX481" s="62"/>
    </row>
    <row r="482" spans="1:50" ht="14.25" customHeight="1" x14ac:dyDescent="0.3">
      <c r="A482" s="58"/>
      <c r="B482" s="58"/>
      <c r="C482" s="58"/>
      <c r="D482" s="58"/>
      <c r="E482" s="58"/>
      <c r="F482" s="58"/>
      <c r="G482" s="59"/>
      <c r="H482" s="60"/>
      <c r="I482" s="60"/>
      <c r="J482" s="59"/>
      <c r="K482" s="61"/>
      <c r="M482" s="62"/>
      <c r="N482" s="62"/>
      <c r="O482" s="62"/>
      <c r="P482" s="62"/>
      <c r="Q482" s="62"/>
      <c r="R482" s="62"/>
      <c r="S482" s="62"/>
      <c r="T482" s="62"/>
      <c r="U482" s="62"/>
      <c r="V482" s="62"/>
      <c r="W482" s="62"/>
      <c r="X482" s="62"/>
      <c r="Y482" s="62"/>
      <c r="Z482" s="62"/>
      <c r="AA482" s="62"/>
      <c r="AB482" s="62"/>
      <c r="AC482" s="62"/>
      <c r="AD482" s="62"/>
      <c r="AE482" s="62"/>
      <c r="AF482" s="62"/>
      <c r="AG482" s="62"/>
      <c r="AH482" s="62"/>
      <c r="AI482" s="62"/>
      <c r="AJ482" s="62"/>
      <c r="AK482" s="62"/>
      <c r="AL482" s="62"/>
      <c r="AM482" s="62"/>
      <c r="AN482" s="62"/>
      <c r="AO482" s="62"/>
      <c r="AP482" s="62"/>
      <c r="AQ482" s="62"/>
      <c r="AR482" s="62"/>
      <c r="AS482" s="62"/>
      <c r="AT482" s="62"/>
      <c r="AU482" s="62"/>
      <c r="AV482" s="62"/>
      <c r="AW482" s="62"/>
      <c r="AX482" s="62"/>
    </row>
    <row r="483" spans="1:50" ht="14.25" customHeight="1" x14ac:dyDescent="0.3">
      <c r="A483" s="58"/>
      <c r="B483" s="58"/>
      <c r="C483" s="58"/>
      <c r="D483" s="58"/>
      <c r="E483" s="58"/>
      <c r="F483" s="58"/>
      <c r="G483" s="59"/>
      <c r="H483" s="60"/>
      <c r="I483" s="60"/>
      <c r="J483" s="59"/>
      <c r="K483" s="61"/>
      <c r="M483" s="62"/>
      <c r="N483" s="62"/>
      <c r="O483" s="62"/>
      <c r="P483" s="62"/>
      <c r="Q483" s="62"/>
      <c r="R483" s="62"/>
      <c r="S483" s="62"/>
      <c r="T483" s="62"/>
      <c r="U483" s="62"/>
      <c r="V483" s="62"/>
      <c r="W483" s="62"/>
      <c r="X483" s="62"/>
      <c r="Y483" s="62"/>
      <c r="Z483" s="62"/>
      <c r="AA483" s="62"/>
      <c r="AB483" s="62"/>
      <c r="AC483" s="62"/>
      <c r="AD483" s="62"/>
      <c r="AE483" s="62"/>
      <c r="AF483" s="62"/>
      <c r="AG483" s="62"/>
      <c r="AH483" s="62"/>
      <c r="AI483" s="62"/>
      <c r="AJ483" s="62"/>
      <c r="AK483" s="62"/>
      <c r="AL483" s="62"/>
      <c r="AM483" s="62"/>
      <c r="AN483" s="62"/>
      <c r="AO483" s="62"/>
      <c r="AP483" s="62"/>
      <c r="AQ483" s="62"/>
      <c r="AR483" s="62"/>
      <c r="AS483" s="62"/>
      <c r="AT483" s="62"/>
      <c r="AU483" s="62"/>
      <c r="AV483" s="62"/>
      <c r="AW483" s="62"/>
      <c r="AX483" s="62"/>
    </row>
    <row r="484" spans="1:50" ht="14.25" customHeight="1" x14ac:dyDescent="0.3">
      <c r="A484" s="58"/>
      <c r="B484" s="58"/>
      <c r="C484" s="58"/>
      <c r="D484" s="58"/>
      <c r="E484" s="58"/>
      <c r="F484" s="58"/>
      <c r="G484" s="59"/>
      <c r="H484" s="60"/>
      <c r="I484" s="60"/>
      <c r="J484" s="59"/>
      <c r="K484" s="61"/>
      <c r="M484" s="62"/>
      <c r="N484" s="62"/>
      <c r="O484" s="62"/>
      <c r="P484" s="62"/>
      <c r="Q484" s="62"/>
      <c r="R484" s="62"/>
      <c r="S484" s="62"/>
      <c r="T484" s="62"/>
      <c r="U484" s="62"/>
      <c r="V484" s="62"/>
      <c r="W484" s="62"/>
      <c r="X484" s="62"/>
      <c r="Y484" s="62"/>
      <c r="Z484" s="62"/>
      <c r="AA484" s="62"/>
      <c r="AB484" s="62"/>
      <c r="AC484" s="62"/>
      <c r="AD484" s="62"/>
      <c r="AE484" s="62"/>
      <c r="AF484" s="62"/>
      <c r="AG484" s="62"/>
      <c r="AH484" s="62"/>
      <c r="AI484" s="62"/>
      <c r="AJ484" s="62"/>
      <c r="AK484" s="62"/>
      <c r="AL484" s="62"/>
      <c r="AM484" s="62"/>
      <c r="AN484" s="62"/>
      <c r="AO484" s="62"/>
      <c r="AP484" s="62"/>
      <c r="AQ484" s="62"/>
      <c r="AR484" s="62"/>
      <c r="AS484" s="62"/>
      <c r="AT484" s="62"/>
      <c r="AU484" s="62"/>
      <c r="AV484" s="62"/>
      <c r="AW484" s="62"/>
      <c r="AX484" s="62"/>
    </row>
    <row r="485" spans="1:50" ht="14.25" customHeight="1" x14ac:dyDescent="0.3">
      <c r="A485" s="58"/>
      <c r="B485" s="58"/>
      <c r="C485" s="58"/>
      <c r="D485" s="58"/>
      <c r="E485" s="58"/>
      <c r="F485" s="58"/>
      <c r="G485" s="59"/>
      <c r="H485" s="60"/>
      <c r="I485" s="60"/>
      <c r="J485" s="59"/>
      <c r="K485" s="61"/>
      <c r="M485" s="62"/>
      <c r="N485" s="62"/>
      <c r="O485" s="62"/>
      <c r="P485" s="62"/>
      <c r="Q485" s="62"/>
      <c r="R485" s="62"/>
      <c r="S485" s="62"/>
      <c r="T485" s="62"/>
      <c r="U485" s="62"/>
      <c r="V485" s="62"/>
      <c r="W485" s="62"/>
      <c r="X485" s="62"/>
      <c r="Y485" s="62"/>
      <c r="Z485" s="62"/>
      <c r="AA485" s="62"/>
      <c r="AB485" s="62"/>
      <c r="AC485" s="62"/>
      <c r="AD485" s="62"/>
      <c r="AE485" s="62"/>
      <c r="AF485" s="62"/>
      <c r="AG485" s="62"/>
      <c r="AH485" s="62"/>
      <c r="AI485" s="62"/>
      <c r="AJ485" s="62"/>
      <c r="AK485" s="62"/>
      <c r="AL485" s="62"/>
      <c r="AM485" s="62"/>
      <c r="AN485" s="62"/>
      <c r="AO485" s="62"/>
      <c r="AP485" s="62"/>
      <c r="AQ485" s="62"/>
      <c r="AR485" s="62"/>
      <c r="AS485" s="62"/>
      <c r="AT485" s="62"/>
      <c r="AU485" s="62"/>
      <c r="AV485" s="62"/>
      <c r="AW485" s="62"/>
      <c r="AX485" s="62"/>
    </row>
    <row r="486" spans="1:50" ht="14.25" customHeight="1" x14ac:dyDescent="0.3">
      <c r="A486" s="58"/>
      <c r="B486" s="58"/>
      <c r="C486" s="58"/>
      <c r="D486" s="58"/>
      <c r="E486" s="58"/>
      <c r="F486" s="58"/>
      <c r="G486" s="59"/>
      <c r="H486" s="60"/>
      <c r="I486" s="60"/>
      <c r="J486" s="59"/>
      <c r="K486" s="61"/>
      <c r="M486" s="62"/>
      <c r="N486" s="62"/>
      <c r="O486" s="62"/>
      <c r="P486" s="62"/>
      <c r="Q486" s="62"/>
      <c r="R486" s="62"/>
      <c r="S486" s="62"/>
      <c r="T486" s="62"/>
      <c r="U486" s="62"/>
      <c r="V486" s="62"/>
      <c r="W486" s="62"/>
      <c r="X486" s="62"/>
      <c r="Y486" s="62"/>
      <c r="Z486" s="62"/>
      <c r="AA486" s="62"/>
      <c r="AB486" s="62"/>
      <c r="AC486" s="62"/>
      <c r="AD486" s="62"/>
      <c r="AE486" s="62"/>
      <c r="AF486" s="62"/>
      <c r="AG486" s="62"/>
      <c r="AH486" s="62"/>
      <c r="AI486" s="62"/>
      <c r="AJ486" s="62"/>
      <c r="AK486" s="62"/>
      <c r="AL486" s="62"/>
      <c r="AM486" s="62"/>
      <c r="AN486" s="62"/>
      <c r="AO486" s="62"/>
      <c r="AP486" s="62"/>
      <c r="AQ486" s="62"/>
      <c r="AR486" s="62"/>
      <c r="AS486" s="62"/>
      <c r="AT486" s="62"/>
      <c r="AU486" s="62"/>
      <c r="AV486" s="62"/>
      <c r="AW486" s="62"/>
      <c r="AX486" s="62"/>
    </row>
    <row r="487" spans="1:50" ht="14.25" customHeight="1" x14ac:dyDescent="0.3">
      <c r="A487" s="58"/>
      <c r="B487" s="58"/>
      <c r="C487" s="58"/>
      <c r="D487" s="58"/>
      <c r="E487" s="58"/>
      <c r="F487" s="58"/>
      <c r="G487" s="59"/>
      <c r="H487" s="60"/>
      <c r="I487" s="60"/>
      <c r="J487" s="59"/>
      <c r="K487" s="61"/>
      <c r="M487" s="62"/>
      <c r="N487" s="62"/>
      <c r="O487" s="62"/>
      <c r="P487" s="62"/>
      <c r="Q487" s="62"/>
      <c r="R487" s="62"/>
      <c r="S487" s="62"/>
      <c r="T487" s="62"/>
      <c r="U487" s="62"/>
      <c r="V487" s="62"/>
      <c r="W487" s="62"/>
      <c r="X487" s="62"/>
      <c r="Y487" s="62"/>
      <c r="Z487" s="62"/>
      <c r="AA487" s="62"/>
      <c r="AB487" s="62"/>
      <c r="AC487" s="62"/>
      <c r="AD487" s="62"/>
      <c r="AE487" s="62"/>
      <c r="AF487" s="62"/>
      <c r="AG487" s="62"/>
      <c r="AH487" s="62"/>
      <c r="AI487" s="62"/>
      <c r="AJ487" s="62"/>
      <c r="AK487" s="62"/>
      <c r="AL487" s="62"/>
      <c r="AM487" s="62"/>
      <c r="AN487" s="62"/>
      <c r="AO487" s="62"/>
      <c r="AP487" s="62"/>
      <c r="AQ487" s="62"/>
      <c r="AR487" s="62"/>
      <c r="AS487" s="62"/>
      <c r="AT487" s="62"/>
      <c r="AU487" s="62"/>
      <c r="AV487" s="62"/>
      <c r="AW487" s="62"/>
      <c r="AX487" s="62"/>
    </row>
    <row r="488" spans="1:50" ht="14.25" customHeight="1" x14ac:dyDescent="0.3">
      <c r="A488" s="58"/>
      <c r="B488" s="58"/>
      <c r="C488" s="58"/>
      <c r="D488" s="58"/>
      <c r="E488" s="58"/>
      <c r="F488" s="58"/>
      <c r="G488" s="59"/>
      <c r="H488" s="60"/>
      <c r="I488" s="60"/>
      <c r="J488" s="59"/>
      <c r="K488" s="61"/>
      <c r="M488" s="62"/>
      <c r="N488" s="62"/>
      <c r="O488" s="62"/>
      <c r="P488" s="62"/>
      <c r="Q488" s="62"/>
      <c r="R488" s="62"/>
      <c r="S488" s="62"/>
      <c r="T488" s="62"/>
      <c r="U488" s="62"/>
      <c r="V488" s="62"/>
      <c r="W488" s="62"/>
      <c r="X488" s="62"/>
      <c r="Y488" s="62"/>
      <c r="Z488" s="62"/>
      <c r="AA488" s="62"/>
      <c r="AB488" s="62"/>
      <c r="AC488" s="62"/>
      <c r="AD488" s="62"/>
      <c r="AE488" s="62"/>
      <c r="AF488" s="62"/>
      <c r="AG488" s="62"/>
      <c r="AH488" s="62"/>
      <c r="AI488" s="62"/>
      <c r="AJ488" s="62"/>
      <c r="AK488" s="62"/>
      <c r="AL488" s="62"/>
      <c r="AM488" s="62"/>
      <c r="AN488" s="62"/>
      <c r="AO488" s="62"/>
      <c r="AP488" s="62"/>
      <c r="AQ488" s="62"/>
      <c r="AR488" s="62"/>
      <c r="AS488" s="62"/>
      <c r="AT488" s="62"/>
      <c r="AU488" s="62"/>
      <c r="AV488" s="62"/>
      <c r="AW488" s="62"/>
      <c r="AX488" s="62"/>
    </row>
    <row r="489" spans="1:50" ht="14.25" customHeight="1" x14ac:dyDescent="0.3">
      <c r="A489" s="58"/>
      <c r="B489" s="58"/>
      <c r="C489" s="58"/>
      <c r="D489" s="58"/>
      <c r="E489" s="58"/>
      <c r="F489" s="58"/>
      <c r="G489" s="59"/>
      <c r="H489" s="60"/>
      <c r="I489" s="60"/>
      <c r="J489" s="59"/>
      <c r="K489" s="61"/>
      <c r="M489" s="62"/>
      <c r="N489" s="62"/>
      <c r="O489" s="62"/>
      <c r="P489" s="62"/>
      <c r="Q489" s="62"/>
      <c r="R489" s="62"/>
      <c r="S489" s="62"/>
      <c r="T489" s="62"/>
      <c r="U489" s="62"/>
      <c r="V489" s="62"/>
      <c r="W489" s="62"/>
      <c r="X489" s="62"/>
      <c r="Y489" s="62"/>
      <c r="Z489" s="62"/>
      <c r="AA489" s="62"/>
      <c r="AB489" s="62"/>
      <c r="AC489" s="62"/>
      <c r="AD489" s="62"/>
      <c r="AE489" s="62"/>
      <c r="AF489" s="62"/>
      <c r="AG489" s="62"/>
      <c r="AH489" s="62"/>
      <c r="AI489" s="62"/>
      <c r="AJ489" s="62"/>
      <c r="AK489" s="62"/>
      <c r="AL489" s="62"/>
      <c r="AM489" s="62"/>
      <c r="AN489" s="62"/>
      <c r="AO489" s="62"/>
      <c r="AP489" s="62"/>
      <c r="AQ489" s="62"/>
      <c r="AR489" s="62"/>
      <c r="AS489" s="62"/>
      <c r="AT489" s="62"/>
      <c r="AU489" s="62"/>
      <c r="AV489" s="62"/>
      <c r="AW489" s="62"/>
      <c r="AX489" s="62"/>
    </row>
    <row r="490" spans="1:50" ht="14.25" customHeight="1" x14ac:dyDescent="0.3">
      <c r="A490" s="58"/>
      <c r="B490" s="58"/>
      <c r="C490" s="58"/>
      <c r="D490" s="58"/>
      <c r="E490" s="58"/>
      <c r="F490" s="58"/>
      <c r="G490" s="59"/>
      <c r="H490" s="60"/>
      <c r="I490" s="60"/>
      <c r="J490" s="59"/>
      <c r="K490" s="61"/>
      <c r="M490" s="62"/>
      <c r="N490" s="62"/>
      <c r="O490" s="62"/>
      <c r="P490" s="62"/>
      <c r="Q490" s="62"/>
      <c r="R490" s="62"/>
      <c r="S490" s="62"/>
      <c r="T490" s="62"/>
      <c r="U490" s="62"/>
      <c r="V490" s="62"/>
      <c r="W490" s="62"/>
      <c r="X490" s="62"/>
      <c r="Y490" s="62"/>
      <c r="Z490" s="62"/>
      <c r="AA490" s="62"/>
      <c r="AB490" s="62"/>
      <c r="AC490" s="62"/>
      <c r="AD490" s="62"/>
      <c r="AE490" s="62"/>
      <c r="AF490" s="62"/>
      <c r="AG490" s="62"/>
      <c r="AH490" s="62"/>
      <c r="AI490" s="62"/>
      <c r="AJ490" s="62"/>
      <c r="AK490" s="62"/>
      <c r="AL490" s="62"/>
      <c r="AM490" s="62"/>
      <c r="AN490" s="62"/>
      <c r="AO490" s="62"/>
      <c r="AP490" s="62"/>
      <c r="AQ490" s="62"/>
      <c r="AR490" s="62"/>
      <c r="AS490" s="62"/>
      <c r="AT490" s="62"/>
      <c r="AU490" s="62"/>
      <c r="AV490" s="62"/>
      <c r="AW490" s="62"/>
      <c r="AX490" s="62"/>
    </row>
    <row r="491" spans="1:50" ht="14.25" customHeight="1" x14ac:dyDescent="0.3">
      <c r="A491" s="58"/>
      <c r="B491" s="58"/>
      <c r="C491" s="58"/>
      <c r="D491" s="58"/>
      <c r="E491" s="58"/>
      <c r="F491" s="58"/>
      <c r="G491" s="59"/>
      <c r="H491" s="60"/>
      <c r="I491" s="60"/>
      <c r="J491" s="59"/>
      <c r="K491" s="61"/>
      <c r="M491" s="62"/>
      <c r="N491" s="62"/>
      <c r="O491" s="62"/>
      <c r="P491" s="62"/>
      <c r="Q491" s="62"/>
      <c r="R491" s="62"/>
      <c r="S491" s="62"/>
      <c r="T491" s="62"/>
      <c r="U491" s="62"/>
      <c r="V491" s="62"/>
      <c r="W491" s="62"/>
      <c r="X491" s="62"/>
      <c r="Y491" s="62"/>
      <c r="Z491" s="62"/>
      <c r="AA491" s="62"/>
      <c r="AB491" s="62"/>
      <c r="AC491" s="62"/>
      <c r="AD491" s="62"/>
      <c r="AE491" s="62"/>
      <c r="AF491" s="62"/>
      <c r="AG491" s="62"/>
      <c r="AH491" s="62"/>
      <c r="AI491" s="62"/>
      <c r="AJ491" s="62"/>
      <c r="AK491" s="62"/>
      <c r="AL491" s="62"/>
      <c r="AM491" s="62"/>
      <c r="AN491" s="62"/>
      <c r="AO491" s="62"/>
      <c r="AP491" s="62"/>
      <c r="AQ491" s="62"/>
      <c r="AR491" s="62"/>
      <c r="AS491" s="62"/>
      <c r="AT491" s="62"/>
      <c r="AU491" s="62"/>
      <c r="AV491" s="62"/>
      <c r="AW491" s="62"/>
      <c r="AX491" s="62"/>
    </row>
    <row r="492" spans="1:50" ht="14.25" customHeight="1" x14ac:dyDescent="0.3">
      <c r="A492" s="58"/>
      <c r="B492" s="58"/>
      <c r="C492" s="58"/>
      <c r="D492" s="58"/>
      <c r="E492" s="58"/>
      <c r="F492" s="58"/>
      <c r="G492" s="59"/>
      <c r="H492" s="60"/>
      <c r="I492" s="60"/>
      <c r="J492" s="59"/>
      <c r="K492" s="61"/>
      <c r="M492" s="62"/>
      <c r="N492" s="62"/>
      <c r="O492" s="62"/>
      <c r="P492" s="62"/>
      <c r="Q492" s="62"/>
      <c r="R492" s="62"/>
      <c r="S492" s="62"/>
      <c r="T492" s="62"/>
      <c r="U492" s="62"/>
      <c r="V492" s="62"/>
      <c r="W492" s="62"/>
      <c r="X492" s="62"/>
      <c r="Y492" s="62"/>
      <c r="Z492" s="62"/>
      <c r="AA492" s="62"/>
      <c r="AB492" s="62"/>
      <c r="AC492" s="62"/>
      <c r="AD492" s="62"/>
      <c r="AE492" s="62"/>
      <c r="AF492" s="62"/>
      <c r="AG492" s="62"/>
      <c r="AH492" s="62"/>
      <c r="AI492" s="62"/>
      <c r="AJ492" s="62"/>
      <c r="AK492" s="62"/>
      <c r="AL492" s="62"/>
      <c r="AM492" s="62"/>
      <c r="AN492" s="62"/>
      <c r="AO492" s="62"/>
      <c r="AP492" s="62"/>
      <c r="AQ492" s="62"/>
      <c r="AR492" s="62"/>
      <c r="AS492" s="62"/>
      <c r="AT492" s="62"/>
      <c r="AU492" s="62"/>
      <c r="AV492" s="62"/>
      <c r="AW492" s="62"/>
      <c r="AX492" s="62"/>
    </row>
    <row r="493" spans="1:50" ht="14.25" customHeight="1" x14ac:dyDescent="0.3">
      <c r="A493" s="58"/>
      <c r="B493" s="58"/>
      <c r="C493" s="58"/>
      <c r="D493" s="58"/>
      <c r="E493" s="58"/>
      <c r="F493" s="58"/>
      <c r="G493" s="59"/>
      <c r="H493" s="60"/>
      <c r="I493" s="60"/>
      <c r="J493" s="59"/>
      <c r="K493" s="61"/>
      <c r="M493" s="62"/>
      <c r="N493" s="62"/>
      <c r="O493" s="62"/>
      <c r="P493" s="62"/>
      <c r="Q493" s="62"/>
      <c r="R493" s="62"/>
      <c r="S493" s="62"/>
      <c r="T493" s="62"/>
      <c r="U493" s="62"/>
      <c r="V493" s="62"/>
      <c r="W493" s="62"/>
      <c r="X493" s="62"/>
      <c r="Y493" s="62"/>
      <c r="Z493" s="62"/>
      <c r="AA493" s="62"/>
      <c r="AB493" s="62"/>
      <c r="AC493" s="62"/>
      <c r="AD493" s="62"/>
      <c r="AE493" s="62"/>
      <c r="AF493" s="62"/>
      <c r="AG493" s="62"/>
      <c r="AH493" s="62"/>
      <c r="AI493" s="62"/>
      <c r="AJ493" s="62"/>
      <c r="AK493" s="62"/>
      <c r="AL493" s="62"/>
      <c r="AM493" s="62"/>
      <c r="AN493" s="62"/>
      <c r="AO493" s="62"/>
      <c r="AP493" s="62"/>
      <c r="AQ493" s="62"/>
      <c r="AR493" s="62"/>
      <c r="AS493" s="62"/>
      <c r="AT493" s="62"/>
      <c r="AU493" s="62"/>
      <c r="AV493" s="62"/>
      <c r="AW493" s="62"/>
      <c r="AX493" s="62"/>
    </row>
    <row r="494" spans="1:50" ht="14.25" customHeight="1" x14ac:dyDescent="0.3">
      <c r="A494" s="58"/>
      <c r="B494" s="58"/>
      <c r="C494" s="58"/>
      <c r="D494" s="58"/>
      <c r="E494" s="58"/>
      <c r="F494" s="58"/>
      <c r="G494" s="59"/>
      <c r="H494" s="60"/>
      <c r="I494" s="60"/>
      <c r="J494" s="59"/>
      <c r="K494" s="61"/>
      <c r="M494" s="62"/>
      <c r="N494" s="62"/>
      <c r="O494" s="62"/>
      <c r="P494" s="62"/>
      <c r="Q494" s="62"/>
      <c r="R494" s="62"/>
      <c r="S494" s="62"/>
      <c r="T494" s="62"/>
      <c r="U494" s="62"/>
      <c r="V494" s="62"/>
      <c r="W494" s="62"/>
      <c r="X494" s="62"/>
      <c r="Y494" s="62"/>
      <c r="Z494" s="62"/>
      <c r="AA494" s="62"/>
      <c r="AB494" s="62"/>
      <c r="AC494" s="62"/>
      <c r="AD494" s="62"/>
      <c r="AE494" s="62"/>
      <c r="AF494" s="62"/>
      <c r="AG494" s="62"/>
      <c r="AH494" s="62"/>
      <c r="AI494" s="62"/>
      <c r="AJ494" s="62"/>
      <c r="AK494" s="62"/>
      <c r="AL494" s="62"/>
      <c r="AM494" s="62"/>
      <c r="AN494" s="62"/>
      <c r="AO494" s="62"/>
      <c r="AP494" s="62"/>
      <c r="AQ494" s="62"/>
      <c r="AR494" s="62"/>
      <c r="AS494" s="62"/>
      <c r="AT494" s="62"/>
      <c r="AU494" s="62"/>
      <c r="AV494" s="62"/>
      <c r="AW494" s="62"/>
      <c r="AX494" s="62"/>
    </row>
    <row r="495" spans="1:50" ht="14.25" customHeight="1" x14ac:dyDescent="0.3">
      <c r="A495" s="58"/>
      <c r="B495" s="58"/>
      <c r="C495" s="58"/>
      <c r="D495" s="58"/>
      <c r="E495" s="58"/>
      <c r="F495" s="58"/>
      <c r="G495" s="59"/>
      <c r="H495" s="60"/>
      <c r="I495" s="60"/>
      <c r="J495" s="59"/>
      <c r="K495" s="61"/>
      <c r="M495" s="62"/>
      <c r="N495" s="62"/>
      <c r="O495" s="62"/>
      <c r="P495" s="62"/>
      <c r="Q495" s="62"/>
      <c r="R495" s="62"/>
      <c r="S495" s="62"/>
      <c r="T495" s="62"/>
      <c r="U495" s="62"/>
      <c r="V495" s="62"/>
      <c r="W495" s="62"/>
      <c r="X495" s="62"/>
      <c r="Y495" s="62"/>
      <c r="Z495" s="62"/>
      <c r="AA495" s="62"/>
      <c r="AB495" s="62"/>
      <c r="AC495" s="62"/>
      <c r="AD495" s="62"/>
      <c r="AE495" s="62"/>
      <c r="AF495" s="62"/>
      <c r="AG495" s="62"/>
      <c r="AH495" s="62"/>
      <c r="AI495" s="62"/>
      <c r="AJ495" s="62"/>
      <c r="AK495" s="62"/>
      <c r="AL495" s="62"/>
      <c r="AM495" s="62"/>
      <c r="AN495" s="62"/>
      <c r="AO495" s="62"/>
      <c r="AP495" s="62"/>
      <c r="AQ495" s="62"/>
      <c r="AR495" s="62"/>
      <c r="AS495" s="62"/>
      <c r="AT495" s="62"/>
      <c r="AU495" s="62"/>
      <c r="AV495" s="62"/>
      <c r="AW495" s="62"/>
      <c r="AX495" s="62"/>
    </row>
    <row r="496" spans="1:50" ht="14.25" customHeight="1" x14ac:dyDescent="0.3">
      <c r="A496" s="58"/>
      <c r="B496" s="58"/>
      <c r="C496" s="58"/>
      <c r="D496" s="58"/>
      <c r="E496" s="58"/>
      <c r="F496" s="58"/>
      <c r="G496" s="59"/>
      <c r="H496" s="60"/>
      <c r="I496" s="60"/>
      <c r="J496" s="59"/>
      <c r="K496" s="61"/>
      <c r="M496" s="62"/>
      <c r="N496" s="62"/>
      <c r="O496" s="62"/>
      <c r="P496" s="62"/>
      <c r="Q496" s="62"/>
      <c r="R496" s="62"/>
      <c r="S496" s="62"/>
      <c r="T496" s="62"/>
      <c r="U496" s="62"/>
      <c r="V496" s="62"/>
      <c r="W496" s="62"/>
      <c r="X496" s="62"/>
      <c r="Y496" s="62"/>
      <c r="Z496" s="62"/>
      <c r="AA496" s="62"/>
      <c r="AB496" s="62"/>
      <c r="AC496" s="62"/>
      <c r="AD496" s="62"/>
      <c r="AE496" s="62"/>
      <c r="AF496" s="62"/>
      <c r="AG496" s="62"/>
      <c r="AH496" s="62"/>
      <c r="AI496" s="62"/>
      <c r="AJ496" s="62"/>
      <c r="AK496" s="62"/>
      <c r="AL496" s="62"/>
      <c r="AM496" s="62"/>
      <c r="AN496" s="62"/>
      <c r="AO496" s="62"/>
      <c r="AP496" s="62"/>
      <c r="AQ496" s="62"/>
      <c r="AR496" s="62"/>
      <c r="AS496" s="62"/>
      <c r="AT496" s="62"/>
      <c r="AU496" s="62"/>
      <c r="AV496" s="62"/>
      <c r="AW496" s="62"/>
      <c r="AX496" s="62"/>
    </row>
    <row r="497" spans="1:50" ht="14.25" customHeight="1" x14ac:dyDescent="0.3">
      <c r="A497" s="58"/>
      <c r="B497" s="58"/>
      <c r="C497" s="58"/>
      <c r="D497" s="58"/>
      <c r="E497" s="58"/>
      <c r="F497" s="58"/>
      <c r="G497" s="59"/>
      <c r="H497" s="60"/>
      <c r="I497" s="60"/>
      <c r="J497" s="59"/>
      <c r="K497" s="61"/>
      <c r="M497" s="62"/>
      <c r="N497" s="62"/>
      <c r="O497" s="62"/>
      <c r="P497" s="62"/>
      <c r="Q497" s="62"/>
      <c r="R497" s="62"/>
      <c r="S497" s="62"/>
      <c r="T497" s="62"/>
      <c r="U497" s="62"/>
      <c r="V497" s="62"/>
      <c r="W497" s="62"/>
      <c r="X497" s="62"/>
      <c r="Y497" s="62"/>
      <c r="Z497" s="62"/>
      <c r="AA497" s="62"/>
      <c r="AB497" s="62"/>
      <c r="AC497" s="62"/>
      <c r="AD497" s="62"/>
      <c r="AE497" s="62"/>
      <c r="AF497" s="62"/>
      <c r="AG497" s="62"/>
      <c r="AH497" s="62"/>
      <c r="AI497" s="62"/>
      <c r="AJ497" s="62"/>
      <c r="AK497" s="62"/>
      <c r="AL497" s="62"/>
      <c r="AM497" s="62"/>
      <c r="AN497" s="62"/>
      <c r="AO497" s="62"/>
      <c r="AP497" s="62"/>
      <c r="AQ497" s="62"/>
      <c r="AR497" s="62"/>
      <c r="AS497" s="62"/>
      <c r="AT497" s="62"/>
      <c r="AU497" s="62"/>
      <c r="AV497" s="62"/>
      <c r="AW497" s="62"/>
      <c r="AX497" s="62"/>
    </row>
    <row r="498" spans="1:50" ht="14.25" customHeight="1" x14ac:dyDescent="0.3">
      <c r="A498" s="58"/>
      <c r="B498" s="58"/>
      <c r="C498" s="58"/>
      <c r="D498" s="58"/>
      <c r="E498" s="58"/>
      <c r="F498" s="58"/>
      <c r="G498" s="59"/>
      <c r="H498" s="60"/>
      <c r="I498" s="60"/>
      <c r="J498" s="59"/>
      <c r="K498" s="61"/>
      <c r="M498" s="62"/>
      <c r="N498" s="62"/>
      <c r="O498" s="62"/>
      <c r="P498" s="62"/>
      <c r="Q498" s="62"/>
      <c r="R498" s="62"/>
      <c r="S498" s="62"/>
      <c r="T498" s="62"/>
      <c r="U498" s="62"/>
      <c r="V498" s="62"/>
      <c r="W498" s="62"/>
      <c r="X498" s="62"/>
      <c r="Y498" s="62"/>
      <c r="Z498" s="62"/>
      <c r="AA498" s="62"/>
      <c r="AB498" s="62"/>
      <c r="AC498" s="62"/>
      <c r="AD498" s="62"/>
      <c r="AE498" s="62"/>
      <c r="AF498" s="62"/>
      <c r="AG498" s="62"/>
      <c r="AH498" s="62"/>
      <c r="AI498" s="62"/>
      <c r="AJ498" s="62"/>
      <c r="AK498" s="62"/>
      <c r="AL498" s="62"/>
      <c r="AM498" s="62"/>
      <c r="AN498" s="62"/>
      <c r="AO498" s="62"/>
      <c r="AP498" s="62"/>
      <c r="AQ498" s="62"/>
      <c r="AR498" s="62"/>
      <c r="AS498" s="62"/>
      <c r="AT498" s="62"/>
      <c r="AU498" s="62"/>
      <c r="AV498" s="62"/>
      <c r="AW498" s="62"/>
      <c r="AX498" s="62"/>
    </row>
    <row r="499" spans="1:50" ht="14.25" customHeight="1" x14ac:dyDescent="0.3">
      <c r="A499" s="58"/>
      <c r="B499" s="58"/>
      <c r="C499" s="58"/>
      <c r="D499" s="58"/>
      <c r="E499" s="58"/>
      <c r="F499" s="58"/>
      <c r="G499" s="59"/>
      <c r="H499" s="60"/>
      <c r="I499" s="60"/>
      <c r="J499" s="59"/>
      <c r="K499" s="61"/>
      <c r="M499" s="62"/>
      <c r="N499" s="62"/>
      <c r="O499" s="62"/>
      <c r="P499" s="62"/>
      <c r="Q499" s="62"/>
      <c r="R499" s="62"/>
      <c r="S499" s="62"/>
      <c r="T499" s="62"/>
      <c r="U499" s="62"/>
      <c r="V499" s="62"/>
      <c r="W499" s="62"/>
      <c r="X499" s="62"/>
      <c r="Y499" s="62"/>
      <c r="Z499" s="62"/>
      <c r="AA499" s="62"/>
      <c r="AB499" s="62"/>
      <c r="AC499" s="62"/>
      <c r="AD499" s="62"/>
      <c r="AE499" s="62"/>
      <c r="AF499" s="62"/>
      <c r="AG499" s="62"/>
      <c r="AH499" s="62"/>
      <c r="AI499" s="62"/>
      <c r="AJ499" s="62"/>
      <c r="AK499" s="62"/>
      <c r="AL499" s="62"/>
      <c r="AM499" s="62"/>
      <c r="AN499" s="62"/>
      <c r="AO499" s="62"/>
      <c r="AP499" s="62"/>
      <c r="AQ499" s="62"/>
      <c r="AR499" s="62"/>
      <c r="AS499" s="62"/>
      <c r="AT499" s="62"/>
      <c r="AU499" s="62"/>
      <c r="AV499" s="62"/>
      <c r="AW499" s="62"/>
      <c r="AX499" s="62"/>
    </row>
    <row r="500" spans="1:50" ht="14.25" customHeight="1" x14ac:dyDescent="0.3">
      <c r="A500" s="58"/>
      <c r="B500" s="58"/>
      <c r="C500" s="58"/>
      <c r="D500" s="58"/>
      <c r="E500" s="58"/>
      <c r="F500" s="58"/>
      <c r="G500" s="59"/>
      <c r="H500" s="60"/>
      <c r="I500" s="60"/>
      <c r="J500" s="59"/>
      <c r="K500" s="61"/>
      <c r="M500" s="62"/>
      <c r="N500" s="62"/>
      <c r="O500" s="62"/>
      <c r="P500" s="62"/>
      <c r="Q500" s="62"/>
      <c r="R500" s="62"/>
      <c r="S500" s="62"/>
      <c r="T500" s="62"/>
      <c r="U500" s="62"/>
      <c r="V500" s="62"/>
      <c r="W500" s="62"/>
      <c r="X500" s="62"/>
      <c r="Y500" s="62"/>
      <c r="Z500" s="62"/>
      <c r="AA500" s="62"/>
      <c r="AB500" s="62"/>
      <c r="AC500" s="62"/>
      <c r="AD500" s="62"/>
      <c r="AE500" s="62"/>
      <c r="AF500" s="62"/>
      <c r="AG500" s="62"/>
      <c r="AH500" s="62"/>
      <c r="AI500" s="62"/>
      <c r="AJ500" s="62"/>
      <c r="AK500" s="62"/>
      <c r="AL500" s="62"/>
      <c r="AM500" s="62"/>
      <c r="AN500" s="62"/>
      <c r="AO500" s="62"/>
      <c r="AP500" s="62"/>
      <c r="AQ500" s="62"/>
      <c r="AR500" s="62"/>
      <c r="AS500" s="62"/>
      <c r="AT500" s="62"/>
      <c r="AU500" s="62"/>
      <c r="AV500" s="62"/>
      <c r="AW500" s="62"/>
      <c r="AX500" s="62"/>
    </row>
    <row r="501" spans="1:50" ht="14.25" customHeight="1" x14ac:dyDescent="0.3">
      <c r="A501" s="58"/>
      <c r="B501" s="58"/>
      <c r="C501" s="58"/>
      <c r="D501" s="58"/>
      <c r="E501" s="58"/>
      <c r="F501" s="58"/>
      <c r="G501" s="59"/>
      <c r="H501" s="60"/>
      <c r="I501" s="60"/>
      <c r="J501" s="59"/>
      <c r="K501" s="61"/>
      <c r="M501" s="62"/>
      <c r="N501" s="62"/>
      <c r="O501" s="62"/>
      <c r="P501" s="62"/>
      <c r="Q501" s="62"/>
      <c r="R501" s="62"/>
      <c r="S501" s="62"/>
      <c r="T501" s="62"/>
      <c r="U501" s="62"/>
      <c r="V501" s="62"/>
      <c r="W501" s="62"/>
      <c r="X501" s="62"/>
      <c r="Y501" s="62"/>
      <c r="Z501" s="62"/>
      <c r="AA501" s="62"/>
      <c r="AB501" s="62"/>
      <c r="AC501" s="62"/>
      <c r="AD501" s="62"/>
      <c r="AE501" s="62"/>
      <c r="AF501" s="62"/>
      <c r="AG501" s="62"/>
      <c r="AH501" s="62"/>
      <c r="AI501" s="62"/>
      <c r="AJ501" s="62"/>
      <c r="AK501" s="62"/>
      <c r="AL501" s="62"/>
      <c r="AM501" s="62"/>
      <c r="AN501" s="62"/>
      <c r="AO501" s="62"/>
      <c r="AP501" s="62"/>
      <c r="AQ501" s="62"/>
      <c r="AR501" s="62"/>
      <c r="AS501" s="62"/>
      <c r="AT501" s="62"/>
      <c r="AU501" s="62"/>
      <c r="AV501" s="62"/>
      <c r="AW501" s="62"/>
      <c r="AX501" s="62"/>
    </row>
    <row r="502" spans="1:50" ht="14.25" customHeight="1" x14ac:dyDescent="0.3">
      <c r="A502" s="58"/>
      <c r="B502" s="58"/>
      <c r="C502" s="58"/>
      <c r="D502" s="58"/>
      <c r="E502" s="58"/>
      <c r="F502" s="58"/>
      <c r="G502" s="59"/>
      <c r="H502" s="60"/>
      <c r="I502" s="60"/>
      <c r="J502" s="59"/>
      <c r="K502" s="61"/>
      <c r="M502" s="62"/>
      <c r="N502" s="62"/>
      <c r="O502" s="62"/>
      <c r="P502" s="62"/>
      <c r="Q502" s="62"/>
      <c r="R502" s="62"/>
      <c r="S502" s="62"/>
      <c r="T502" s="62"/>
      <c r="U502" s="62"/>
      <c r="V502" s="62"/>
      <c r="W502" s="62"/>
      <c r="X502" s="62"/>
      <c r="Y502" s="62"/>
      <c r="Z502" s="62"/>
      <c r="AA502" s="62"/>
      <c r="AB502" s="62"/>
      <c r="AC502" s="62"/>
      <c r="AD502" s="62"/>
      <c r="AE502" s="62"/>
      <c r="AF502" s="62"/>
      <c r="AG502" s="62"/>
      <c r="AH502" s="62"/>
      <c r="AI502" s="62"/>
      <c r="AJ502" s="62"/>
      <c r="AK502" s="62"/>
      <c r="AL502" s="62"/>
      <c r="AM502" s="62"/>
      <c r="AN502" s="62"/>
      <c r="AO502" s="62"/>
      <c r="AP502" s="62"/>
      <c r="AQ502" s="62"/>
      <c r="AR502" s="62"/>
      <c r="AS502" s="62"/>
      <c r="AT502" s="62"/>
      <c r="AU502" s="62"/>
      <c r="AV502" s="62"/>
      <c r="AW502" s="62"/>
      <c r="AX502" s="62"/>
    </row>
    <row r="503" spans="1:50" ht="14.25" customHeight="1" x14ac:dyDescent="0.3">
      <c r="A503" s="58"/>
      <c r="B503" s="58"/>
      <c r="C503" s="58"/>
      <c r="D503" s="58"/>
      <c r="E503" s="58"/>
      <c r="F503" s="58"/>
      <c r="G503" s="59"/>
      <c r="H503" s="60"/>
      <c r="I503" s="60"/>
      <c r="J503" s="59"/>
      <c r="K503" s="61"/>
      <c r="M503" s="62"/>
      <c r="N503" s="62"/>
      <c r="O503" s="62"/>
      <c r="P503" s="62"/>
      <c r="Q503" s="62"/>
      <c r="R503" s="62"/>
      <c r="S503" s="62"/>
      <c r="T503" s="62"/>
      <c r="U503" s="62"/>
      <c r="V503" s="62"/>
      <c r="W503" s="62"/>
      <c r="X503" s="62"/>
      <c r="Y503" s="62"/>
      <c r="Z503" s="62"/>
      <c r="AA503" s="62"/>
      <c r="AB503" s="62"/>
      <c r="AC503" s="62"/>
      <c r="AD503" s="62"/>
      <c r="AE503" s="62"/>
      <c r="AF503" s="62"/>
      <c r="AG503" s="62"/>
      <c r="AH503" s="62"/>
      <c r="AI503" s="62"/>
      <c r="AJ503" s="62"/>
      <c r="AK503" s="62"/>
      <c r="AL503" s="62"/>
      <c r="AM503" s="62"/>
      <c r="AN503" s="62"/>
      <c r="AO503" s="62"/>
      <c r="AP503" s="62"/>
      <c r="AQ503" s="62"/>
      <c r="AR503" s="62"/>
      <c r="AS503" s="62"/>
      <c r="AT503" s="62"/>
      <c r="AU503" s="62"/>
      <c r="AV503" s="62"/>
      <c r="AW503" s="62"/>
      <c r="AX503" s="62"/>
    </row>
    <row r="504" spans="1:50" ht="14.25" customHeight="1" x14ac:dyDescent="0.3">
      <c r="A504" s="58"/>
      <c r="B504" s="58"/>
      <c r="C504" s="58"/>
      <c r="D504" s="58"/>
      <c r="E504" s="58"/>
      <c r="F504" s="58"/>
      <c r="G504" s="59"/>
      <c r="H504" s="60"/>
      <c r="I504" s="60"/>
      <c r="J504" s="59"/>
      <c r="K504" s="61"/>
      <c r="M504" s="62"/>
      <c r="N504" s="62"/>
      <c r="O504" s="62"/>
      <c r="P504" s="62"/>
      <c r="Q504" s="62"/>
      <c r="R504" s="62"/>
      <c r="S504" s="62"/>
      <c r="T504" s="62"/>
      <c r="U504" s="62"/>
      <c r="V504" s="62"/>
      <c r="W504" s="62"/>
      <c r="X504" s="62"/>
      <c r="Y504" s="62"/>
      <c r="Z504" s="62"/>
      <c r="AA504" s="62"/>
      <c r="AB504" s="62"/>
      <c r="AC504" s="62"/>
      <c r="AD504" s="62"/>
      <c r="AE504" s="62"/>
      <c r="AF504" s="62"/>
      <c r="AG504" s="62"/>
      <c r="AH504" s="62"/>
      <c r="AI504" s="62"/>
      <c r="AJ504" s="62"/>
      <c r="AK504" s="62"/>
      <c r="AL504" s="62"/>
      <c r="AM504" s="62"/>
      <c r="AN504" s="62"/>
      <c r="AO504" s="62"/>
      <c r="AP504" s="62"/>
      <c r="AQ504" s="62"/>
      <c r="AR504" s="62"/>
      <c r="AS504" s="62"/>
      <c r="AT504" s="62"/>
      <c r="AU504" s="62"/>
      <c r="AV504" s="62"/>
      <c r="AW504" s="62"/>
      <c r="AX504" s="62"/>
    </row>
    <row r="505" spans="1:50" ht="14.25" customHeight="1" x14ac:dyDescent="0.3">
      <c r="A505" s="58"/>
      <c r="B505" s="58"/>
      <c r="C505" s="58"/>
      <c r="D505" s="58"/>
      <c r="E505" s="58"/>
      <c r="F505" s="58"/>
      <c r="G505" s="59"/>
      <c r="H505" s="60"/>
      <c r="I505" s="60"/>
      <c r="J505" s="59"/>
      <c r="K505" s="61"/>
      <c r="M505" s="62"/>
      <c r="N505" s="62"/>
      <c r="O505" s="62"/>
      <c r="P505" s="62"/>
      <c r="Q505" s="62"/>
      <c r="R505" s="62"/>
      <c r="S505" s="62"/>
      <c r="T505" s="62"/>
      <c r="U505" s="62"/>
      <c r="V505" s="62"/>
      <c r="W505" s="62"/>
      <c r="X505" s="62"/>
      <c r="Y505" s="62"/>
      <c r="Z505" s="62"/>
      <c r="AA505" s="62"/>
      <c r="AB505" s="62"/>
      <c r="AC505" s="62"/>
      <c r="AD505" s="62"/>
      <c r="AE505" s="62"/>
      <c r="AF505" s="62"/>
      <c r="AG505" s="62"/>
      <c r="AH505" s="62"/>
      <c r="AI505" s="62"/>
      <c r="AJ505" s="62"/>
      <c r="AK505" s="62"/>
      <c r="AL505" s="62"/>
      <c r="AM505" s="62"/>
      <c r="AN505" s="62"/>
      <c r="AO505" s="62"/>
      <c r="AP505" s="62"/>
      <c r="AQ505" s="62"/>
      <c r="AR505" s="62"/>
      <c r="AS505" s="62"/>
      <c r="AT505" s="62"/>
      <c r="AU505" s="62"/>
      <c r="AV505" s="62"/>
      <c r="AW505" s="62"/>
      <c r="AX505" s="62"/>
    </row>
    <row r="506" spans="1:50" ht="14.25" customHeight="1" x14ac:dyDescent="0.3">
      <c r="A506" s="58"/>
      <c r="B506" s="58"/>
      <c r="C506" s="58"/>
      <c r="D506" s="58"/>
      <c r="E506" s="58"/>
      <c r="F506" s="58"/>
      <c r="G506" s="59"/>
      <c r="H506" s="60"/>
      <c r="I506" s="60"/>
      <c r="J506" s="59"/>
      <c r="K506" s="61"/>
      <c r="M506" s="62"/>
      <c r="N506" s="62"/>
      <c r="O506" s="62"/>
      <c r="P506" s="62"/>
      <c r="Q506" s="62"/>
      <c r="R506" s="62"/>
      <c r="S506" s="62"/>
      <c r="T506" s="62"/>
      <c r="U506" s="62"/>
      <c r="V506" s="62"/>
      <c r="W506" s="62"/>
      <c r="X506" s="62"/>
      <c r="Y506" s="62"/>
      <c r="Z506" s="62"/>
      <c r="AA506" s="62"/>
      <c r="AB506" s="62"/>
      <c r="AC506" s="62"/>
      <c r="AD506" s="62"/>
      <c r="AE506" s="62"/>
      <c r="AF506" s="62"/>
      <c r="AG506" s="62"/>
      <c r="AH506" s="62"/>
      <c r="AI506" s="62"/>
      <c r="AJ506" s="62"/>
      <c r="AK506" s="62"/>
      <c r="AL506" s="62"/>
      <c r="AM506" s="62"/>
      <c r="AN506" s="62"/>
      <c r="AO506" s="62"/>
      <c r="AP506" s="62"/>
      <c r="AQ506" s="62"/>
      <c r="AR506" s="62"/>
      <c r="AS506" s="62"/>
      <c r="AT506" s="62"/>
      <c r="AU506" s="62"/>
      <c r="AV506" s="62"/>
      <c r="AW506" s="62"/>
      <c r="AX506" s="62"/>
    </row>
    <row r="507" spans="1:50" ht="14.25" customHeight="1" x14ac:dyDescent="0.3">
      <c r="A507" s="58"/>
      <c r="B507" s="58"/>
      <c r="C507" s="58"/>
      <c r="D507" s="58"/>
      <c r="E507" s="58"/>
      <c r="F507" s="58"/>
      <c r="G507" s="59"/>
      <c r="H507" s="60"/>
      <c r="I507" s="60"/>
      <c r="J507" s="59"/>
      <c r="K507" s="61"/>
      <c r="M507" s="62"/>
      <c r="N507" s="62"/>
      <c r="O507" s="62"/>
      <c r="P507" s="62"/>
      <c r="Q507" s="62"/>
      <c r="R507" s="62"/>
      <c r="S507" s="62"/>
      <c r="T507" s="62"/>
      <c r="U507" s="62"/>
      <c r="V507" s="62"/>
      <c r="W507" s="62"/>
      <c r="X507" s="62"/>
      <c r="Y507" s="62"/>
      <c r="Z507" s="62"/>
      <c r="AA507" s="62"/>
      <c r="AB507" s="62"/>
      <c r="AC507" s="62"/>
      <c r="AD507" s="62"/>
      <c r="AE507" s="62"/>
      <c r="AF507" s="62"/>
      <c r="AG507" s="62"/>
      <c r="AH507" s="62"/>
      <c r="AI507" s="62"/>
      <c r="AJ507" s="62"/>
      <c r="AK507" s="62"/>
      <c r="AL507" s="62"/>
      <c r="AM507" s="62"/>
      <c r="AN507" s="62"/>
      <c r="AO507" s="62"/>
      <c r="AP507" s="62"/>
      <c r="AQ507" s="62"/>
      <c r="AR507" s="62"/>
      <c r="AS507" s="62"/>
      <c r="AT507" s="62"/>
      <c r="AU507" s="62"/>
      <c r="AV507" s="62"/>
      <c r="AW507" s="62"/>
      <c r="AX507" s="62"/>
    </row>
    <row r="508" spans="1:50" ht="14.25" customHeight="1" x14ac:dyDescent="0.3">
      <c r="A508" s="58"/>
      <c r="B508" s="58"/>
      <c r="C508" s="58"/>
      <c r="D508" s="58"/>
      <c r="E508" s="58"/>
      <c r="F508" s="58"/>
      <c r="G508" s="59"/>
      <c r="H508" s="60"/>
      <c r="I508" s="60"/>
      <c r="J508" s="59"/>
      <c r="K508" s="61"/>
      <c r="M508" s="62"/>
      <c r="N508" s="62"/>
      <c r="O508" s="62"/>
      <c r="P508" s="62"/>
      <c r="Q508" s="62"/>
      <c r="R508" s="62"/>
      <c r="S508" s="62"/>
      <c r="T508" s="62"/>
      <c r="U508" s="62"/>
      <c r="V508" s="62"/>
      <c r="W508" s="62"/>
      <c r="X508" s="62"/>
      <c r="Y508" s="62"/>
      <c r="Z508" s="62"/>
      <c r="AA508" s="62"/>
      <c r="AB508" s="62"/>
      <c r="AC508" s="62"/>
      <c r="AD508" s="62"/>
      <c r="AE508" s="62"/>
      <c r="AF508" s="62"/>
      <c r="AG508" s="62"/>
      <c r="AH508" s="62"/>
      <c r="AI508" s="62"/>
      <c r="AJ508" s="62"/>
      <c r="AK508" s="62"/>
      <c r="AL508" s="62"/>
      <c r="AM508" s="62"/>
      <c r="AN508" s="62"/>
      <c r="AO508" s="62"/>
      <c r="AP508" s="62"/>
      <c r="AQ508" s="62"/>
      <c r="AR508" s="62"/>
      <c r="AS508" s="62"/>
      <c r="AT508" s="62"/>
      <c r="AU508" s="62"/>
      <c r="AV508" s="62"/>
      <c r="AW508" s="62"/>
      <c r="AX508" s="62"/>
    </row>
    <row r="509" spans="1:50" ht="14.25" customHeight="1" x14ac:dyDescent="0.3">
      <c r="A509" s="58"/>
      <c r="B509" s="58"/>
      <c r="C509" s="58"/>
      <c r="D509" s="58"/>
      <c r="E509" s="58"/>
      <c r="F509" s="58"/>
      <c r="G509" s="59"/>
      <c r="H509" s="60"/>
      <c r="I509" s="60"/>
      <c r="J509" s="59"/>
      <c r="K509" s="61"/>
      <c r="M509" s="62"/>
      <c r="N509" s="62"/>
      <c r="O509" s="62"/>
      <c r="P509" s="62"/>
      <c r="Q509" s="62"/>
      <c r="R509" s="62"/>
      <c r="S509" s="62"/>
      <c r="T509" s="62"/>
      <c r="U509" s="62"/>
      <c r="V509" s="62"/>
      <c r="W509" s="62"/>
      <c r="X509" s="62"/>
      <c r="Y509" s="62"/>
      <c r="Z509" s="62"/>
      <c r="AA509" s="62"/>
      <c r="AB509" s="62"/>
      <c r="AC509" s="62"/>
      <c r="AD509" s="62"/>
      <c r="AE509" s="62"/>
      <c r="AF509" s="62"/>
      <c r="AG509" s="62"/>
      <c r="AH509" s="62"/>
      <c r="AI509" s="62"/>
      <c r="AJ509" s="62"/>
      <c r="AK509" s="62"/>
      <c r="AL509" s="62"/>
      <c r="AM509" s="62"/>
      <c r="AN509" s="62"/>
      <c r="AO509" s="62"/>
      <c r="AP509" s="62"/>
      <c r="AQ509" s="62"/>
      <c r="AR509" s="62"/>
      <c r="AS509" s="62"/>
      <c r="AT509" s="62"/>
      <c r="AU509" s="62"/>
      <c r="AV509" s="62"/>
      <c r="AW509" s="62"/>
      <c r="AX509" s="62"/>
    </row>
    <row r="510" spans="1:50" ht="14.25" customHeight="1" x14ac:dyDescent="0.3">
      <c r="A510" s="58"/>
      <c r="B510" s="58"/>
      <c r="C510" s="58"/>
      <c r="D510" s="58"/>
      <c r="E510" s="58"/>
      <c r="F510" s="58"/>
      <c r="G510" s="59"/>
      <c r="H510" s="60"/>
      <c r="I510" s="60"/>
      <c r="J510" s="59"/>
      <c r="K510" s="61"/>
      <c r="M510" s="62"/>
      <c r="N510" s="62"/>
      <c r="O510" s="62"/>
      <c r="P510" s="62"/>
      <c r="Q510" s="62"/>
      <c r="R510" s="62"/>
      <c r="S510" s="62"/>
      <c r="T510" s="62"/>
      <c r="U510" s="62"/>
      <c r="V510" s="62"/>
      <c r="W510" s="62"/>
      <c r="X510" s="62"/>
      <c r="Y510" s="62"/>
      <c r="Z510" s="62"/>
      <c r="AA510" s="62"/>
      <c r="AB510" s="62"/>
      <c r="AC510" s="62"/>
      <c r="AD510" s="62"/>
      <c r="AE510" s="62"/>
      <c r="AF510" s="62"/>
      <c r="AG510" s="62"/>
      <c r="AH510" s="62"/>
      <c r="AI510" s="62"/>
      <c r="AJ510" s="62"/>
      <c r="AK510" s="62"/>
      <c r="AL510" s="62"/>
      <c r="AM510" s="62"/>
      <c r="AN510" s="62"/>
      <c r="AO510" s="62"/>
      <c r="AP510" s="62"/>
      <c r="AQ510" s="62"/>
      <c r="AR510" s="62"/>
      <c r="AS510" s="62"/>
      <c r="AT510" s="62"/>
      <c r="AU510" s="62"/>
      <c r="AV510" s="62"/>
      <c r="AW510" s="62"/>
      <c r="AX510" s="62"/>
    </row>
    <row r="511" spans="1:50" ht="14.25" customHeight="1" x14ac:dyDescent="0.3">
      <c r="A511" s="58"/>
      <c r="B511" s="58"/>
      <c r="C511" s="58"/>
      <c r="D511" s="58"/>
      <c r="E511" s="58"/>
      <c r="F511" s="58"/>
      <c r="G511" s="59"/>
      <c r="H511" s="60"/>
      <c r="I511" s="60"/>
      <c r="J511" s="59"/>
      <c r="K511" s="61"/>
      <c r="M511" s="62"/>
      <c r="N511" s="62"/>
      <c r="O511" s="62"/>
      <c r="P511" s="62"/>
      <c r="Q511" s="62"/>
      <c r="R511" s="62"/>
      <c r="S511" s="62"/>
      <c r="T511" s="62"/>
      <c r="U511" s="62"/>
      <c r="V511" s="62"/>
      <c r="W511" s="62"/>
      <c r="X511" s="62"/>
      <c r="Y511" s="62"/>
      <c r="Z511" s="62"/>
      <c r="AA511" s="62"/>
      <c r="AB511" s="62"/>
      <c r="AC511" s="62"/>
      <c r="AD511" s="62"/>
      <c r="AE511" s="62"/>
      <c r="AF511" s="62"/>
      <c r="AG511" s="62"/>
      <c r="AH511" s="62"/>
      <c r="AI511" s="62"/>
      <c r="AJ511" s="62"/>
      <c r="AK511" s="62"/>
      <c r="AL511" s="62"/>
      <c r="AM511" s="62"/>
      <c r="AN511" s="62"/>
      <c r="AO511" s="62"/>
      <c r="AP511" s="62"/>
      <c r="AQ511" s="62"/>
      <c r="AR511" s="62"/>
      <c r="AS511" s="62"/>
      <c r="AT511" s="62"/>
      <c r="AU511" s="62"/>
      <c r="AV511" s="62"/>
      <c r="AW511" s="62"/>
      <c r="AX511" s="62"/>
    </row>
    <row r="512" spans="1:50" ht="14.25" customHeight="1" x14ac:dyDescent="0.3">
      <c r="A512" s="58"/>
      <c r="B512" s="58"/>
      <c r="C512" s="58"/>
      <c r="D512" s="58"/>
      <c r="E512" s="58"/>
      <c r="F512" s="58"/>
      <c r="G512" s="59"/>
      <c r="H512" s="60"/>
      <c r="I512" s="60"/>
      <c r="J512" s="59"/>
      <c r="K512" s="61"/>
      <c r="M512" s="62"/>
      <c r="N512" s="62"/>
      <c r="O512" s="62"/>
      <c r="P512" s="62"/>
      <c r="Q512" s="62"/>
      <c r="R512" s="62"/>
      <c r="S512" s="62"/>
      <c r="T512" s="62"/>
      <c r="U512" s="62"/>
      <c r="V512" s="62"/>
      <c r="W512" s="62"/>
      <c r="X512" s="62"/>
      <c r="Y512" s="62"/>
      <c r="Z512" s="62"/>
      <c r="AA512" s="62"/>
      <c r="AB512" s="62"/>
      <c r="AC512" s="62"/>
      <c r="AD512" s="62"/>
      <c r="AE512" s="62"/>
      <c r="AF512" s="62"/>
      <c r="AG512" s="62"/>
      <c r="AH512" s="62"/>
      <c r="AI512" s="62"/>
      <c r="AJ512" s="62"/>
      <c r="AK512" s="62"/>
      <c r="AL512" s="62"/>
      <c r="AM512" s="62"/>
      <c r="AN512" s="62"/>
      <c r="AO512" s="62"/>
      <c r="AP512" s="62"/>
      <c r="AQ512" s="62"/>
      <c r="AR512" s="62"/>
      <c r="AS512" s="62"/>
      <c r="AT512" s="62"/>
      <c r="AU512" s="62"/>
      <c r="AV512" s="62"/>
      <c r="AW512" s="62"/>
      <c r="AX512" s="62"/>
    </row>
    <row r="513" spans="1:50" ht="14.25" customHeight="1" x14ac:dyDescent="0.3">
      <c r="A513" s="58"/>
      <c r="B513" s="58"/>
      <c r="C513" s="58"/>
      <c r="D513" s="58"/>
      <c r="E513" s="58"/>
      <c r="F513" s="58"/>
      <c r="G513" s="59"/>
      <c r="H513" s="60"/>
      <c r="I513" s="60"/>
      <c r="J513" s="59"/>
      <c r="K513" s="61"/>
      <c r="M513" s="62"/>
      <c r="N513" s="62"/>
      <c r="O513" s="62"/>
      <c r="P513" s="62"/>
      <c r="Q513" s="62"/>
      <c r="R513" s="62"/>
      <c r="S513" s="62"/>
      <c r="T513" s="62"/>
      <c r="U513" s="62"/>
      <c r="V513" s="62"/>
      <c r="W513" s="62"/>
      <c r="X513" s="62"/>
      <c r="Y513" s="62"/>
      <c r="Z513" s="62"/>
      <c r="AA513" s="62"/>
      <c r="AB513" s="62"/>
      <c r="AC513" s="62"/>
      <c r="AD513" s="62"/>
      <c r="AE513" s="62"/>
      <c r="AF513" s="62"/>
      <c r="AG513" s="62"/>
      <c r="AH513" s="62"/>
      <c r="AI513" s="62"/>
      <c r="AJ513" s="62"/>
      <c r="AK513" s="62"/>
      <c r="AL513" s="62"/>
      <c r="AM513" s="62"/>
      <c r="AN513" s="62"/>
      <c r="AO513" s="62"/>
      <c r="AP513" s="62"/>
      <c r="AQ513" s="62"/>
      <c r="AR513" s="62"/>
      <c r="AS513" s="62"/>
      <c r="AT513" s="62"/>
      <c r="AU513" s="62"/>
      <c r="AV513" s="62"/>
      <c r="AW513" s="62"/>
      <c r="AX513" s="62"/>
    </row>
    <row r="514" spans="1:50" ht="14.25" customHeight="1" x14ac:dyDescent="0.3">
      <c r="A514" s="58"/>
      <c r="B514" s="58"/>
      <c r="C514" s="58"/>
      <c r="D514" s="58"/>
      <c r="E514" s="58"/>
      <c r="F514" s="58"/>
      <c r="G514" s="59"/>
      <c r="H514" s="60"/>
      <c r="I514" s="60"/>
      <c r="J514" s="59"/>
      <c r="K514" s="61"/>
      <c r="M514" s="62"/>
      <c r="N514" s="62"/>
      <c r="O514" s="62"/>
      <c r="P514" s="62"/>
      <c r="Q514" s="62"/>
      <c r="R514" s="62"/>
      <c r="S514" s="62"/>
      <c r="T514" s="62"/>
      <c r="U514" s="62"/>
      <c r="V514" s="62"/>
      <c r="W514" s="62"/>
      <c r="X514" s="62"/>
      <c r="Y514" s="62"/>
      <c r="Z514" s="62"/>
      <c r="AA514" s="62"/>
      <c r="AB514" s="62"/>
      <c r="AC514" s="62"/>
      <c r="AD514" s="62"/>
      <c r="AE514" s="62"/>
      <c r="AF514" s="62"/>
      <c r="AG514" s="62"/>
      <c r="AH514" s="62"/>
      <c r="AI514" s="62"/>
      <c r="AJ514" s="62"/>
      <c r="AK514" s="62"/>
      <c r="AL514" s="62"/>
      <c r="AM514" s="62"/>
      <c r="AN514" s="62"/>
      <c r="AO514" s="62"/>
      <c r="AP514" s="62"/>
      <c r="AQ514" s="62"/>
      <c r="AR514" s="62"/>
      <c r="AS514" s="62"/>
      <c r="AT514" s="62"/>
      <c r="AU514" s="62"/>
      <c r="AV514" s="62"/>
      <c r="AW514" s="62"/>
      <c r="AX514" s="62"/>
    </row>
    <row r="515" spans="1:50" ht="14.25" customHeight="1" x14ac:dyDescent="0.3">
      <c r="A515" s="58"/>
      <c r="B515" s="58"/>
      <c r="C515" s="58"/>
      <c r="D515" s="58"/>
      <c r="E515" s="58"/>
      <c r="F515" s="58"/>
      <c r="G515" s="59"/>
      <c r="H515" s="60"/>
      <c r="I515" s="60"/>
      <c r="J515" s="59"/>
      <c r="K515" s="61"/>
      <c r="M515" s="62"/>
      <c r="N515" s="62"/>
      <c r="O515" s="62"/>
      <c r="P515" s="62"/>
      <c r="Q515" s="62"/>
      <c r="R515" s="62"/>
      <c r="S515" s="62"/>
      <c r="T515" s="62"/>
      <c r="U515" s="62"/>
      <c r="V515" s="62"/>
      <c r="W515" s="62"/>
      <c r="X515" s="62"/>
      <c r="Y515" s="62"/>
      <c r="Z515" s="62"/>
      <c r="AA515" s="62"/>
      <c r="AB515" s="62"/>
      <c r="AC515" s="62"/>
      <c r="AD515" s="62"/>
      <c r="AE515" s="62"/>
      <c r="AF515" s="62"/>
      <c r="AG515" s="62"/>
      <c r="AH515" s="62"/>
      <c r="AI515" s="62"/>
      <c r="AJ515" s="62"/>
      <c r="AK515" s="62"/>
      <c r="AL515" s="62"/>
      <c r="AM515" s="62"/>
      <c r="AN515" s="62"/>
      <c r="AO515" s="62"/>
      <c r="AP515" s="62"/>
      <c r="AQ515" s="62"/>
      <c r="AR515" s="62"/>
      <c r="AS515" s="62"/>
      <c r="AT515" s="62"/>
      <c r="AU515" s="62"/>
      <c r="AV515" s="62"/>
      <c r="AW515" s="62"/>
      <c r="AX515" s="62"/>
    </row>
    <row r="516" spans="1:50" ht="14.25" customHeight="1" x14ac:dyDescent="0.3">
      <c r="A516" s="58"/>
      <c r="B516" s="58"/>
      <c r="C516" s="58"/>
      <c r="D516" s="58"/>
      <c r="E516" s="58"/>
      <c r="F516" s="58"/>
      <c r="G516" s="59"/>
      <c r="H516" s="60"/>
      <c r="I516" s="60"/>
      <c r="J516" s="59"/>
      <c r="K516" s="61"/>
      <c r="M516" s="62"/>
      <c r="N516" s="62"/>
      <c r="O516" s="62"/>
      <c r="P516" s="62"/>
      <c r="Q516" s="62"/>
      <c r="R516" s="62"/>
      <c r="S516" s="62"/>
      <c r="T516" s="62"/>
      <c r="U516" s="62"/>
      <c r="V516" s="62"/>
      <c r="W516" s="62"/>
      <c r="X516" s="62"/>
      <c r="Y516" s="62"/>
      <c r="Z516" s="62"/>
      <c r="AA516" s="62"/>
      <c r="AB516" s="62"/>
      <c r="AC516" s="62"/>
      <c r="AD516" s="62"/>
      <c r="AE516" s="62"/>
      <c r="AF516" s="62"/>
      <c r="AG516" s="62"/>
      <c r="AH516" s="62"/>
      <c r="AI516" s="62"/>
      <c r="AJ516" s="62"/>
      <c r="AK516" s="62"/>
      <c r="AL516" s="62"/>
      <c r="AM516" s="62"/>
      <c r="AN516" s="62"/>
      <c r="AO516" s="62"/>
      <c r="AP516" s="62"/>
      <c r="AQ516" s="62"/>
      <c r="AR516" s="62"/>
      <c r="AS516" s="62"/>
      <c r="AT516" s="62"/>
      <c r="AU516" s="62"/>
      <c r="AV516" s="62"/>
      <c r="AW516" s="62"/>
      <c r="AX516" s="62"/>
    </row>
    <row r="517" spans="1:50" ht="14.25" customHeight="1" x14ac:dyDescent="0.3">
      <c r="A517" s="58"/>
      <c r="B517" s="58"/>
      <c r="C517" s="58"/>
      <c r="D517" s="58"/>
      <c r="E517" s="58"/>
      <c r="F517" s="58"/>
      <c r="G517" s="59"/>
      <c r="H517" s="60"/>
      <c r="I517" s="60"/>
      <c r="J517" s="59"/>
      <c r="K517" s="61"/>
      <c r="M517" s="62"/>
      <c r="N517" s="62"/>
      <c r="O517" s="62"/>
      <c r="P517" s="62"/>
      <c r="Q517" s="62"/>
      <c r="R517" s="62"/>
      <c r="S517" s="62"/>
      <c r="T517" s="62"/>
      <c r="U517" s="62"/>
      <c r="V517" s="62"/>
      <c r="W517" s="62"/>
      <c r="X517" s="62"/>
      <c r="Y517" s="62"/>
      <c r="Z517" s="62"/>
      <c r="AA517" s="62"/>
      <c r="AB517" s="62"/>
      <c r="AC517" s="62"/>
      <c r="AD517" s="62"/>
      <c r="AE517" s="62"/>
      <c r="AF517" s="62"/>
      <c r="AG517" s="62"/>
      <c r="AH517" s="62"/>
      <c r="AI517" s="62"/>
      <c r="AJ517" s="62"/>
      <c r="AK517" s="62"/>
      <c r="AL517" s="62"/>
      <c r="AM517" s="62"/>
      <c r="AN517" s="62"/>
      <c r="AO517" s="62"/>
      <c r="AP517" s="62"/>
      <c r="AQ517" s="62"/>
      <c r="AR517" s="62"/>
      <c r="AS517" s="62"/>
      <c r="AT517" s="62"/>
      <c r="AU517" s="62"/>
      <c r="AV517" s="62"/>
      <c r="AW517" s="62"/>
      <c r="AX517" s="62"/>
    </row>
    <row r="518" spans="1:50" ht="14.25" customHeight="1" x14ac:dyDescent="0.3">
      <c r="A518" s="58"/>
      <c r="B518" s="58"/>
      <c r="C518" s="58"/>
      <c r="D518" s="58"/>
      <c r="E518" s="58"/>
      <c r="F518" s="58"/>
      <c r="G518" s="59"/>
      <c r="H518" s="60"/>
      <c r="I518" s="60"/>
      <c r="J518" s="59"/>
      <c r="K518" s="61"/>
      <c r="M518" s="62"/>
      <c r="N518" s="62"/>
      <c r="O518" s="62"/>
      <c r="P518" s="62"/>
      <c r="Q518" s="62"/>
      <c r="R518" s="62"/>
      <c r="S518" s="62"/>
      <c r="T518" s="62"/>
      <c r="U518" s="62"/>
      <c r="V518" s="62"/>
      <c r="W518" s="62"/>
      <c r="X518" s="62"/>
      <c r="Y518" s="62"/>
      <c r="Z518" s="62"/>
      <c r="AA518" s="62"/>
      <c r="AB518" s="62"/>
      <c r="AC518" s="62"/>
      <c r="AD518" s="62"/>
      <c r="AE518" s="62"/>
      <c r="AF518" s="62"/>
      <c r="AG518" s="62"/>
      <c r="AH518" s="62"/>
      <c r="AI518" s="62"/>
      <c r="AJ518" s="62"/>
      <c r="AK518" s="62"/>
      <c r="AL518" s="62"/>
      <c r="AM518" s="62"/>
      <c r="AN518" s="62"/>
      <c r="AO518" s="62"/>
      <c r="AP518" s="62"/>
      <c r="AQ518" s="62"/>
      <c r="AR518" s="62"/>
      <c r="AS518" s="62"/>
      <c r="AT518" s="62"/>
      <c r="AU518" s="62"/>
      <c r="AV518" s="62"/>
      <c r="AW518" s="62"/>
      <c r="AX518" s="62"/>
    </row>
    <row r="519" spans="1:50" ht="14.25" customHeight="1" x14ac:dyDescent="0.3">
      <c r="A519" s="58"/>
      <c r="B519" s="58"/>
      <c r="C519" s="58"/>
      <c r="D519" s="58"/>
      <c r="E519" s="58"/>
      <c r="F519" s="58"/>
      <c r="G519" s="59"/>
      <c r="H519" s="60"/>
      <c r="I519" s="60"/>
      <c r="J519" s="59"/>
      <c r="K519" s="61"/>
      <c r="M519" s="62"/>
      <c r="N519" s="62"/>
      <c r="O519" s="62"/>
      <c r="P519" s="62"/>
      <c r="Q519" s="62"/>
      <c r="R519" s="62"/>
      <c r="S519" s="62"/>
      <c r="T519" s="62"/>
      <c r="U519" s="62"/>
      <c r="V519" s="62"/>
      <c r="W519" s="62"/>
      <c r="X519" s="62"/>
      <c r="Y519" s="62"/>
      <c r="Z519" s="62"/>
      <c r="AA519" s="62"/>
      <c r="AB519" s="62"/>
      <c r="AC519" s="62"/>
      <c r="AD519" s="62"/>
      <c r="AE519" s="62"/>
      <c r="AF519" s="62"/>
      <c r="AG519" s="62"/>
      <c r="AH519" s="62"/>
      <c r="AI519" s="62"/>
      <c r="AJ519" s="62"/>
      <c r="AK519" s="62"/>
      <c r="AL519" s="62"/>
      <c r="AM519" s="62"/>
      <c r="AN519" s="62"/>
      <c r="AO519" s="62"/>
      <c r="AP519" s="62"/>
      <c r="AQ519" s="62"/>
      <c r="AR519" s="62"/>
      <c r="AS519" s="62"/>
      <c r="AT519" s="62"/>
      <c r="AU519" s="62"/>
      <c r="AV519" s="62"/>
      <c r="AW519" s="62"/>
      <c r="AX519" s="62"/>
    </row>
    <row r="520" spans="1:50" ht="14.25" customHeight="1" x14ac:dyDescent="0.3">
      <c r="A520" s="58"/>
      <c r="B520" s="58"/>
      <c r="C520" s="58"/>
      <c r="D520" s="58"/>
      <c r="E520" s="58"/>
      <c r="F520" s="58"/>
      <c r="G520" s="59"/>
      <c r="H520" s="60"/>
      <c r="I520" s="60"/>
      <c r="J520" s="59"/>
      <c r="K520" s="61"/>
      <c r="M520" s="62"/>
      <c r="N520" s="62"/>
      <c r="O520" s="62"/>
      <c r="P520" s="62"/>
      <c r="Q520" s="62"/>
      <c r="R520" s="62"/>
      <c r="S520" s="62"/>
      <c r="T520" s="62"/>
      <c r="U520" s="62"/>
      <c r="V520" s="62"/>
      <c r="W520" s="62"/>
      <c r="X520" s="62"/>
      <c r="Y520" s="62"/>
      <c r="Z520" s="62"/>
      <c r="AA520" s="62"/>
      <c r="AB520" s="62"/>
      <c r="AC520" s="62"/>
      <c r="AD520" s="62"/>
      <c r="AE520" s="62"/>
      <c r="AF520" s="62"/>
      <c r="AG520" s="62"/>
      <c r="AH520" s="62"/>
      <c r="AI520" s="62"/>
      <c r="AJ520" s="62"/>
      <c r="AK520" s="62"/>
      <c r="AL520" s="62"/>
      <c r="AM520" s="62"/>
      <c r="AN520" s="62"/>
      <c r="AO520" s="62"/>
      <c r="AP520" s="62"/>
      <c r="AQ520" s="62"/>
      <c r="AR520" s="62"/>
      <c r="AS520" s="62"/>
      <c r="AT520" s="62"/>
      <c r="AU520" s="62"/>
      <c r="AV520" s="62"/>
      <c r="AW520" s="62"/>
      <c r="AX520" s="62"/>
    </row>
    <row r="521" spans="1:50" ht="14.25" customHeight="1" x14ac:dyDescent="0.3">
      <c r="A521" s="58"/>
      <c r="B521" s="58"/>
      <c r="C521" s="58"/>
      <c r="D521" s="58"/>
      <c r="E521" s="58"/>
      <c r="F521" s="58"/>
      <c r="G521" s="59"/>
      <c r="H521" s="60"/>
      <c r="I521" s="60"/>
      <c r="J521" s="59"/>
      <c r="K521" s="61"/>
      <c r="M521" s="62"/>
      <c r="N521" s="62"/>
      <c r="O521" s="62"/>
      <c r="P521" s="62"/>
      <c r="Q521" s="62"/>
      <c r="R521" s="62"/>
      <c r="S521" s="62"/>
      <c r="T521" s="62"/>
      <c r="U521" s="62"/>
      <c r="V521" s="62"/>
      <c r="W521" s="62"/>
      <c r="X521" s="62"/>
      <c r="Y521" s="62"/>
      <c r="Z521" s="62"/>
      <c r="AA521" s="62"/>
      <c r="AB521" s="62"/>
      <c r="AC521" s="62"/>
      <c r="AD521" s="62"/>
      <c r="AE521" s="62"/>
      <c r="AF521" s="62"/>
      <c r="AG521" s="62"/>
      <c r="AH521" s="62"/>
      <c r="AI521" s="62"/>
      <c r="AJ521" s="62"/>
      <c r="AK521" s="62"/>
      <c r="AL521" s="62"/>
      <c r="AM521" s="62"/>
      <c r="AN521" s="62"/>
      <c r="AO521" s="62"/>
      <c r="AP521" s="62"/>
      <c r="AQ521" s="62"/>
      <c r="AR521" s="62"/>
      <c r="AS521" s="62"/>
      <c r="AT521" s="62"/>
      <c r="AU521" s="62"/>
      <c r="AV521" s="62"/>
      <c r="AW521" s="62"/>
      <c r="AX521" s="62"/>
    </row>
    <row r="522" spans="1:50" ht="14.25" customHeight="1" x14ac:dyDescent="0.3">
      <c r="A522" s="58"/>
      <c r="B522" s="58"/>
      <c r="C522" s="58"/>
      <c r="D522" s="58"/>
      <c r="E522" s="58"/>
      <c r="F522" s="58"/>
      <c r="G522" s="59"/>
      <c r="H522" s="60"/>
      <c r="I522" s="60"/>
      <c r="J522" s="59"/>
      <c r="K522" s="61"/>
      <c r="M522" s="62"/>
      <c r="N522" s="62"/>
      <c r="O522" s="62"/>
      <c r="P522" s="62"/>
      <c r="Q522" s="62"/>
      <c r="R522" s="62"/>
      <c r="S522" s="62"/>
      <c r="T522" s="62"/>
      <c r="U522" s="62"/>
      <c r="V522" s="62"/>
      <c r="W522" s="62"/>
      <c r="X522" s="62"/>
      <c r="Y522" s="62"/>
      <c r="Z522" s="62"/>
      <c r="AA522" s="62"/>
      <c r="AB522" s="62"/>
      <c r="AC522" s="62"/>
      <c r="AD522" s="62"/>
      <c r="AE522" s="62"/>
      <c r="AF522" s="62"/>
      <c r="AG522" s="62"/>
      <c r="AH522" s="62"/>
      <c r="AI522" s="62"/>
      <c r="AJ522" s="62"/>
      <c r="AK522" s="62"/>
      <c r="AL522" s="62"/>
      <c r="AM522" s="62"/>
      <c r="AN522" s="62"/>
      <c r="AO522" s="62"/>
      <c r="AP522" s="62"/>
      <c r="AQ522" s="62"/>
      <c r="AR522" s="62"/>
      <c r="AS522" s="62"/>
      <c r="AT522" s="62"/>
      <c r="AU522" s="62"/>
      <c r="AV522" s="62"/>
      <c r="AW522" s="62"/>
      <c r="AX522" s="62"/>
    </row>
    <row r="523" spans="1:50" ht="14.25" customHeight="1" x14ac:dyDescent="0.3">
      <c r="A523" s="58"/>
      <c r="B523" s="58"/>
      <c r="C523" s="58"/>
      <c r="D523" s="58"/>
      <c r="E523" s="58"/>
      <c r="F523" s="58"/>
      <c r="G523" s="59"/>
      <c r="H523" s="60"/>
      <c r="I523" s="60"/>
      <c r="J523" s="59"/>
      <c r="K523" s="61"/>
      <c r="M523" s="62"/>
      <c r="N523" s="62"/>
      <c r="O523" s="62"/>
      <c r="P523" s="62"/>
      <c r="Q523" s="62"/>
      <c r="R523" s="62"/>
      <c r="S523" s="62"/>
      <c r="T523" s="62"/>
      <c r="U523" s="62"/>
      <c r="V523" s="62"/>
      <c r="W523" s="62"/>
      <c r="X523" s="62"/>
      <c r="Y523" s="62"/>
      <c r="Z523" s="62"/>
      <c r="AA523" s="62"/>
      <c r="AB523" s="62"/>
      <c r="AC523" s="62"/>
      <c r="AD523" s="62"/>
      <c r="AE523" s="62"/>
      <c r="AF523" s="62"/>
      <c r="AG523" s="62"/>
      <c r="AH523" s="62"/>
      <c r="AI523" s="62"/>
      <c r="AJ523" s="62"/>
      <c r="AK523" s="62"/>
      <c r="AL523" s="62"/>
      <c r="AM523" s="62"/>
      <c r="AN523" s="62"/>
      <c r="AO523" s="62"/>
      <c r="AP523" s="62"/>
      <c r="AQ523" s="62"/>
      <c r="AR523" s="62"/>
      <c r="AS523" s="62"/>
      <c r="AT523" s="62"/>
      <c r="AU523" s="62"/>
      <c r="AV523" s="62"/>
      <c r="AW523" s="62"/>
      <c r="AX523" s="62"/>
    </row>
    <row r="524" spans="1:50" ht="14.25" customHeight="1" x14ac:dyDescent="0.3">
      <c r="A524" s="58"/>
      <c r="B524" s="58"/>
      <c r="C524" s="58"/>
      <c r="D524" s="58"/>
      <c r="E524" s="58"/>
      <c r="F524" s="58"/>
      <c r="G524" s="59"/>
      <c r="H524" s="60"/>
      <c r="I524" s="60"/>
      <c r="J524" s="59"/>
      <c r="K524" s="61"/>
      <c r="M524" s="62"/>
      <c r="N524" s="62"/>
      <c r="O524" s="62"/>
      <c r="P524" s="62"/>
      <c r="Q524" s="62"/>
      <c r="R524" s="62"/>
      <c r="S524" s="62"/>
      <c r="T524" s="62"/>
      <c r="U524" s="62"/>
      <c r="V524" s="62"/>
      <c r="W524" s="62"/>
      <c r="X524" s="62"/>
      <c r="Y524" s="62"/>
      <c r="Z524" s="62"/>
      <c r="AA524" s="62"/>
      <c r="AB524" s="62"/>
      <c r="AC524" s="62"/>
      <c r="AD524" s="62"/>
      <c r="AE524" s="62"/>
      <c r="AF524" s="62"/>
      <c r="AG524" s="62"/>
      <c r="AH524" s="62"/>
      <c r="AI524" s="62"/>
      <c r="AJ524" s="62"/>
      <c r="AK524" s="62"/>
      <c r="AL524" s="62"/>
      <c r="AM524" s="62"/>
      <c r="AN524" s="62"/>
      <c r="AO524" s="62"/>
      <c r="AP524" s="62"/>
      <c r="AQ524" s="62"/>
      <c r="AR524" s="62"/>
      <c r="AS524" s="62"/>
      <c r="AT524" s="62"/>
      <c r="AU524" s="62"/>
      <c r="AV524" s="62"/>
      <c r="AW524" s="62"/>
      <c r="AX524" s="62"/>
    </row>
    <row r="525" spans="1:50" ht="14.25" customHeight="1" x14ac:dyDescent="0.3">
      <c r="A525" s="58"/>
      <c r="B525" s="58"/>
      <c r="C525" s="58"/>
      <c r="D525" s="58"/>
      <c r="E525" s="58"/>
      <c r="F525" s="58"/>
      <c r="G525" s="59"/>
      <c r="H525" s="60"/>
      <c r="I525" s="60"/>
      <c r="J525" s="59"/>
      <c r="K525" s="61"/>
      <c r="M525" s="62"/>
      <c r="N525" s="62"/>
      <c r="O525" s="62"/>
      <c r="P525" s="62"/>
      <c r="Q525" s="62"/>
      <c r="R525" s="62"/>
      <c r="S525" s="62"/>
      <c r="T525" s="62"/>
      <c r="U525" s="62"/>
      <c r="V525" s="62"/>
      <c r="W525" s="62"/>
      <c r="X525" s="62"/>
      <c r="Y525" s="62"/>
      <c r="Z525" s="62"/>
      <c r="AA525" s="62"/>
      <c r="AB525" s="62"/>
      <c r="AC525" s="62"/>
      <c r="AD525" s="62"/>
      <c r="AE525" s="62"/>
      <c r="AF525" s="62"/>
      <c r="AG525" s="62"/>
      <c r="AH525" s="62"/>
      <c r="AI525" s="62"/>
      <c r="AJ525" s="62"/>
      <c r="AK525" s="62"/>
      <c r="AL525" s="62"/>
      <c r="AM525" s="62"/>
      <c r="AN525" s="62"/>
      <c r="AO525" s="62"/>
      <c r="AP525" s="62"/>
      <c r="AQ525" s="62"/>
      <c r="AR525" s="62"/>
      <c r="AS525" s="62"/>
      <c r="AT525" s="62"/>
      <c r="AU525" s="62"/>
      <c r="AV525" s="62"/>
      <c r="AW525" s="62"/>
      <c r="AX525" s="62"/>
    </row>
    <row r="526" spans="1:50" ht="14.25" customHeight="1" x14ac:dyDescent="0.3">
      <c r="A526" s="58"/>
      <c r="B526" s="58"/>
      <c r="C526" s="58"/>
      <c r="D526" s="58"/>
      <c r="E526" s="58"/>
      <c r="F526" s="58"/>
      <c r="G526" s="59"/>
      <c r="H526" s="60"/>
      <c r="I526" s="60"/>
      <c r="J526" s="59"/>
      <c r="K526" s="61"/>
      <c r="M526" s="62"/>
      <c r="N526" s="62"/>
      <c r="O526" s="62"/>
      <c r="P526" s="62"/>
      <c r="Q526" s="62"/>
      <c r="R526" s="62"/>
      <c r="S526" s="62"/>
      <c r="T526" s="62"/>
      <c r="U526" s="62"/>
      <c r="V526" s="62"/>
      <c r="W526" s="62"/>
      <c r="X526" s="62"/>
      <c r="Y526" s="62"/>
      <c r="Z526" s="62"/>
      <c r="AA526" s="62"/>
      <c r="AB526" s="62"/>
      <c r="AC526" s="62"/>
      <c r="AD526" s="62"/>
      <c r="AE526" s="62"/>
      <c r="AF526" s="62"/>
      <c r="AG526" s="62"/>
      <c r="AH526" s="62"/>
      <c r="AI526" s="62"/>
      <c r="AJ526" s="62"/>
      <c r="AK526" s="62"/>
      <c r="AL526" s="62"/>
      <c r="AM526" s="62"/>
      <c r="AN526" s="62"/>
      <c r="AO526" s="62"/>
      <c r="AP526" s="62"/>
      <c r="AQ526" s="62"/>
      <c r="AR526" s="62"/>
      <c r="AS526" s="62"/>
      <c r="AT526" s="62"/>
      <c r="AU526" s="62"/>
      <c r="AV526" s="62"/>
      <c r="AW526" s="62"/>
      <c r="AX526" s="62"/>
    </row>
    <row r="527" spans="1:50" ht="14.25" customHeight="1" x14ac:dyDescent="0.3">
      <c r="A527" s="58"/>
      <c r="B527" s="58"/>
      <c r="C527" s="58"/>
      <c r="D527" s="58"/>
      <c r="E527" s="58"/>
      <c r="F527" s="58"/>
      <c r="G527" s="59"/>
      <c r="H527" s="60"/>
      <c r="I527" s="60"/>
      <c r="J527" s="59"/>
      <c r="K527" s="61"/>
      <c r="M527" s="62"/>
      <c r="N527" s="62"/>
      <c r="O527" s="62"/>
      <c r="P527" s="62"/>
      <c r="Q527" s="62"/>
      <c r="R527" s="62"/>
      <c r="S527" s="62"/>
      <c r="T527" s="62"/>
      <c r="U527" s="62"/>
      <c r="V527" s="62"/>
      <c r="W527" s="62"/>
      <c r="X527" s="62"/>
      <c r="Y527" s="62"/>
      <c r="Z527" s="62"/>
      <c r="AA527" s="62"/>
      <c r="AB527" s="62"/>
      <c r="AC527" s="62"/>
      <c r="AD527" s="62"/>
      <c r="AE527" s="62"/>
      <c r="AF527" s="62"/>
      <c r="AG527" s="62"/>
      <c r="AH527" s="62"/>
      <c r="AI527" s="62"/>
      <c r="AJ527" s="62"/>
      <c r="AK527" s="62"/>
      <c r="AL527" s="62"/>
      <c r="AM527" s="62"/>
      <c r="AN527" s="62"/>
      <c r="AO527" s="62"/>
      <c r="AP527" s="62"/>
      <c r="AQ527" s="62"/>
      <c r="AR527" s="62"/>
      <c r="AS527" s="62"/>
      <c r="AT527" s="62"/>
      <c r="AU527" s="62"/>
      <c r="AV527" s="62"/>
      <c r="AW527" s="62"/>
      <c r="AX527" s="62"/>
    </row>
    <row r="528" spans="1:50" ht="14.25" customHeight="1" x14ac:dyDescent="0.3">
      <c r="A528" s="58"/>
      <c r="B528" s="58"/>
      <c r="C528" s="58"/>
      <c r="D528" s="58"/>
      <c r="E528" s="58"/>
      <c r="F528" s="58"/>
      <c r="G528" s="59"/>
      <c r="H528" s="60"/>
      <c r="I528" s="60"/>
      <c r="J528" s="59"/>
      <c r="K528" s="61"/>
      <c r="M528" s="62"/>
      <c r="N528" s="62"/>
      <c r="O528" s="62"/>
      <c r="P528" s="62"/>
      <c r="Q528" s="62"/>
      <c r="R528" s="62"/>
      <c r="S528" s="62"/>
      <c r="T528" s="62"/>
      <c r="U528" s="62"/>
      <c r="V528" s="62"/>
      <c r="W528" s="62"/>
      <c r="X528" s="62"/>
      <c r="Y528" s="62"/>
      <c r="Z528" s="62"/>
      <c r="AA528" s="62"/>
      <c r="AB528" s="62"/>
      <c r="AC528" s="62"/>
      <c r="AD528" s="62"/>
      <c r="AE528" s="62"/>
      <c r="AF528" s="62"/>
      <c r="AG528" s="62"/>
      <c r="AH528" s="62"/>
      <c r="AI528" s="62"/>
      <c r="AJ528" s="62"/>
      <c r="AK528" s="62"/>
      <c r="AL528" s="62"/>
      <c r="AM528" s="62"/>
      <c r="AN528" s="62"/>
      <c r="AO528" s="62"/>
      <c r="AP528" s="62"/>
      <c r="AQ528" s="62"/>
      <c r="AR528" s="62"/>
      <c r="AS528" s="62"/>
      <c r="AT528" s="62"/>
      <c r="AU528" s="62"/>
      <c r="AV528" s="62"/>
      <c r="AW528" s="62"/>
      <c r="AX528" s="62"/>
    </row>
    <row r="529" spans="1:50" ht="14.25" customHeight="1" x14ac:dyDescent="0.3">
      <c r="A529" s="58"/>
      <c r="B529" s="58"/>
      <c r="C529" s="58"/>
      <c r="D529" s="58"/>
      <c r="E529" s="58"/>
      <c r="F529" s="58"/>
      <c r="G529" s="59"/>
      <c r="H529" s="60"/>
      <c r="I529" s="60"/>
      <c r="J529" s="59"/>
      <c r="K529" s="61"/>
      <c r="M529" s="62"/>
      <c r="N529" s="62"/>
      <c r="O529" s="62"/>
      <c r="P529" s="62"/>
      <c r="Q529" s="62"/>
      <c r="R529" s="62"/>
      <c r="S529" s="62"/>
      <c r="T529" s="62"/>
      <c r="U529" s="62"/>
      <c r="V529" s="62"/>
      <c r="W529" s="62"/>
      <c r="X529" s="62"/>
      <c r="Y529" s="62"/>
      <c r="Z529" s="62"/>
      <c r="AA529" s="62"/>
      <c r="AB529" s="62"/>
      <c r="AC529" s="62"/>
      <c r="AD529" s="62"/>
      <c r="AE529" s="62"/>
      <c r="AF529" s="62"/>
      <c r="AG529" s="62"/>
      <c r="AH529" s="62"/>
      <c r="AI529" s="62"/>
      <c r="AJ529" s="62"/>
      <c r="AK529" s="62"/>
      <c r="AL529" s="62"/>
      <c r="AM529" s="62"/>
      <c r="AN529" s="62"/>
      <c r="AO529" s="62"/>
      <c r="AP529" s="62"/>
      <c r="AQ529" s="62"/>
      <c r="AR529" s="62"/>
      <c r="AS529" s="62"/>
      <c r="AT529" s="62"/>
      <c r="AU529" s="62"/>
      <c r="AV529" s="62"/>
      <c r="AW529" s="62"/>
      <c r="AX529" s="62"/>
    </row>
    <row r="530" spans="1:50" ht="14.25" customHeight="1" x14ac:dyDescent="0.3">
      <c r="A530" s="58"/>
      <c r="B530" s="58"/>
      <c r="C530" s="58"/>
      <c r="D530" s="58"/>
      <c r="E530" s="58"/>
      <c r="F530" s="58"/>
      <c r="G530" s="59"/>
      <c r="H530" s="60"/>
      <c r="I530" s="60"/>
      <c r="J530" s="59"/>
      <c r="K530" s="61"/>
      <c r="M530" s="62"/>
      <c r="N530" s="62"/>
      <c r="O530" s="62"/>
      <c r="P530" s="62"/>
      <c r="Q530" s="62"/>
      <c r="R530" s="62"/>
      <c r="S530" s="62"/>
      <c r="T530" s="62"/>
      <c r="U530" s="62"/>
      <c r="V530" s="62"/>
      <c r="W530" s="62"/>
      <c r="X530" s="62"/>
      <c r="Y530" s="62"/>
      <c r="Z530" s="62"/>
      <c r="AA530" s="62"/>
      <c r="AB530" s="62"/>
      <c r="AC530" s="62"/>
      <c r="AD530" s="62"/>
      <c r="AE530" s="62"/>
      <c r="AF530" s="62"/>
      <c r="AG530" s="62"/>
      <c r="AH530" s="62"/>
      <c r="AI530" s="62"/>
      <c r="AJ530" s="62"/>
      <c r="AK530" s="62"/>
      <c r="AL530" s="62"/>
      <c r="AM530" s="62"/>
      <c r="AN530" s="62"/>
      <c r="AO530" s="62"/>
      <c r="AP530" s="62"/>
      <c r="AQ530" s="62"/>
      <c r="AR530" s="62"/>
      <c r="AS530" s="62"/>
      <c r="AT530" s="62"/>
      <c r="AU530" s="62"/>
      <c r="AV530" s="62"/>
      <c r="AW530" s="62"/>
      <c r="AX530" s="62"/>
    </row>
    <row r="531" spans="1:50" ht="14.25" customHeight="1" x14ac:dyDescent="0.3">
      <c r="A531" s="58"/>
      <c r="B531" s="58"/>
      <c r="C531" s="58"/>
      <c r="D531" s="58"/>
      <c r="E531" s="58"/>
      <c r="F531" s="58"/>
      <c r="G531" s="59"/>
      <c r="H531" s="60"/>
      <c r="I531" s="60"/>
      <c r="J531" s="59"/>
      <c r="K531" s="61"/>
      <c r="M531" s="62"/>
      <c r="N531" s="62"/>
      <c r="O531" s="62"/>
      <c r="P531" s="62"/>
      <c r="Q531" s="62"/>
      <c r="R531" s="62"/>
      <c r="S531" s="62"/>
      <c r="T531" s="62"/>
      <c r="U531" s="62"/>
      <c r="V531" s="62"/>
      <c r="W531" s="62"/>
      <c r="X531" s="62"/>
      <c r="Y531" s="62"/>
      <c r="Z531" s="62"/>
      <c r="AA531" s="62"/>
      <c r="AB531" s="62"/>
      <c r="AC531" s="62"/>
      <c r="AD531" s="62"/>
      <c r="AE531" s="62"/>
      <c r="AF531" s="62"/>
      <c r="AG531" s="62"/>
      <c r="AH531" s="62"/>
      <c r="AI531" s="62"/>
      <c r="AJ531" s="62"/>
      <c r="AK531" s="62"/>
      <c r="AL531" s="62"/>
      <c r="AM531" s="62"/>
      <c r="AN531" s="62"/>
      <c r="AO531" s="62"/>
      <c r="AP531" s="62"/>
      <c r="AQ531" s="62"/>
      <c r="AR531" s="62"/>
      <c r="AS531" s="62"/>
      <c r="AT531" s="62"/>
      <c r="AU531" s="62"/>
      <c r="AV531" s="62"/>
      <c r="AW531" s="62"/>
      <c r="AX531" s="62"/>
    </row>
    <row r="532" spans="1:50" ht="14.25" customHeight="1" x14ac:dyDescent="0.3">
      <c r="A532" s="58"/>
      <c r="B532" s="58"/>
      <c r="C532" s="58"/>
      <c r="D532" s="58"/>
      <c r="E532" s="58"/>
      <c r="F532" s="58"/>
      <c r="G532" s="59"/>
      <c r="H532" s="60"/>
      <c r="I532" s="60"/>
      <c r="J532" s="59"/>
      <c r="K532" s="61"/>
      <c r="M532" s="62"/>
      <c r="N532" s="62"/>
      <c r="O532" s="62"/>
      <c r="P532" s="62"/>
      <c r="Q532" s="62"/>
      <c r="R532" s="62"/>
      <c r="S532" s="62"/>
      <c r="T532" s="62"/>
      <c r="U532" s="62"/>
      <c r="V532" s="62"/>
      <c r="W532" s="62"/>
      <c r="X532" s="62"/>
      <c r="Y532" s="62"/>
      <c r="Z532" s="62"/>
      <c r="AA532" s="62"/>
      <c r="AB532" s="62"/>
      <c r="AC532" s="62"/>
      <c r="AD532" s="62"/>
      <c r="AE532" s="62"/>
      <c r="AF532" s="62"/>
      <c r="AG532" s="62"/>
      <c r="AH532" s="62"/>
      <c r="AI532" s="62"/>
      <c r="AJ532" s="62"/>
      <c r="AK532" s="62"/>
      <c r="AL532" s="62"/>
      <c r="AM532" s="62"/>
      <c r="AN532" s="62"/>
      <c r="AO532" s="62"/>
      <c r="AP532" s="62"/>
      <c r="AQ532" s="62"/>
      <c r="AR532" s="62"/>
      <c r="AS532" s="62"/>
      <c r="AT532" s="62"/>
      <c r="AU532" s="62"/>
      <c r="AV532" s="62"/>
      <c r="AW532" s="62"/>
      <c r="AX532" s="62"/>
    </row>
    <row r="533" spans="1:50" ht="14.25" customHeight="1" x14ac:dyDescent="0.3">
      <c r="A533" s="58"/>
      <c r="B533" s="58"/>
      <c r="C533" s="58"/>
      <c r="D533" s="58"/>
      <c r="E533" s="58"/>
      <c r="F533" s="58"/>
      <c r="G533" s="59"/>
      <c r="H533" s="60"/>
      <c r="I533" s="60"/>
      <c r="J533" s="59"/>
      <c r="K533" s="61"/>
      <c r="M533" s="62"/>
      <c r="N533" s="62"/>
      <c r="O533" s="62"/>
      <c r="P533" s="62"/>
      <c r="Q533" s="62"/>
      <c r="R533" s="62"/>
      <c r="S533" s="62"/>
      <c r="T533" s="62"/>
      <c r="U533" s="62"/>
      <c r="V533" s="62"/>
      <c r="W533" s="62"/>
      <c r="X533" s="62"/>
      <c r="Y533" s="62"/>
      <c r="Z533" s="62"/>
      <c r="AA533" s="62"/>
      <c r="AB533" s="62"/>
      <c r="AC533" s="62"/>
      <c r="AD533" s="62"/>
      <c r="AE533" s="62"/>
      <c r="AF533" s="62"/>
      <c r="AG533" s="62"/>
      <c r="AH533" s="62"/>
      <c r="AI533" s="62"/>
      <c r="AJ533" s="62"/>
      <c r="AK533" s="62"/>
      <c r="AL533" s="62"/>
      <c r="AM533" s="62"/>
      <c r="AN533" s="62"/>
      <c r="AO533" s="62"/>
      <c r="AP533" s="62"/>
      <c r="AQ533" s="62"/>
      <c r="AR533" s="62"/>
      <c r="AS533" s="62"/>
      <c r="AT533" s="62"/>
      <c r="AU533" s="62"/>
      <c r="AV533" s="62"/>
      <c r="AW533" s="62"/>
      <c r="AX533" s="62"/>
    </row>
    <row r="534" spans="1:50" ht="14.25" customHeight="1" x14ac:dyDescent="0.3">
      <c r="A534" s="58"/>
      <c r="B534" s="58"/>
      <c r="C534" s="58"/>
      <c r="D534" s="58"/>
      <c r="E534" s="58"/>
      <c r="F534" s="58"/>
      <c r="G534" s="59"/>
      <c r="H534" s="60"/>
      <c r="I534" s="60"/>
      <c r="J534" s="59"/>
      <c r="K534" s="61"/>
      <c r="M534" s="62"/>
      <c r="N534" s="62"/>
      <c r="O534" s="62"/>
      <c r="P534" s="62"/>
      <c r="Q534" s="62"/>
      <c r="R534" s="62"/>
      <c r="S534" s="62"/>
      <c r="T534" s="62"/>
      <c r="U534" s="62"/>
      <c r="V534" s="62"/>
      <c r="W534" s="62"/>
      <c r="X534" s="62"/>
      <c r="Y534" s="62"/>
      <c r="Z534" s="62"/>
      <c r="AA534" s="62"/>
      <c r="AB534" s="62"/>
      <c r="AC534" s="62"/>
      <c r="AD534" s="62"/>
      <c r="AE534" s="62"/>
      <c r="AF534" s="62"/>
      <c r="AG534" s="62"/>
      <c r="AH534" s="62"/>
      <c r="AI534" s="62"/>
      <c r="AJ534" s="62"/>
      <c r="AK534" s="62"/>
      <c r="AL534" s="62"/>
      <c r="AM534" s="62"/>
      <c r="AN534" s="62"/>
      <c r="AO534" s="62"/>
      <c r="AP534" s="62"/>
      <c r="AQ534" s="62"/>
      <c r="AR534" s="62"/>
      <c r="AS534" s="62"/>
      <c r="AT534" s="62"/>
      <c r="AU534" s="62"/>
      <c r="AV534" s="62"/>
      <c r="AW534" s="62"/>
      <c r="AX534" s="62"/>
    </row>
    <row r="535" spans="1:50" ht="14.25" customHeight="1" x14ac:dyDescent="0.3">
      <c r="A535" s="58"/>
      <c r="B535" s="58"/>
      <c r="C535" s="58"/>
      <c r="D535" s="58"/>
      <c r="E535" s="58"/>
      <c r="F535" s="58"/>
      <c r="G535" s="59"/>
      <c r="H535" s="60"/>
      <c r="I535" s="60"/>
      <c r="J535" s="59"/>
      <c r="K535" s="61"/>
      <c r="M535" s="62"/>
      <c r="N535" s="62"/>
      <c r="O535" s="62"/>
      <c r="P535" s="62"/>
      <c r="Q535" s="62"/>
      <c r="R535" s="62"/>
      <c r="S535" s="62"/>
      <c r="T535" s="62"/>
      <c r="U535" s="62"/>
      <c r="V535" s="62"/>
      <c r="W535" s="62"/>
      <c r="X535" s="62"/>
      <c r="Y535" s="62"/>
      <c r="Z535" s="62"/>
      <c r="AA535" s="62"/>
      <c r="AB535" s="62"/>
      <c r="AC535" s="62"/>
      <c r="AD535" s="62"/>
      <c r="AE535" s="62"/>
      <c r="AF535" s="62"/>
      <c r="AG535" s="62"/>
      <c r="AH535" s="62"/>
      <c r="AI535" s="62"/>
      <c r="AJ535" s="62"/>
      <c r="AK535" s="62"/>
      <c r="AL535" s="62"/>
      <c r="AM535" s="62"/>
      <c r="AN535" s="62"/>
      <c r="AO535" s="62"/>
      <c r="AP535" s="62"/>
      <c r="AQ535" s="62"/>
      <c r="AR535" s="62"/>
      <c r="AS535" s="62"/>
      <c r="AT535" s="62"/>
      <c r="AU535" s="62"/>
      <c r="AV535" s="62"/>
      <c r="AW535" s="62"/>
      <c r="AX535" s="62"/>
    </row>
    <row r="536" spans="1:50" ht="14.25" customHeight="1" x14ac:dyDescent="0.3">
      <c r="A536" s="58"/>
      <c r="B536" s="58"/>
      <c r="C536" s="58"/>
      <c r="D536" s="58"/>
      <c r="E536" s="58"/>
      <c r="F536" s="58"/>
      <c r="G536" s="59"/>
      <c r="H536" s="60"/>
      <c r="I536" s="60"/>
      <c r="J536" s="59"/>
      <c r="K536" s="61"/>
      <c r="M536" s="62"/>
      <c r="N536" s="62"/>
      <c r="O536" s="62"/>
      <c r="P536" s="62"/>
      <c r="Q536" s="62"/>
      <c r="R536" s="62"/>
      <c r="S536" s="62"/>
      <c r="T536" s="62"/>
      <c r="U536" s="62"/>
      <c r="V536" s="62"/>
      <c r="W536" s="62"/>
      <c r="X536" s="62"/>
      <c r="Y536" s="62"/>
      <c r="Z536" s="62"/>
      <c r="AA536" s="62"/>
      <c r="AB536" s="62"/>
      <c r="AC536" s="62"/>
      <c r="AD536" s="62"/>
      <c r="AE536" s="62"/>
      <c r="AF536" s="62"/>
      <c r="AG536" s="62"/>
      <c r="AH536" s="62"/>
      <c r="AI536" s="62"/>
      <c r="AJ536" s="62"/>
      <c r="AK536" s="62"/>
      <c r="AL536" s="62"/>
      <c r="AM536" s="62"/>
      <c r="AN536" s="62"/>
      <c r="AO536" s="62"/>
      <c r="AP536" s="62"/>
      <c r="AQ536" s="62"/>
      <c r="AR536" s="62"/>
      <c r="AS536" s="62"/>
      <c r="AT536" s="62"/>
      <c r="AU536" s="62"/>
      <c r="AV536" s="62"/>
      <c r="AW536" s="62"/>
      <c r="AX536" s="62"/>
    </row>
    <row r="537" spans="1:50" ht="14.25" customHeight="1" x14ac:dyDescent="0.3">
      <c r="A537" s="58"/>
      <c r="B537" s="58"/>
      <c r="C537" s="58"/>
      <c r="D537" s="58"/>
      <c r="E537" s="58"/>
      <c r="F537" s="58"/>
      <c r="G537" s="59"/>
      <c r="H537" s="60"/>
      <c r="I537" s="60"/>
      <c r="J537" s="59"/>
      <c r="K537" s="61"/>
      <c r="M537" s="62"/>
      <c r="N537" s="62"/>
      <c r="O537" s="62"/>
      <c r="P537" s="62"/>
      <c r="Q537" s="62"/>
      <c r="R537" s="62"/>
      <c r="S537" s="62"/>
      <c r="T537" s="62"/>
      <c r="U537" s="62"/>
      <c r="V537" s="62"/>
      <c r="W537" s="62"/>
      <c r="X537" s="62"/>
      <c r="Y537" s="62"/>
      <c r="Z537" s="62"/>
      <c r="AA537" s="62"/>
      <c r="AB537" s="62"/>
      <c r="AC537" s="62"/>
      <c r="AD537" s="62"/>
      <c r="AE537" s="62"/>
      <c r="AF537" s="62"/>
      <c r="AG537" s="62"/>
      <c r="AH537" s="62"/>
      <c r="AI537" s="62"/>
      <c r="AJ537" s="62"/>
      <c r="AK537" s="62"/>
      <c r="AL537" s="62"/>
      <c r="AM537" s="62"/>
      <c r="AN537" s="62"/>
      <c r="AO537" s="62"/>
      <c r="AP537" s="62"/>
      <c r="AQ537" s="62"/>
      <c r="AR537" s="62"/>
      <c r="AS537" s="62"/>
      <c r="AT537" s="62"/>
      <c r="AU537" s="62"/>
      <c r="AV537" s="62"/>
      <c r="AW537" s="62"/>
      <c r="AX537" s="62"/>
    </row>
    <row r="538" spans="1:50" ht="14.25" customHeight="1" x14ac:dyDescent="0.3">
      <c r="A538" s="58"/>
      <c r="B538" s="58"/>
      <c r="C538" s="58"/>
      <c r="D538" s="58"/>
      <c r="E538" s="58"/>
      <c r="F538" s="58"/>
      <c r="G538" s="59"/>
      <c r="H538" s="60"/>
      <c r="I538" s="60"/>
      <c r="J538" s="59"/>
      <c r="K538" s="61"/>
      <c r="M538" s="62"/>
      <c r="N538" s="62"/>
      <c r="O538" s="62"/>
      <c r="P538" s="62"/>
      <c r="Q538" s="62"/>
      <c r="R538" s="62"/>
      <c r="S538" s="62"/>
      <c r="T538" s="62"/>
      <c r="U538" s="62"/>
      <c r="V538" s="62"/>
      <c r="W538" s="62"/>
      <c r="X538" s="62"/>
      <c r="Y538" s="62"/>
      <c r="Z538" s="62"/>
      <c r="AA538" s="62"/>
      <c r="AB538" s="62"/>
      <c r="AC538" s="62"/>
      <c r="AD538" s="62"/>
      <c r="AE538" s="62"/>
      <c r="AF538" s="62"/>
      <c r="AG538" s="62"/>
      <c r="AH538" s="62"/>
      <c r="AI538" s="62"/>
      <c r="AJ538" s="62"/>
      <c r="AK538" s="62"/>
      <c r="AL538" s="62"/>
      <c r="AM538" s="62"/>
      <c r="AN538" s="62"/>
      <c r="AO538" s="62"/>
      <c r="AP538" s="62"/>
      <c r="AQ538" s="62"/>
      <c r="AR538" s="62"/>
      <c r="AS538" s="62"/>
      <c r="AT538" s="62"/>
      <c r="AU538" s="62"/>
      <c r="AV538" s="62"/>
      <c r="AW538" s="62"/>
      <c r="AX538" s="62"/>
    </row>
    <row r="539" spans="1:50" ht="14.25" customHeight="1" x14ac:dyDescent="0.3">
      <c r="A539" s="58"/>
      <c r="B539" s="58"/>
      <c r="C539" s="58"/>
      <c r="D539" s="58"/>
      <c r="E539" s="58"/>
      <c r="F539" s="58"/>
      <c r="G539" s="59"/>
      <c r="H539" s="60"/>
      <c r="I539" s="60"/>
      <c r="J539" s="59"/>
      <c r="K539" s="61"/>
      <c r="M539" s="62"/>
      <c r="N539" s="62"/>
      <c r="O539" s="62"/>
      <c r="P539" s="62"/>
      <c r="Q539" s="62"/>
      <c r="R539" s="62"/>
      <c r="S539" s="62"/>
      <c r="T539" s="62"/>
      <c r="U539" s="62"/>
      <c r="V539" s="62"/>
      <c r="W539" s="62"/>
      <c r="X539" s="62"/>
      <c r="Y539" s="62"/>
      <c r="Z539" s="62"/>
      <c r="AA539" s="62"/>
      <c r="AB539" s="62"/>
      <c r="AC539" s="62"/>
      <c r="AD539" s="62"/>
      <c r="AE539" s="62"/>
      <c r="AF539" s="62"/>
      <c r="AG539" s="62"/>
      <c r="AH539" s="62"/>
      <c r="AI539" s="62"/>
      <c r="AJ539" s="62"/>
      <c r="AK539" s="62"/>
      <c r="AL539" s="62"/>
      <c r="AM539" s="62"/>
      <c r="AN539" s="62"/>
      <c r="AO539" s="62"/>
      <c r="AP539" s="62"/>
      <c r="AQ539" s="62"/>
      <c r="AR539" s="62"/>
      <c r="AS539" s="62"/>
      <c r="AT539" s="62"/>
      <c r="AU539" s="62"/>
      <c r="AV539" s="62"/>
      <c r="AW539" s="62"/>
      <c r="AX539" s="62"/>
    </row>
    <row r="540" spans="1:50" ht="14.25" customHeight="1" x14ac:dyDescent="0.3">
      <c r="A540" s="58"/>
      <c r="B540" s="58"/>
      <c r="C540" s="58"/>
      <c r="D540" s="58"/>
      <c r="E540" s="58"/>
      <c r="F540" s="58"/>
      <c r="G540" s="59"/>
      <c r="H540" s="60"/>
      <c r="I540" s="60"/>
      <c r="J540" s="59"/>
      <c r="K540" s="61"/>
      <c r="M540" s="62"/>
      <c r="N540" s="62"/>
      <c r="O540" s="62"/>
      <c r="P540" s="62"/>
      <c r="Q540" s="62"/>
      <c r="R540" s="62"/>
      <c r="S540" s="62"/>
      <c r="T540" s="62"/>
      <c r="U540" s="62"/>
      <c r="V540" s="62"/>
      <c r="W540" s="62"/>
      <c r="X540" s="62"/>
      <c r="Y540" s="62"/>
      <c r="Z540" s="62"/>
      <c r="AA540" s="62"/>
      <c r="AB540" s="62"/>
      <c r="AC540" s="62"/>
      <c r="AD540" s="62"/>
      <c r="AE540" s="62"/>
      <c r="AF540" s="62"/>
      <c r="AG540" s="62"/>
      <c r="AH540" s="62"/>
      <c r="AI540" s="62"/>
      <c r="AJ540" s="62"/>
      <c r="AK540" s="62"/>
      <c r="AL540" s="62"/>
      <c r="AM540" s="62"/>
      <c r="AN540" s="62"/>
      <c r="AO540" s="62"/>
      <c r="AP540" s="62"/>
      <c r="AQ540" s="62"/>
      <c r="AR540" s="62"/>
      <c r="AS540" s="62"/>
      <c r="AT540" s="62"/>
      <c r="AU540" s="62"/>
      <c r="AV540" s="62"/>
      <c r="AW540" s="62"/>
      <c r="AX540" s="62"/>
    </row>
    <row r="541" spans="1:50" ht="14.25" customHeight="1" x14ac:dyDescent="0.3">
      <c r="A541" s="58"/>
      <c r="B541" s="58"/>
      <c r="C541" s="58"/>
      <c r="D541" s="58"/>
      <c r="E541" s="58"/>
      <c r="F541" s="58"/>
      <c r="G541" s="59"/>
      <c r="H541" s="60"/>
      <c r="I541" s="60"/>
      <c r="J541" s="59"/>
      <c r="K541" s="61"/>
      <c r="M541" s="62"/>
      <c r="N541" s="62"/>
      <c r="O541" s="62"/>
      <c r="P541" s="62"/>
      <c r="Q541" s="62"/>
      <c r="R541" s="62"/>
      <c r="S541" s="62"/>
      <c r="T541" s="62"/>
      <c r="U541" s="62"/>
      <c r="V541" s="62"/>
      <c r="W541" s="62"/>
      <c r="X541" s="62"/>
      <c r="Y541" s="62"/>
      <c r="Z541" s="62"/>
      <c r="AA541" s="62"/>
      <c r="AB541" s="62"/>
      <c r="AC541" s="62"/>
      <c r="AD541" s="62"/>
      <c r="AE541" s="62"/>
      <c r="AF541" s="62"/>
      <c r="AG541" s="62"/>
      <c r="AH541" s="62"/>
      <c r="AI541" s="62"/>
      <c r="AJ541" s="62"/>
      <c r="AK541" s="62"/>
      <c r="AL541" s="62"/>
      <c r="AM541" s="62"/>
      <c r="AN541" s="62"/>
      <c r="AO541" s="62"/>
      <c r="AP541" s="62"/>
      <c r="AQ541" s="62"/>
      <c r="AR541" s="62"/>
      <c r="AS541" s="62"/>
      <c r="AT541" s="62"/>
      <c r="AU541" s="62"/>
      <c r="AV541" s="62"/>
      <c r="AW541" s="62"/>
      <c r="AX541" s="62"/>
    </row>
    <row r="542" spans="1:50" ht="14.25" customHeight="1" x14ac:dyDescent="0.3">
      <c r="A542" s="58"/>
      <c r="B542" s="58"/>
      <c r="C542" s="58"/>
      <c r="D542" s="58"/>
      <c r="E542" s="58"/>
      <c r="F542" s="58"/>
      <c r="G542" s="59"/>
      <c r="H542" s="60"/>
      <c r="I542" s="60"/>
      <c r="J542" s="59"/>
      <c r="K542" s="61"/>
      <c r="M542" s="62"/>
      <c r="N542" s="62"/>
      <c r="O542" s="62"/>
      <c r="P542" s="62"/>
      <c r="Q542" s="62"/>
      <c r="R542" s="62"/>
      <c r="S542" s="62"/>
      <c r="T542" s="62"/>
      <c r="U542" s="62"/>
      <c r="V542" s="62"/>
      <c r="W542" s="62"/>
      <c r="X542" s="62"/>
      <c r="Y542" s="62"/>
      <c r="Z542" s="62"/>
      <c r="AA542" s="62"/>
      <c r="AB542" s="62"/>
      <c r="AC542" s="62"/>
      <c r="AD542" s="62"/>
      <c r="AE542" s="62"/>
      <c r="AF542" s="62"/>
      <c r="AG542" s="62"/>
      <c r="AH542" s="62"/>
      <c r="AI542" s="62"/>
      <c r="AJ542" s="62"/>
      <c r="AK542" s="62"/>
      <c r="AL542" s="62"/>
      <c r="AM542" s="62"/>
      <c r="AN542" s="62"/>
      <c r="AO542" s="62"/>
      <c r="AP542" s="62"/>
      <c r="AQ542" s="62"/>
      <c r="AR542" s="62"/>
      <c r="AS542" s="62"/>
      <c r="AT542" s="62"/>
      <c r="AU542" s="62"/>
      <c r="AV542" s="62"/>
      <c r="AW542" s="62"/>
      <c r="AX542" s="62"/>
    </row>
    <row r="543" spans="1:50" ht="14.25" customHeight="1" x14ac:dyDescent="0.3">
      <c r="A543" s="58"/>
      <c r="B543" s="58"/>
      <c r="C543" s="58"/>
      <c r="D543" s="58"/>
      <c r="E543" s="58"/>
      <c r="F543" s="58"/>
      <c r="G543" s="59"/>
      <c r="H543" s="60"/>
      <c r="I543" s="60"/>
      <c r="J543" s="59"/>
      <c r="K543" s="61"/>
      <c r="M543" s="62"/>
      <c r="N543" s="62"/>
      <c r="O543" s="62"/>
      <c r="P543" s="62"/>
      <c r="Q543" s="62"/>
      <c r="R543" s="62"/>
      <c r="S543" s="62"/>
      <c r="T543" s="62"/>
      <c r="U543" s="62"/>
      <c r="V543" s="62"/>
      <c r="W543" s="62"/>
      <c r="X543" s="62"/>
      <c r="Y543" s="62"/>
      <c r="Z543" s="62"/>
      <c r="AA543" s="62"/>
      <c r="AB543" s="62"/>
      <c r="AC543" s="62"/>
      <c r="AD543" s="62"/>
      <c r="AE543" s="62"/>
      <c r="AF543" s="62"/>
      <c r="AG543" s="62"/>
      <c r="AH543" s="62"/>
      <c r="AI543" s="62"/>
      <c r="AJ543" s="62"/>
      <c r="AK543" s="62"/>
      <c r="AL543" s="62"/>
      <c r="AM543" s="62"/>
      <c r="AN543" s="62"/>
      <c r="AO543" s="62"/>
      <c r="AP543" s="62"/>
      <c r="AQ543" s="62"/>
      <c r="AR543" s="62"/>
      <c r="AS543" s="62"/>
      <c r="AT543" s="62"/>
      <c r="AU543" s="62"/>
      <c r="AV543" s="62"/>
      <c r="AW543" s="62"/>
      <c r="AX543" s="62"/>
    </row>
    <row r="544" spans="1:50" ht="14.25" customHeight="1" x14ac:dyDescent="0.3">
      <c r="A544" s="58"/>
      <c r="B544" s="58"/>
      <c r="C544" s="58"/>
      <c r="D544" s="58"/>
      <c r="E544" s="58"/>
      <c r="F544" s="58"/>
      <c r="G544" s="59"/>
      <c r="H544" s="60"/>
      <c r="I544" s="60"/>
      <c r="J544" s="59"/>
      <c r="K544" s="61"/>
      <c r="M544" s="62"/>
      <c r="N544" s="62"/>
      <c r="O544" s="62"/>
      <c r="P544" s="62"/>
      <c r="Q544" s="62"/>
      <c r="R544" s="62"/>
      <c r="S544" s="62"/>
      <c r="T544" s="62"/>
      <c r="U544" s="62"/>
      <c r="V544" s="62"/>
      <c r="W544" s="62"/>
      <c r="X544" s="62"/>
      <c r="Y544" s="62"/>
      <c r="Z544" s="62"/>
      <c r="AA544" s="62"/>
      <c r="AB544" s="62"/>
      <c r="AC544" s="62"/>
      <c r="AD544" s="62"/>
      <c r="AE544" s="62"/>
      <c r="AF544" s="62"/>
      <c r="AG544" s="62"/>
      <c r="AH544" s="62"/>
      <c r="AI544" s="62"/>
      <c r="AJ544" s="62"/>
      <c r="AK544" s="62"/>
      <c r="AL544" s="62"/>
      <c r="AM544" s="62"/>
      <c r="AN544" s="62"/>
      <c r="AO544" s="62"/>
      <c r="AP544" s="62"/>
      <c r="AQ544" s="62"/>
      <c r="AR544" s="62"/>
      <c r="AS544" s="62"/>
      <c r="AT544" s="62"/>
      <c r="AU544" s="62"/>
      <c r="AV544" s="62"/>
      <c r="AW544" s="62"/>
      <c r="AX544" s="62"/>
    </row>
    <row r="545" spans="1:50" ht="14.25" customHeight="1" x14ac:dyDescent="0.3">
      <c r="A545" s="58"/>
      <c r="B545" s="58"/>
      <c r="C545" s="58"/>
      <c r="D545" s="58"/>
      <c r="E545" s="58"/>
      <c r="F545" s="58"/>
      <c r="G545" s="59"/>
      <c r="H545" s="60"/>
      <c r="I545" s="60"/>
      <c r="J545" s="59"/>
      <c r="K545" s="61"/>
      <c r="M545" s="62"/>
      <c r="N545" s="62"/>
      <c r="O545" s="62"/>
      <c r="P545" s="62"/>
      <c r="Q545" s="62"/>
      <c r="R545" s="62"/>
      <c r="S545" s="62"/>
      <c r="T545" s="62"/>
      <c r="U545" s="62"/>
      <c r="V545" s="62"/>
      <c r="W545" s="62"/>
      <c r="X545" s="62"/>
      <c r="Y545" s="62"/>
      <c r="Z545" s="62"/>
      <c r="AA545" s="62"/>
      <c r="AB545" s="62"/>
      <c r="AC545" s="62"/>
      <c r="AD545" s="62"/>
      <c r="AE545" s="62"/>
      <c r="AF545" s="62"/>
      <c r="AG545" s="62"/>
      <c r="AH545" s="62"/>
      <c r="AI545" s="62"/>
      <c r="AJ545" s="62"/>
      <c r="AK545" s="62"/>
      <c r="AL545" s="62"/>
      <c r="AM545" s="62"/>
      <c r="AN545" s="62"/>
      <c r="AO545" s="62"/>
      <c r="AP545" s="62"/>
      <c r="AQ545" s="62"/>
      <c r="AR545" s="62"/>
      <c r="AS545" s="62"/>
      <c r="AT545" s="62"/>
      <c r="AU545" s="62"/>
      <c r="AV545" s="62"/>
      <c r="AW545" s="62"/>
      <c r="AX545" s="62"/>
    </row>
    <row r="546" spans="1:50" ht="14.25" customHeight="1" x14ac:dyDescent="0.3">
      <c r="A546" s="58"/>
      <c r="B546" s="58"/>
      <c r="C546" s="58"/>
      <c r="D546" s="58"/>
      <c r="E546" s="58"/>
      <c r="F546" s="58"/>
      <c r="G546" s="59"/>
      <c r="H546" s="60"/>
      <c r="I546" s="60"/>
      <c r="J546" s="59"/>
      <c r="K546" s="61"/>
      <c r="M546" s="62"/>
      <c r="N546" s="62"/>
      <c r="O546" s="62"/>
      <c r="P546" s="62"/>
      <c r="Q546" s="62"/>
      <c r="R546" s="62"/>
      <c r="S546" s="62"/>
      <c r="T546" s="62"/>
      <c r="U546" s="62"/>
      <c r="V546" s="62"/>
      <c r="W546" s="62"/>
      <c r="X546" s="62"/>
      <c r="Y546" s="62"/>
      <c r="Z546" s="62"/>
      <c r="AA546" s="62"/>
      <c r="AB546" s="62"/>
      <c r="AC546" s="62"/>
      <c r="AD546" s="62"/>
      <c r="AE546" s="62"/>
      <c r="AF546" s="62"/>
      <c r="AG546" s="62"/>
      <c r="AH546" s="62"/>
      <c r="AI546" s="62"/>
      <c r="AJ546" s="62"/>
      <c r="AK546" s="62"/>
      <c r="AL546" s="62"/>
      <c r="AM546" s="62"/>
      <c r="AN546" s="62"/>
      <c r="AO546" s="62"/>
      <c r="AP546" s="62"/>
      <c r="AQ546" s="62"/>
      <c r="AR546" s="62"/>
      <c r="AS546" s="62"/>
      <c r="AT546" s="62"/>
      <c r="AU546" s="62"/>
      <c r="AV546" s="62"/>
      <c r="AW546" s="62"/>
      <c r="AX546" s="62"/>
    </row>
    <row r="547" spans="1:50" ht="14.25" customHeight="1" x14ac:dyDescent="0.3">
      <c r="A547" s="58"/>
      <c r="B547" s="58"/>
      <c r="C547" s="58"/>
      <c r="D547" s="58"/>
      <c r="E547" s="58"/>
      <c r="F547" s="58"/>
      <c r="G547" s="59"/>
      <c r="H547" s="60"/>
      <c r="I547" s="60"/>
      <c r="J547" s="59"/>
      <c r="K547" s="61"/>
      <c r="M547" s="62"/>
      <c r="N547" s="62"/>
      <c r="O547" s="62"/>
      <c r="P547" s="62"/>
      <c r="Q547" s="62"/>
      <c r="R547" s="62"/>
      <c r="S547" s="62"/>
      <c r="T547" s="62"/>
      <c r="U547" s="62"/>
      <c r="V547" s="62"/>
      <c r="W547" s="62"/>
      <c r="X547" s="62"/>
      <c r="Y547" s="62"/>
      <c r="Z547" s="62"/>
      <c r="AA547" s="62"/>
      <c r="AB547" s="62"/>
      <c r="AC547" s="62"/>
      <c r="AD547" s="62"/>
      <c r="AE547" s="62"/>
      <c r="AF547" s="62"/>
      <c r="AG547" s="62"/>
      <c r="AH547" s="62"/>
      <c r="AI547" s="62"/>
      <c r="AJ547" s="62"/>
      <c r="AK547" s="62"/>
      <c r="AL547" s="62"/>
      <c r="AM547" s="62"/>
      <c r="AN547" s="62"/>
      <c r="AO547" s="62"/>
      <c r="AP547" s="62"/>
      <c r="AQ547" s="62"/>
      <c r="AR547" s="62"/>
      <c r="AS547" s="62"/>
      <c r="AT547" s="62"/>
      <c r="AU547" s="62"/>
      <c r="AV547" s="62"/>
      <c r="AW547" s="62"/>
      <c r="AX547" s="62"/>
    </row>
    <row r="548" spans="1:50" ht="14.25" customHeight="1" x14ac:dyDescent="0.3">
      <c r="A548" s="58"/>
      <c r="B548" s="58"/>
      <c r="C548" s="58"/>
      <c r="D548" s="58"/>
      <c r="E548" s="58"/>
      <c r="F548" s="58"/>
      <c r="G548" s="59"/>
      <c r="H548" s="60"/>
      <c r="I548" s="60"/>
      <c r="J548" s="59"/>
      <c r="K548" s="61"/>
      <c r="M548" s="62"/>
      <c r="N548" s="62"/>
      <c r="O548" s="62"/>
      <c r="P548" s="62"/>
      <c r="Q548" s="62"/>
      <c r="R548" s="62"/>
      <c r="S548" s="62"/>
      <c r="T548" s="62"/>
      <c r="U548" s="62"/>
      <c r="V548" s="62"/>
      <c r="W548" s="62"/>
      <c r="X548" s="62"/>
      <c r="Y548" s="62"/>
      <c r="Z548" s="62"/>
      <c r="AA548" s="62"/>
      <c r="AB548" s="62"/>
      <c r="AC548" s="62"/>
      <c r="AD548" s="62"/>
      <c r="AE548" s="62"/>
      <c r="AF548" s="62"/>
      <c r="AG548" s="62"/>
      <c r="AH548" s="62"/>
      <c r="AI548" s="62"/>
      <c r="AJ548" s="62"/>
      <c r="AK548" s="62"/>
      <c r="AL548" s="62"/>
      <c r="AM548" s="62"/>
      <c r="AN548" s="62"/>
      <c r="AO548" s="62"/>
      <c r="AP548" s="62"/>
      <c r="AQ548" s="62"/>
      <c r="AR548" s="62"/>
      <c r="AS548" s="62"/>
      <c r="AT548" s="62"/>
      <c r="AU548" s="62"/>
      <c r="AV548" s="62"/>
      <c r="AW548" s="62"/>
      <c r="AX548" s="62"/>
    </row>
    <row r="549" spans="1:50" ht="14.25" customHeight="1" x14ac:dyDescent="0.3">
      <c r="A549" s="58"/>
      <c r="B549" s="58"/>
      <c r="C549" s="58"/>
      <c r="D549" s="58"/>
      <c r="E549" s="58"/>
      <c r="F549" s="58"/>
      <c r="G549" s="59"/>
      <c r="H549" s="60"/>
      <c r="I549" s="60"/>
      <c r="J549" s="59"/>
      <c r="K549" s="61"/>
      <c r="M549" s="62"/>
      <c r="N549" s="62"/>
      <c r="O549" s="62"/>
      <c r="P549" s="62"/>
      <c r="Q549" s="62"/>
      <c r="R549" s="62"/>
      <c r="S549" s="62"/>
      <c r="T549" s="62"/>
      <c r="U549" s="62"/>
      <c r="V549" s="62"/>
      <c r="W549" s="62"/>
      <c r="X549" s="62"/>
      <c r="Y549" s="62"/>
      <c r="Z549" s="62"/>
      <c r="AA549" s="62"/>
      <c r="AB549" s="62"/>
      <c r="AC549" s="62"/>
      <c r="AD549" s="62"/>
      <c r="AE549" s="62"/>
      <c r="AF549" s="62"/>
      <c r="AG549" s="62"/>
      <c r="AH549" s="62"/>
      <c r="AI549" s="62"/>
      <c r="AJ549" s="62"/>
      <c r="AK549" s="62"/>
      <c r="AL549" s="62"/>
      <c r="AM549" s="62"/>
      <c r="AN549" s="62"/>
      <c r="AO549" s="62"/>
      <c r="AP549" s="62"/>
      <c r="AQ549" s="62"/>
      <c r="AR549" s="62"/>
      <c r="AS549" s="62"/>
      <c r="AT549" s="62"/>
      <c r="AU549" s="62"/>
      <c r="AV549" s="62"/>
      <c r="AW549" s="62"/>
      <c r="AX549" s="62"/>
    </row>
    <row r="550" spans="1:50" ht="14.25" customHeight="1" x14ac:dyDescent="0.3">
      <c r="A550" s="58"/>
      <c r="B550" s="58"/>
      <c r="C550" s="58"/>
      <c r="D550" s="58"/>
      <c r="E550" s="58"/>
      <c r="F550" s="58"/>
      <c r="G550" s="59"/>
      <c r="H550" s="60"/>
      <c r="I550" s="60"/>
      <c r="J550" s="59"/>
      <c r="K550" s="61"/>
      <c r="M550" s="62"/>
      <c r="N550" s="62"/>
      <c r="O550" s="62"/>
      <c r="P550" s="62"/>
      <c r="Q550" s="62"/>
      <c r="R550" s="62"/>
      <c r="S550" s="62"/>
      <c r="T550" s="62"/>
      <c r="U550" s="62"/>
      <c r="V550" s="62"/>
      <c r="W550" s="62"/>
      <c r="X550" s="62"/>
      <c r="Y550" s="62"/>
      <c r="Z550" s="62"/>
      <c r="AA550" s="62"/>
      <c r="AB550" s="62"/>
      <c r="AC550" s="62"/>
      <c r="AD550" s="62"/>
      <c r="AE550" s="62"/>
      <c r="AF550" s="62"/>
      <c r="AG550" s="62"/>
      <c r="AH550" s="62"/>
      <c r="AI550" s="62"/>
      <c r="AJ550" s="62"/>
      <c r="AK550" s="62"/>
      <c r="AL550" s="62"/>
      <c r="AM550" s="62"/>
      <c r="AN550" s="62"/>
      <c r="AO550" s="62"/>
      <c r="AP550" s="62"/>
      <c r="AQ550" s="62"/>
      <c r="AR550" s="62"/>
      <c r="AS550" s="62"/>
      <c r="AT550" s="62"/>
      <c r="AU550" s="62"/>
      <c r="AV550" s="62"/>
      <c r="AW550" s="62"/>
      <c r="AX550" s="62"/>
    </row>
    <row r="551" spans="1:50" ht="14.25" customHeight="1" x14ac:dyDescent="0.3">
      <c r="A551" s="58"/>
      <c r="B551" s="58"/>
      <c r="C551" s="58"/>
      <c r="D551" s="58"/>
      <c r="E551" s="58"/>
      <c r="F551" s="58"/>
      <c r="G551" s="59"/>
      <c r="H551" s="60"/>
      <c r="I551" s="60"/>
      <c r="J551" s="59"/>
      <c r="K551" s="61"/>
      <c r="M551" s="62"/>
      <c r="N551" s="62"/>
      <c r="O551" s="62"/>
      <c r="P551" s="62"/>
      <c r="Q551" s="62"/>
      <c r="R551" s="62"/>
      <c r="S551" s="62"/>
      <c r="T551" s="62"/>
      <c r="U551" s="62"/>
      <c r="V551" s="62"/>
      <c r="W551" s="62"/>
      <c r="X551" s="62"/>
      <c r="Y551" s="62"/>
      <c r="Z551" s="62"/>
      <c r="AA551" s="62"/>
      <c r="AB551" s="62"/>
      <c r="AC551" s="62"/>
      <c r="AD551" s="62"/>
      <c r="AE551" s="62"/>
      <c r="AF551" s="62"/>
      <c r="AG551" s="62"/>
      <c r="AH551" s="62"/>
      <c r="AI551" s="62"/>
      <c r="AJ551" s="62"/>
      <c r="AK551" s="62"/>
      <c r="AL551" s="62"/>
      <c r="AM551" s="62"/>
      <c r="AN551" s="62"/>
      <c r="AO551" s="62"/>
      <c r="AP551" s="62"/>
      <c r="AQ551" s="62"/>
      <c r="AR551" s="62"/>
      <c r="AS551" s="62"/>
      <c r="AT551" s="62"/>
      <c r="AU551" s="62"/>
      <c r="AV551" s="62"/>
      <c r="AW551" s="62"/>
      <c r="AX551" s="62"/>
    </row>
    <row r="552" spans="1:50" ht="14.25" customHeight="1" x14ac:dyDescent="0.3">
      <c r="A552" s="58"/>
      <c r="B552" s="58"/>
      <c r="C552" s="58"/>
      <c r="D552" s="58"/>
      <c r="E552" s="58"/>
      <c r="F552" s="58"/>
      <c r="G552" s="59"/>
      <c r="H552" s="60"/>
      <c r="I552" s="60"/>
      <c r="J552" s="59"/>
      <c r="K552" s="61"/>
      <c r="M552" s="62"/>
      <c r="N552" s="62"/>
      <c r="O552" s="62"/>
      <c r="P552" s="62"/>
      <c r="Q552" s="62"/>
      <c r="R552" s="62"/>
      <c r="S552" s="62"/>
      <c r="T552" s="62"/>
      <c r="U552" s="62"/>
      <c r="V552" s="62"/>
      <c r="W552" s="62"/>
      <c r="X552" s="62"/>
      <c r="Y552" s="62"/>
      <c r="Z552" s="62"/>
      <c r="AA552" s="62"/>
      <c r="AB552" s="62"/>
      <c r="AC552" s="62"/>
      <c r="AD552" s="62"/>
      <c r="AE552" s="62"/>
      <c r="AF552" s="62"/>
      <c r="AG552" s="62"/>
      <c r="AH552" s="62"/>
      <c r="AI552" s="62"/>
      <c r="AJ552" s="62"/>
      <c r="AK552" s="62"/>
      <c r="AL552" s="62"/>
      <c r="AM552" s="62"/>
      <c r="AN552" s="62"/>
      <c r="AO552" s="62"/>
      <c r="AP552" s="62"/>
      <c r="AQ552" s="62"/>
      <c r="AR552" s="62"/>
      <c r="AS552" s="62"/>
      <c r="AT552" s="62"/>
      <c r="AU552" s="62"/>
      <c r="AV552" s="62"/>
      <c r="AW552" s="62"/>
      <c r="AX552" s="62"/>
    </row>
    <row r="553" spans="1:50" ht="14.25" customHeight="1" x14ac:dyDescent="0.3">
      <c r="A553" s="58"/>
      <c r="B553" s="58"/>
      <c r="C553" s="58"/>
      <c r="D553" s="58"/>
      <c r="E553" s="58"/>
      <c r="F553" s="58"/>
      <c r="G553" s="59"/>
      <c r="H553" s="60"/>
      <c r="I553" s="60"/>
      <c r="J553" s="59"/>
      <c r="K553" s="61"/>
      <c r="M553" s="62"/>
      <c r="N553" s="62"/>
      <c r="O553" s="62"/>
      <c r="P553" s="62"/>
      <c r="Q553" s="62"/>
      <c r="R553" s="62"/>
      <c r="S553" s="62"/>
      <c r="T553" s="62"/>
      <c r="U553" s="62"/>
      <c r="V553" s="62"/>
      <c r="W553" s="62"/>
      <c r="X553" s="62"/>
      <c r="Y553" s="62"/>
      <c r="Z553" s="62"/>
      <c r="AA553" s="62"/>
      <c r="AB553" s="62"/>
      <c r="AC553" s="62"/>
      <c r="AD553" s="62"/>
      <c r="AE553" s="62"/>
      <c r="AF553" s="62"/>
      <c r="AG553" s="62"/>
      <c r="AH553" s="62"/>
      <c r="AI553" s="62"/>
      <c r="AJ553" s="62"/>
      <c r="AK553" s="62"/>
      <c r="AL553" s="62"/>
      <c r="AM553" s="62"/>
      <c r="AN553" s="62"/>
      <c r="AO553" s="62"/>
      <c r="AP553" s="62"/>
      <c r="AQ553" s="62"/>
      <c r="AR553" s="62"/>
      <c r="AS553" s="62"/>
      <c r="AT553" s="62"/>
      <c r="AU553" s="62"/>
      <c r="AV553" s="62"/>
      <c r="AW553" s="62"/>
      <c r="AX553" s="62"/>
    </row>
    <row r="554" spans="1:50" ht="14.25" customHeight="1" x14ac:dyDescent="0.3">
      <c r="A554" s="58"/>
      <c r="B554" s="58"/>
      <c r="C554" s="58"/>
      <c r="D554" s="58"/>
      <c r="E554" s="58"/>
      <c r="F554" s="58"/>
      <c r="G554" s="59"/>
      <c r="H554" s="60"/>
      <c r="I554" s="60"/>
      <c r="J554" s="59"/>
      <c r="K554" s="61"/>
      <c r="M554" s="62"/>
      <c r="N554" s="62"/>
      <c r="O554" s="62"/>
      <c r="P554" s="62"/>
      <c r="Q554" s="62"/>
      <c r="R554" s="62"/>
      <c r="S554" s="62"/>
      <c r="T554" s="62"/>
      <c r="U554" s="62"/>
      <c r="V554" s="62"/>
      <c r="W554" s="62"/>
      <c r="X554" s="62"/>
      <c r="Y554" s="62"/>
      <c r="Z554" s="62"/>
      <c r="AA554" s="62"/>
      <c r="AB554" s="62"/>
      <c r="AC554" s="62"/>
      <c r="AD554" s="62"/>
      <c r="AE554" s="62"/>
      <c r="AF554" s="62"/>
      <c r="AG554" s="62"/>
      <c r="AH554" s="62"/>
      <c r="AI554" s="62"/>
      <c r="AJ554" s="62"/>
      <c r="AK554" s="62"/>
      <c r="AL554" s="62"/>
      <c r="AM554" s="62"/>
      <c r="AN554" s="62"/>
      <c r="AO554" s="62"/>
      <c r="AP554" s="62"/>
      <c r="AQ554" s="62"/>
      <c r="AR554" s="62"/>
      <c r="AS554" s="62"/>
      <c r="AT554" s="62"/>
      <c r="AU554" s="62"/>
      <c r="AV554" s="62"/>
      <c r="AW554" s="62"/>
      <c r="AX554" s="62"/>
    </row>
    <row r="555" spans="1:50" ht="14.25" customHeight="1" x14ac:dyDescent="0.3">
      <c r="A555" s="58"/>
      <c r="B555" s="58"/>
      <c r="C555" s="58"/>
      <c r="D555" s="58"/>
      <c r="E555" s="58"/>
      <c r="F555" s="58"/>
      <c r="G555" s="59"/>
      <c r="H555" s="60"/>
      <c r="I555" s="60"/>
      <c r="J555" s="59"/>
      <c r="K555" s="61"/>
      <c r="M555" s="62"/>
      <c r="N555" s="62"/>
      <c r="O555" s="62"/>
      <c r="P555" s="62"/>
      <c r="Q555" s="62"/>
      <c r="R555" s="62"/>
      <c r="S555" s="62"/>
      <c r="T555" s="62"/>
      <c r="U555" s="62"/>
      <c r="V555" s="62"/>
      <c r="W555" s="62"/>
      <c r="X555" s="62"/>
      <c r="Y555" s="62"/>
      <c r="Z555" s="62"/>
      <c r="AA555" s="62"/>
      <c r="AB555" s="62"/>
      <c r="AC555" s="62"/>
      <c r="AD555" s="62"/>
      <c r="AE555" s="62"/>
      <c r="AF555" s="62"/>
      <c r="AG555" s="62"/>
      <c r="AH555" s="62"/>
      <c r="AI555" s="62"/>
      <c r="AJ555" s="62"/>
      <c r="AK555" s="62"/>
      <c r="AL555" s="62"/>
      <c r="AM555" s="62"/>
      <c r="AN555" s="62"/>
      <c r="AO555" s="62"/>
      <c r="AP555" s="62"/>
      <c r="AQ555" s="62"/>
      <c r="AR555" s="62"/>
      <c r="AS555" s="62"/>
      <c r="AT555" s="62"/>
      <c r="AU555" s="62"/>
      <c r="AV555" s="62"/>
      <c r="AW555" s="62"/>
      <c r="AX555" s="62"/>
    </row>
    <row r="556" spans="1:50" ht="14.25" customHeight="1" x14ac:dyDescent="0.3">
      <c r="A556" s="58"/>
      <c r="B556" s="58"/>
      <c r="C556" s="58"/>
      <c r="D556" s="58"/>
      <c r="E556" s="58"/>
      <c r="F556" s="58"/>
      <c r="G556" s="59"/>
      <c r="H556" s="60"/>
      <c r="I556" s="60"/>
      <c r="J556" s="59"/>
      <c r="K556" s="61"/>
      <c r="M556" s="62"/>
      <c r="N556" s="62"/>
      <c r="O556" s="62"/>
      <c r="P556" s="62"/>
      <c r="Q556" s="62"/>
      <c r="R556" s="62"/>
      <c r="S556" s="62"/>
      <c r="T556" s="62"/>
      <c r="U556" s="62"/>
      <c r="V556" s="62"/>
      <c r="W556" s="62"/>
      <c r="X556" s="62"/>
      <c r="Y556" s="62"/>
      <c r="Z556" s="62"/>
      <c r="AA556" s="62"/>
      <c r="AB556" s="62"/>
      <c r="AC556" s="62"/>
      <c r="AD556" s="62"/>
      <c r="AE556" s="62"/>
      <c r="AF556" s="62"/>
      <c r="AG556" s="62"/>
      <c r="AH556" s="62"/>
      <c r="AI556" s="62"/>
      <c r="AJ556" s="62"/>
      <c r="AK556" s="62"/>
      <c r="AL556" s="62"/>
      <c r="AM556" s="62"/>
      <c r="AN556" s="62"/>
      <c r="AO556" s="62"/>
      <c r="AP556" s="62"/>
      <c r="AQ556" s="62"/>
      <c r="AR556" s="62"/>
      <c r="AS556" s="62"/>
      <c r="AT556" s="62"/>
      <c r="AU556" s="62"/>
      <c r="AV556" s="62"/>
      <c r="AW556" s="62"/>
      <c r="AX556" s="62"/>
    </row>
    <row r="557" spans="1:50" ht="14.25" customHeight="1" x14ac:dyDescent="0.3">
      <c r="A557" s="58"/>
      <c r="B557" s="58"/>
      <c r="C557" s="58"/>
      <c r="D557" s="58"/>
      <c r="E557" s="58"/>
      <c r="F557" s="58"/>
      <c r="G557" s="59"/>
      <c r="H557" s="60"/>
      <c r="I557" s="60"/>
      <c r="J557" s="59"/>
      <c r="K557" s="61"/>
      <c r="M557" s="62"/>
      <c r="N557" s="62"/>
      <c r="O557" s="62"/>
      <c r="P557" s="62"/>
      <c r="Q557" s="62"/>
      <c r="R557" s="62"/>
      <c r="S557" s="62"/>
      <c r="T557" s="62"/>
      <c r="U557" s="62"/>
      <c r="V557" s="62"/>
      <c r="W557" s="62"/>
      <c r="X557" s="62"/>
      <c r="Y557" s="62"/>
      <c r="Z557" s="62"/>
      <c r="AA557" s="62"/>
      <c r="AB557" s="62"/>
      <c r="AC557" s="62"/>
      <c r="AD557" s="62"/>
      <c r="AE557" s="62"/>
      <c r="AF557" s="62"/>
      <c r="AG557" s="62"/>
      <c r="AH557" s="62"/>
      <c r="AI557" s="62"/>
      <c r="AJ557" s="62"/>
      <c r="AK557" s="62"/>
      <c r="AL557" s="62"/>
      <c r="AM557" s="62"/>
      <c r="AN557" s="62"/>
      <c r="AO557" s="62"/>
      <c r="AP557" s="62"/>
      <c r="AQ557" s="62"/>
      <c r="AR557" s="62"/>
      <c r="AS557" s="62"/>
      <c r="AT557" s="62"/>
      <c r="AU557" s="62"/>
      <c r="AV557" s="62"/>
      <c r="AW557" s="62"/>
      <c r="AX557" s="62"/>
    </row>
    <row r="558" spans="1:50" ht="14.25" customHeight="1" x14ac:dyDescent="0.3">
      <c r="A558" s="58"/>
      <c r="B558" s="58"/>
      <c r="C558" s="58"/>
      <c r="D558" s="58"/>
      <c r="E558" s="58"/>
      <c r="F558" s="58"/>
      <c r="G558" s="59"/>
      <c r="H558" s="60"/>
      <c r="I558" s="60"/>
      <c r="J558" s="59"/>
      <c r="K558" s="61"/>
      <c r="M558" s="62"/>
      <c r="N558" s="62"/>
      <c r="O558" s="62"/>
      <c r="P558" s="62"/>
      <c r="Q558" s="62"/>
      <c r="R558" s="62"/>
      <c r="S558" s="62"/>
      <c r="T558" s="62"/>
      <c r="U558" s="62"/>
      <c r="V558" s="62"/>
      <c r="W558" s="62"/>
      <c r="X558" s="62"/>
      <c r="Y558" s="62"/>
      <c r="Z558" s="62"/>
      <c r="AA558" s="62"/>
      <c r="AB558" s="62"/>
      <c r="AC558" s="62"/>
      <c r="AD558" s="62"/>
      <c r="AE558" s="62"/>
      <c r="AF558" s="62"/>
      <c r="AG558" s="62"/>
      <c r="AH558" s="62"/>
      <c r="AI558" s="62"/>
      <c r="AJ558" s="62"/>
      <c r="AK558" s="62"/>
      <c r="AL558" s="62"/>
      <c r="AM558" s="62"/>
      <c r="AN558" s="62"/>
      <c r="AO558" s="62"/>
      <c r="AP558" s="62"/>
      <c r="AQ558" s="62"/>
      <c r="AR558" s="62"/>
      <c r="AS558" s="62"/>
      <c r="AT558" s="62"/>
      <c r="AU558" s="62"/>
      <c r="AV558" s="62"/>
      <c r="AW558" s="62"/>
      <c r="AX558" s="62"/>
    </row>
    <row r="559" spans="1:50" ht="14.25" customHeight="1" x14ac:dyDescent="0.3">
      <c r="A559" s="58"/>
      <c r="B559" s="58"/>
      <c r="C559" s="58"/>
      <c r="D559" s="58"/>
      <c r="E559" s="58"/>
      <c r="F559" s="58"/>
      <c r="G559" s="59"/>
      <c r="H559" s="60"/>
      <c r="I559" s="60"/>
      <c r="J559" s="59"/>
      <c r="K559" s="61"/>
      <c r="M559" s="62"/>
      <c r="N559" s="62"/>
      <c r="O559" s="62"/>
      <c r="P559" s="62"/>
      <c r="Q559" s="62"/>
      <c r="R559" s="62"/>
      <c r="S559" s="62"/>
      <c r="T559" s="62"/>
      <c r="U559" s="62"/>
      <c r="V559" s="62"/>
      <c r="W559" s="62"/>
      <c r="X559" s="62"/>
      <c r="Y559" s="62"/>
      <c r="Z559" s="62"/>
      <c r="AA559" s="62"/>
      <c r="AB559" s="62"/>
      <c r="AC559" s="62"/>
      <c r="AD559" s="62"/>
      <c r="AE559" s="62"/>
      <c r="AF559" s="62"/>
      <c r="AG559" s="62"/>
      <c r="AH559" s="62"/>
      <c r="AI559" s="62"/>
      <c r="AJ559" s="62"/>
      <c r="AK559" s="62"/>
      <c r="AL559" s="62"/>
      <c r="AM559" s="62"/>
      <c r="AN559" s="62"/>
      <c r="AO559" s="62"/>
      <c r="AP559" s="62"/>
      <c r="AQ559" s="62"/>
      <c r="AR559" s="62"/>
      <c r="AS559" s="62"/>
      <c r="AT559" s="62"/>
      <c r="AU559" s="62"/>
      <c r="AV559" s="62"/>
      <c r="AW559" s="62"/>
      <c r="AX559" s="62"/>
    </row>
    <row r="560" spans="1:50" ht="14.25" customHeight="1" x14ac:dyDescent="0.3">
      <c r="A560" s="58"/>
      <c r="B560" s="58"/>
      <c r="C560" s="58"/>
      <c r="D560" s="58"/>
      <c r="E560" s="58"/>
      <c r="F560" s="58"/>
      <c r="G560" s="59"/>
      <c r="H560" s="60"/>
      <c r="I560" s="60"/>
      <c r="J560" s="59"/>
      <c r="K560" s="61"/>
      <c r="M560" s="62"/>
      <c r="N560" s="62"/>
      <c r="O560" s="62"/>
      <c r="P560" s="62"/>
      <c r="Q560" s="62"/>
      <c r="R560" s="62"/>
      <c r="S560" s="62"/>
      <c r="T560" s="62"/>
      <c r="U560" s="62"/>
      <c r="V560" s="62"/>
      <c r="W560" s="62"/>
      <c r="X560" s="62"/>
      <c r="Y560" s="62"/>
      <c r="Z560" s="62"/>
      <c r="AA560" s="62"/>
      <c r="AB560" s="62"/>
      <c r="AC560" s="62"/>
      <c r="AD560" s="62"/>
      <c r="AE560" s="62"/>
      <c r="AF560" s="62"/>
      <c r="AG560" s="62"/>
      <c r="AH560" s="62"/>
      <c r="AI560" s="62"/>
      <c r="AJ560" s="62"/>
      <c r="AK560" s="62"/>
      <c r="AL560" s="62"/>
      <c r="AM560" s="62"/>
      <c r="AN560" s="62"/>
      <c r="AO560" s="62"/>
      <c r="AP560" s="62"/>
      <c r="AQ560" s="62"/>
      <c r="AR560" s="62"/>
      <c r="AS560" s="62"/>
      <c r="AT560" s="62"/>
      <c r="AU560" s="62"/>
      <c r="AV560" s="62"/>
      <c r="AW560" s="62"/>
      <c r="AX560" s="62"/>
    </row>
    <row r="561" spans="1:50" ht="14.25" customHeight="1" x14ac:dyDescent="0.3">
      <c r="A561" s="58"/>
      <c r="B561" s="58"/>
      <c r="C561" s="58"/>
      <c r="D561" s="58"/>
      <c r="E561" s="58"/>
      <c r="F561" s="58"/>
      <c r="G561" s="59"/>
      <c r="H561" s="60"/>
      <c r="I561" s="60"/>
      <c r="J561" s="59"/>
      <c r="K561" s="61"/>
      <c r="M561" s="62"/>
      <c r="N561" s="62"/>
      <c r="O561" s="62"/>
      <c r="P561" s="62"/>
      <c r="Q561" s="62"/>
      <c r="R561" s="62"/>
      <c r="S561" s="62"/>
      <c r="T561" s="62"/>
      <c r="U561" s="62"/>
      <c r="V561" s="62"/>
      <c r="W561" s="62"/>
      <c r="X561" s="62"/>
      <c r="Y561" s="62"/>
      <c r="Z561" s="62"/>
      <c r="AA561" s="62"/>
      <c r="AB561" s="62"/>
      <c r="AC561" s="62"/>
      <c r="AD561" s="62"/>
      <c r="AE561" s="62"/>
      <c r="AF561" s="62"/>
      <c r="AG561" s="62"/>
      <c r="AH561" s="62"/>
      <c r="AI561" s="62"/>
      <c r="AJ561" s="62"/>
      <c r="AK561" s="62"/>
      <c r="AL561" s="62"/>
      <c r="AM561" s="62"/>
      <c r="AN561" s="62"/>
      <c r="AO561" s="62"/>
      <c r="AP561" s="62"/>
      <c r="AQ561" s="62"/>
      <c r="AR561" s="62"/>
      <c r="AS561" s="62"/>
      <c r="AT561" s="62"/>
      <c r="AU561" s="62"/>
      <c r="AV561" s="62"/>
      <c r="AW561" s="62"/>
      <c r="AX561" s="62"/>
    </row>
    <row r="562" spans="1:50" ht="14.25" customHeight="1" x14ac:dyDescent="0.3">
      <c r="A562" s="58"/>
      <c r="B562" s="58"/>
      <c r="C562" s="58"/>
      <c r="D562" s="58"/>
      <c r="E562" s="58"/>
      <c r="F562" s="58"/>
      <c r="G562" s="59"/>
      <c r="H562" s="60"/>
      <c r="I562" s="60"/>
      <c r="J562" s="59"/>
      <c r="K562" s="61"/>
      <c r="M562" s="62"/>
      <c r="N562" s="62"/>
      <c r="O562" s="62"/>
      <c r="P562" s="62"/>
      <c r="Q562" s="62"/>
      <c r="R562" s="62"/>
      <c r="S562" s="62"/>
      <c r="T562" s="62"/>
      <c r="U562" s="62"/>
      <c r="V562" s="62"/>
      <c r="W562" s="62"/>
      <c r="X562" s="62"/>
      <c r="Y562" s="62"/>
      <c r="Z562" s="62"/>
      <c r="AA562" s="62"/>
      <c r="AB562" s="62"/>
      <c r="AC562" s="62"/>
      <c r="AD562" s="62"/>
      <c r="AE562" s="62"/>
      <c r="AF562" s="62"/>
      <c r="AG562" s="62"/>
      <c r="AH562" s="62"/>
      <c r="AI562" s="62"/>
      <c r="AJ562" s="62"/>
      <c r="AK562" s="62"/>
      <c r="AL562" s="62"/>
      <c r="AM562" s="62"/>
      <c r="AN562" s="62"/>
      <c r="AO562" s="62"/>
      <c r="AP562" s="62"/>
      <c r="AQ562" s="62"/>
      <c r="AR562" s="62"/>
      <c r="AS562" s="62"/>
      <c r="AT562" s="62"/>
      <c r="AU562" s="62"/>
      <c r="AV562" s="62"/>
      <c r="AW562" s="62"/>
      <c r="AX562" s="62"/>
    </row>
    <row r="563" spans="1:50" ht="14.25" customHeight="1" x14ac:dyDescent="0.3">
      <c r="A563" s="58"/>
      <c r="B563" s="58"/>
      <c r="C563" s="58"/>
      <c r="D563" s="58"/>
      <c r="E563" s="58"/>
      <c r="F563" s="58"/>
      <c r="G563" s="59"/>
      <c r="H563" s="60"/>
      <c r="I563" s="60"/>
      <c r="J563" s="59"/>
      <c r="K563" s="61"/>
      <c r="M563" s="62"/>
      <c r="N563" s="62"/>
      <c r="O563" s="62"/>
      <c r="P563" s="62"/>
      <c r="Q563" s="62"/>
      <c r="R563" s="62"/>
      <c r="S563" s="62"/>
      <c r="T563" s="62"/>
      <c r="U563" s="62"/>
      <c r="V563" s="62"/>
      <c r="W563" s="62"/>
      <c r="X563" s="62"/>
      <c r="Y563" s="62"/>
      <c r="Z563" s="62"/>
      <c r="AA563" s="62"/>
      <c r="AB563" s="62"/>
      <c r="AC563" s="62"/>
      <c r="AD563" s="62"/>
      <c r="AE563" s="62"/>
      <c r="AF563" s="62"/>
      <c r="AG563" s="62"/>
      <c r="AH563" s="62"/>
      <c r="AI563" s="62"/>
      <c r="AJ563" s="62"/>
      <c r="AK563" s="62"/>
      <c r="AL563" s="62"/>
      <c r="AM563" s="62"/>
      <c r="AN563" s="62"/>
      <c r="AO563" s="62"/>
      <c r="AP563" s="62"/>
      <c r="AQ563" s="62"/>
      <c r="AR563" s="62"/>
      <c r="AS563" s="62"/>
      <c r="AT563" s="62"/>
      <c r="AU563" s="62"/>
      <c r="AV563" s="62"/>
      <c r="AW563" s="62"/>
      <c r="AX563" s="62"/>
    </row>
    <row r="564" spans="1:50" ht="14.25" customHeight="1" x14ac:dyDescent="0.3">
      <c r="A564" s="58"/>
      <c r="B564" s="58"/>
      <c r="C564" s="58"/>
      <c r="D564" s="58"/>
      <c r="E564" s="58"/>
      <c r="F564" s="58"/>
      <c r="G564" s="59"/>
      <c r="H564" s="60"/>
      <c r="I564" s="60"/>
      <c r="J564" s="59"/>
      <c r="K564" s="61"/>
      <c r="M564" s="62"/>
      <c r="N564" s="62"/>
      <c r="O564" s="62"/>
      <c r="P564" s="62"/>
      <c r="Q564" s="62"/>
      <c r="R564" s="62"/>
      <c r="S564" s="62"/>
      <c r="T564" s="62"/>
      <c r="U564" s="62"/>
      <c r="V564" s="62"/>
      <c r="W564" s="62"/>
      <c r="X564" s="62"/>
      <c r="Y564" s="62"/>
      <c r="Z564" s="62"/>
      <c r="AA564" s="62"/>
      <c r="AB564" s="62"/>
      <c r="AC564" s="62"/>
      <c r="AD564" s="62"/>
      <c r="AE564" s="62"/>
      <c r="AF564" s="62"/>
      <c r="AG564" s="62"/>
      <c r="AH564" s="62"/>
      <c r="AI564" s="62"/>
      <c r="AJ564" s="62"/>
      <c r="AK564" s="62"/>
      <c r="AL564" s="62"/>
      <c r="AM564" s="62"/>
      <c r="AN564" s="62"/>
      <c r="AO564" s="62"/>
      <c r="AP564" s="62"/>
      <c r="AQ564" s="62"/>
      <c r="AR564" s="62"/>
      <c r="AS564" s="62"/>
      <c r="AT564" s="62"/>
      <c r="AU564" s="62"/>
      <c r="AV564" s="62"/>
      <c r="AW564" s="62"/>
      <c r="AX564" s="62"/>
    </row>
    <row r="565" spans="1:50" ht="14.25" customHeight="1" x14ac:dyDescent="0.3">
      <c r="A565" s="58"/>
      <c r="B565" s="58"/>
      <c r="C565" s="58"/>
      <c r="D565" s="58"/>
      <c r="E565" s="58"/>
      <c r="F565" s="58"/>
      <c r="G565" s="59"/>
      <c r="H565" s="60"/>
      <c r="I565" s="60"/>
      <c r="J565" s="59"/>
      <c r="K565" s="61"/>
      <c r="M565" s="62"/>
      <c r="N565" s="62"/>
      <c r="O565" s="62"/>
      <c r="P565" s="62"/>
      <c r="Q565" s="62"/>
      <c r="R565" s="62"/>
      <c r="S565" s="62"/>
      <c r="T565" s="62"/>
      <c r="U565" s="62"/>
      <c r="V565" s="62"/>
      <c r="W565" s="62"/>
      <c r="X565" s="62"/>
      <c r="Y565" s="62"/>
      <c r="Z565" s="62"/>
      <c r="AA565" s="62"/>
      <c r="AB565" s="62"/>
      <c r="AC565" s="62"/>
      <c r="AD565" s="62"/>
      <c r="AE565" s="62"/>
      <c r="AF565" s="62"/>
      <c r="AG565" s="62"/>
      <c r="AH565" s="62"/>
      <c r="AI565" s="62"/>
      <c r="AJ565" s="62"/>
      <c r="AK565" s="62"/>
      <c r="AL565" s="62"/>
      <c r="AM565" s="62"/>
      <c r="AN565" s="62"/>
      <c r="AO565" s="62"/>
      <c r="AP565" s="62"/>
      <c r="AQ565" s="62"/>
      <c r="AR565" s="62"/>
      <c r="AS565" s="62"/>
      <c r="AT565" s="62"/>
      <c r="AU565" s="62"/>
      <c r="AV565" s="62"/>
      <c r="AW565" s="62"/>
      <c r="AX565" s="62"/>
    </row>
    <row r="566" spans="1:50" ht="14.25" customHeight="1" x14ac:dyDescent="0.3">
      <c r="A566" s="58"/>
      <c r="B566" s="58"/>
      <c r="C566" s="58"/>
      <c r="D566" s="58"/>
      <c r="E566" s="58"/>
      <c r="F566" s="58"/>
      <c r="G566" s="59"/>
      <c r="H566" s="60"/>
      <c r="I566" s="60"/>
      <c r="J566" s="59"/>
      <c r="K566" s="61"/>
      <c r="M566" s="62"/>
      <c r="N566" s="62"/>
      <c r="O566" s="62"/>
      <c r="P566" s="62"/>
      <c r="Q566" s="62"/>
      <c r="R566" s="62"/>
      <c r="S566" s="62"/>
      <c r="T566" s="62"/>
      <c r="U566" s="62"/>
      <c r="V566" s="62"/>
      <c r="W566" s="62"/>
      <c r="X566" s="62"/>
      <c r="Y566" s="62"/>
      <c r="Z566" s="62"/>
      <c r="AA566" s="62"/>
      <c r="AB566" s="62"/>
      <c r="AC566" s="62"/>
      <c r="AD566" s="62"/>
      <c r="AE566" s="62"/>
      <c r="AF566" s="62"/>
      <c r="AG566" s="62"/>
      <c r="AH566" s="62"/>
      <c r="AI566" s="62"/>
      <c r="AJ566" s="62"/>
      <c r="AK566" s="62"/>
      <c r="AL566" s="62"/>
      <c r="AM566" s="62"/>
      <c r="AN566" s="62"/>
      <c r="AO566" s="62"/>
      <c r="AP566" s="62"/>
      <c r="AQ566" s="62"/>
      <c r="AR566" s="62"/>
      <c r="AS566" s="62"/>
      <c r="AT566" s="62"/>
      <c r="AU566" s="62"/>
      <c r="AV566" s="62"/>
      <c r="AW566" s="62"/>
      <c r="AX566" s="62"/>
    </row>
    <row r="567" spans="1:50" ht="14.25" customHeight="1" x14ac:dyDescent="0.3">
      <c r="A567" s="58"/>
      <c r="B567" s="58"/>
      <c r="C567" s="58"/>
      <c r="D567" s="58"/>
      <c r="E567" s="58"/>
      <c r="F567" s="58"/>
      <c r="G567" s="59"/>
      <c r="H567" s="60"/>
      <c r="I567" s="60"/>
      <c r="J567" s="59"/>
      <c r="K567" s="61"/>
      <c r="M567" s="62"/>
      <c r="N567" s="62"/>
      <c r="O567" s="62"/>
      <c r="P567" s="62"/>
      <c r="Q567" s="62"/>
      <c r="R567" s="62"/>
      <c r="S567" s="62"/>
      <c r="T567" s="62"/>
      <c r="U567" s="62"/>
      <c r="V567" s="62"/>
      <c r="W567" s="62"/>
      <c r="X567" s="62"/>
      <c r="Y567" s="62"/>
      <c r="Z567" s="62"/>
      <c r="AA567" s="62"/>
      <c r="AB567" s="62"/>
      <c r="AC567" s="62"/>
      <c r="AD567" s="62"/>
      <c r="AE567" s="62"/>
      <c r="AF567" s="62"/>
      <c r="AG567" s="62"/>
      <c r="AH567" s="62"/>
      <c r="AI567" s="62"/>
      <c r="AJ567" s="62"/>
      <c r="AK567" s="62"/>
      <c r="AL567" s="62"/>
      <c r="AM567" s="62"/>
      <c r="AN567" s="62"/>
      <c r="AO567" s="62"/>
      <c r="AP567" s="62"/>
      <c r="AQ567" s="62"/>
      <c r="AR567" s="62"/>
      <c r="AS567" s="62"/>
      <c r="AT567" s="62"/>
      <c r="AU567" s="62"/>
      <c r="AV567" s="62"/>
      <c r="AW567" s="62"/>
      <c r="AX567" s="62"/>
    </row>
    <row r="568" spans="1:50" ht="14.25" customHeight="1" x14ac:dyDescent="0.3">
      <c r="A568" s="58"/>
      <c r="B568" s="58"/>
      <c r="C568" s="58"/>
      <c r="D568" s="58"/>
      <c r="E568" s="58"/>
      <c r="F568" s="58"/>
      <c r="G568" s="59"/>
      <c r="H568" s="60"/>
      <c r="I568" s="60"/>
      <c r="J568" s="59"/>
      <c r="K568" s="61"/>
      <c r="M568" s="62"/>
      <c r="N568" s="62"/>
      <c r="O568" s="62"/>
      <c r="P568" s="62"/>
      <c r="Q568" s="62"/>
      <c r="R568" s="62"/>
      <c r="S568" s="62"/>
      <c r="T568" s="62"/>
      <c r="U568" s="62"/>
      <c r="V568" s="62"/>
      <c r="W568" s="62"/>
      <c r="X568" s="62"/>
      <c r="Y568" s="62"/>
      <c r="Z568" s="62"/>
      <c r="AA568" s="62"/>
      <c r="AB568" s="62"/>
      <c r="AC568" s="62"/>
      <c r="AD568" s="62"/>
      <c r="AE568" s="62"/>
      <c r="AF568" s="62"/>
      <c r="AG568" s="62"/>
      <c r="AH568" s="62"/>
      <c r="AI568" s="62"/>
      <c r="AJ568" s="62"/>
      <c r="AK568" s="62"/>
      <c r="AL568" s="62"/>
      <c r="AM568" s="62"/>
      <c r="AN568" s="62"/>
      <c r="AO568" s="62"/>
      <c r="AP568" s="62"/>
      <c r="AQ568" s="62"/>
      <c r="AR568" s="62"/>
      <c r="AS568" s="62"/>
      <c r="AT568" s="62"/>
      <c r="AU568" s="62"/>
      <c r="AV568" s="62"/>
      <c r="AW568" s="62"/>
      <c r="AX568" s="62"/>
    </row>
    <row r="569" spans="1:50" ht="14.25" customHeight="1" x14ac:dyDescent="0.3">
      <c r="A569" s="58"/>
      <c r="B569" s="58"/>
      <c r="C569" s="58"/>
      <c r="D569" s="58"/>
      <c r="E569" s="58"/>
      <c r="F569" s="58"/>
      <c r="G569" s="59"/>
      <c r="H569" s="60"/>
      <c r="I569" s="60"/>
      <c r="J569" s="59"/>
      <c r="K569" s="61"/>
      <c r="M569" s="62"/>
      <c r="N569" s="62"/>
      <c r="O569" s="62"/>
      <c r="P569" s="62"/>
      <c r="Q569" s="62"/>
      <c r="R569" s="62"/>
      <c r="S569" s="62"/>
      <c r="T569" s="62"/>
      <c r="U569" s="62"/>
      <c r="V569" s="62"/>
      <c r="W569" s="62"/>
      <c r="X569" s="62"/>
      <c r="Y569" s="62"/>
      <c r="Z569" s="62"/>
      <c r="AA569" s="62"/>
      <c r="AB569" s="62"/>
      <c r="AC569" s="62"/>
      <c r="AD569" s="62"/>
      <c r="AE569" s="62"/>
      <c r="AF569" s="62"/>
      <c r="AG569" s="62"/>
      <c r="AH569" s="62"/>
      <c r="AI569" s="62"/>
      <c r="AJ569" s="62"/>
      <c r="AK569" s="62"/>
      <c r="AL569" s="62"/>
      <c r="AM569" s="62"/>
      <c r="AN569" s="62"/>
      <c r="AO569" s="62"/>
      <c r="AP569" s="62"/>
      <c r="AQ569" s="62"/>
      <c r="AR569" s="62"/>
      <c r="AS569" s="62"/>
      <c r="AT569" s="62"/>
      <c r="AU569" s="62"/>
      <c r="AV569" s="62"/>
      <c r="AW569" s="62"/>
      <c r="AX569" s="62"/>
    </row>
    <row r="570" spans="1:50" ht="14.25" customHeight="1" x14ac:dyDescent="0.3">
      <c r="A570" s="58"/>
      <c r="B570" s="58"/>
      <c r="C570" s="58"/>
      <c r="D570" s="58"/>
      <c r="E570" s="58"/>
      <c r="F570" s="58"/>
      <c r="G570" s="59"/>
      <c r="H570" s="60"/>
      <c r="I570" s="60"/>
      <c r="J570" s="59"/>
      <c r="K570" s="61"/>
      <c r="M570" s="62"/>
      <c r="N570" s="62"/>
      <c r="O570" s="62"/>
      <c r="P570" s="62"/>
      <c r="Q570" s="62"/>
      <c r="R570" s="62"/>
      <c r="S570" s="62"/>
      <c r="T570" s="62"/>
      <c r="U570" s="62"/>
      <c r="V570" s="62"/>
      <c r="W570" s="62"/>
      <c r="X570" s="62"/>
      <c r="Y570" s="62"/>
      <c r="Z570" s="62"/>
      <c r="AA570" s="62"/>
      <c r="AB570" s="62"/>
      <c r="AC570" s="62"/>
      <c r="AD570" s="62"/>
      <c r="AE570" s="62"/>
      <c r="AF570" s="62"/>
      <c r="AG570" s="62"/>
      <c r="AH570" s="62"/>
      <c r="AI570" s="62"/>
      <c r="AJ570" s="62"/>
      <c r="AK570" s="62"/>
      <c r="AL570" s="62"/>
      <c r="AM570" s="62"/>
      <c r="AN570" s="62"/>
      <c r="AO570" s="62"/>
      <c r="AP570" s="62"/>
      <c r="AQ570" s="62"/>
      <c r="AR570" s="62"/>
      <c r="AS570" s="62"/>
      <c r="AT570" s="62"/>
      <c r="AU570" s="62"/>
      <c r="AV570" s="62"/>
      <c r="AW570" s="62"/>
      <c r="AX570" s="62"/>
    </row>
    <row r="571" spans="1:50" ht="14.25" customHeight="1" x14ac:dyDescent="0.3">
      <c r="A571" s="58"/>
      <c r="B571" s="58"/>
      <c r="C571" s="58"/>
      <c r="D571" s="58"/>
      <c r="E571" s="58"/>
      <c r="F571" s="58"/>
      <c r="G571" s="59"/>
      <c r="H571" s="60"/>
      <c r="I571" s="60"/>
      <c r="J571" s="59"/>
      <c r="K571" s="61"/>
      <c r="M571" s="62"/>
      <c r="N571" s="62"/>
      <c r="O571" s="62"/>
      <c r="P571" s="62"/>
      <c r="Q571" s="62"/>
      <c r="R571" s="62"/>
      <c r="S571" s="62"/>
      <c r="T571" s="62"/>
      <c r="U571" s="62"/>
      <c r="V571" s="62"/>
      <c r="W571" s="62"/>
      <c r="X571" s="62"/>
      <c r="Y571" s="62"/>
      <c r="Z571" s="62"/>
      <c r="AA571" s="62"/>
      <c r="AB571" s="62"/>
      <c r="AC571" s="62"/>
      <c r="AD571" s="62"/>
      <c r="AE571" s="62"/>
      <c r="AF571" s="62"/>
      <c r="AG571" s="62"/>
      <c r="AH571" s="62"/>
      <c r="AI571" s="62"/>
      <c r="AJ571" s="62"/>
      <c r="AK571" s="62"/>
      <c r="AL571" s="62"/>
      <c r="AM571" s="62"/>
      <c r="AN571" s="62"/>
      <c r="AO571" s="62"/>
      <c r="AP571" s="62"/>
      <c r="AQ571" s="62"/>
      <c r="AR571" s="62"/>
      <c r="AS571" s="62"/>
      <c r="AT571" s="62"/>
      <c r="AU571" s="62"/>
      <c r="AV571" s="62"/>
      <c r="AW571" s="62"/>
      <c r="AX571" s="62"/>
    </row>
    <row r="572" spans="1:50" ht="14.25" customHeight="1" x14ac:dyDescent="0.3">
      <c r="A572" s="58"/>
      <c r="B572" s="58"/>
      <c r="C572" s="58"/>
      <c r="D572" s="58"/>
      <c r="E572" s="58"/>
      <c r="F572" s="58"/>
      <c r="G572" s="59"/>
      <c r="H572" s="60"/>
      <c r="I572" s="60"/>
      <c r="J572" s="59"/>
      <c r="K572" s="61"/>
      <c r="M572" s="62"/>
      <c r="N572" s="62"/>
      <c r="O572" s="62"/>
      <c r="P572" s="62"/>
      <c r="Q572" s="62"/>
      <c r="R572" s="62"/>
      <c r="S572" s="62"/>
      <c r="T572" s="62"/>
      <c r="U572" s="62"/>
      <c r="V572" s="62"/>
      <c r="W572" s="62"/>
      <c r="X572" s="62"/>
      <c r="Y572" s="62"/>
      <c r="Z572" s="62"/>
      <c r="AA572" s="62"/>
      <c r="AB572" s="62"/>
      <c r="AC572" s="62"/>
      <c r="AD572" s="62"/>
      <c r="AE572" s="62"/>
      <c r="AF572" s="62"/>
      <c r="AG572" s="62"/>
      <c r="AH572" s="62"/>
      <c r="AI572" s="62"/>
      <c r="AJ572" s="62"/>
      <c r="AK572" s="62"/>
      <c r="AL572" s="62"/>
      <c r="AM572" s="62"/>
      <c r="AN572" s="62"/>
      <c r="AO572" s="62"/>
      <c r="AP572" s="62"/>
      <c r="AQ572" s="62"/>
      <c r="AR572" s="62"/>
      <c r="AS572" s="62"/>
      <c r="AT572" s="62"/>
      <c r="AU572" s="62"/>
      <c r="AV572" s="62"/>
      <c r="AW572" s="62"/>
      <c r="AX572" s="62"/>
    </row>
    <row r="573" spans="1:50" ht="14.25" customHeight="1" x14ac:dyDescent="0.3">
      <c r="A573" s="58"/>
      <c r="B573" s="58"/>
      <c r="C573" s="58"/>
      <c r="D573" s="58"/>
      <c r="E573" s="58"/>
      <c r="F573" s="58"/>
      <c r="G573" s="59"/>
      <c r="H573" s="60"/>
      <c r="I573" s="60"/>
      <c r="J573" s="59"/>
      <c r="K573" s="61"/>
      <c r="M573" s="62"/>
      <c r="N573" s="62"/>
      <c r="O573" s="62"/>
      <c r="P573" s="62"/>
      <c r="Q573" s="62"/>
      <c r="R573" s="62"/>
      <c r="S573" s="62"/>
      <c r="T573" s="62"/>
      <c r="U573" s="62"/>
      <c r="V573" s="62"/>
      <c r="W573" s="62"/>
      <c r="X573" s="62"/>
      <c r="Y573" s="62"/>
      <c r="Z573" s="62"/>
      <c r="AA573" s="62"/>
      <c r="AB573" s="62"/>
      <c r="AC573" s="62"/>
      <c r="AD573" s="62"/>
      <c r="AE573" s="62"/>
      <c r="AF573" s="62"/>
      <c r="AG573" s="62"/>
      <c r="AH573" s="62"/>
      <c r="AI573" s="62"/>
      <c r="AJ573" s="62"/>
      <c r="AK573" s="62"/>
      <c r="AL573" s="62"/>
      <c r="AM573" s="62"/>
      <c r="AN573" s="62"/>
      <c r="AO573" s="62"/>
      <c r="AP573" s="62"/>
      <c r="AQ573" s="62"/>
      <c r="AR573" s="62"/>
      <c r="AS573" s="62"/>
      <c r="AT573" s="62"/>
      <c r="AU573" s="62"/>
      <c r="AV573" s="62"/>
      <c r="AW573" s="62"/>
      <c r="AX573" s="62"/>
    </row>
    <row r="574" spans="1:50" ht="14.25" customHeight="1" x14ac:dyDescent="0.3">
      <c r="A574" s="58"/>
      <c r="B574" s="58"/>
      <c r="C574" s="58"/>
      <c r="D574" s="58"/>
      <c r="E574" s="58"/>
      <c r="F574" s="58"/>
      <c r="G574" s="59"/>
      <c r="H574" s="60"/>
      <c r="I574" s="60"/>
      <c r="J574" s="59"/>
      <c r="K574" s="61"/>
      <c r="M574" s="62"/>
      <c r="N574" s="62"/>
      <c r="O574" s="62"/>
      <c r="P574" s="62"/>
      <c r="Q574" s="62"/>
      <c r="R574" s="62"/>
      <c r="S574" s="62"/>
      <c r="T574" s="62"/>
      <c r="U574" s="62"/>
      <c r="V574" s="62"/>
      <c r="W574" s="62"/>
      <c r="X574" s="62"/>
      <c r="Y574" s="62"/>
      <c r="Z574" s="62"/>
      <c r="AA574" s="62"/>
      <c r="AB574" s="62"/>
      <c r="AC574" s="62"/>
      <c r="AD574" s="62"/>
      <c r="AE574" s="62"/>
      <c r="AF574" s="62"/>
      <c r="AG574" s="62"/>
      <c r="AH574" s="62"/>
      <c r="AI574" s="62"/>
      <c r="AJ574" s="62"/>
      <c r="AK574" s="62"/>
      <c r="AL574" s="62"/>
      <c r="AM574" s="62"/>
      <c r="AN574" s="62"/>
      <c r="AO574" s="62"/>
      <c r="AP574" s="62"/>
      <c r="AQ574" s="62"/>
      <c r="AR574" s="62"/>
      <c r="AS574" s="62"/>
      <c r="AT574" s="62"/>
      <c r="AU574" s="62"/>
      <c r="AV574" s="62"/>
      <c r="AW574" s="62"/>
      <c r="AX574" s="62"/>
    </row>
    <row r="575" spans="1:50" ht="14.25" customHeight="1" x14ac:dyDescent="0.3">
      <c r="A575" s="58"/>
      <c r="B575" s="58"/>
      <c r="C575" s="58"/>
      <c r="D575" s="58"/>
      <c r="E575" s="58"/>
      <c r="F575" s="58"/>
      <c r="G575" s="59"/>
      <c r="H575" s="60"/>
      <c r="I575" s="60"/>
      <c r="J575" s="59"/>
      <c r="K575" s="61"/>
      <c r="M575" s="62"/>
      <c r="N575" s="62"/>
      <c r="O575" s="62"/>
      <c r="P575" s="62"/>
      <c r="Q575" s="62"/>
      <c r="R575" s="62"/>
      <c r="S575" s="62"/>
      <c r="T575" s="62"/>
      <c r="U575" s="62"/>
      <c r="V575" s="62"/>
      <c r="W575" s="62"/>
      <c r="X575" s="62"/>
      <c r="Y575" s="62"/>
      <c r="Z575" s="62"/>
      <c r="AA575" s="62"/>
      <c r="AB575" s="62"/>
      <c r="AC575" s="62"/>
      <c r="AD575" s="62"/>
      <c r="AE575" s="62"/>
      <c r="AF575" s="62"/>
      <c r="AG575" s="62"/>
      <c r="AH575" s="62"/>
      <c r="AI575" s="62"/>
      <c r="AJ575" s="62"/>
      <c r="AK575" s="62"/>
      <c r="AL575" s="62"/>
      <c r="AM575" s="62"/>
      <c r="AN575" s="62"/>
      <c r="AO575" s="62"/>
      <c r="AP575" s="62"/>
      <c r="AQ575" s="62"/>
      <c r="AR575" s="62"/>
      <c r="AS575" s="62"/>
      <c r="AT575" s="62"/>
      <c r="AU575" s="62"/>
      <c r="AV575" s="62"/>
      <c r="AW575" s="62"/>
      <c r="AX575" s="62"/>
    </row>
    <row r="576" spans="1:50" ht="14.25" customHeight="1" x14ac:dyDescent="0.3">
      <c r="A576" s="58"/>
      <c r="B576" s="58"/>
      <c r="C576" s="58"/>
      <c r="D576" s="58"/>
      <c r="E576" s="58"/>
      <c r="F576" s="58"/>
      <c r="G576" s="59"/>
      <c r="H576" s="60"/>
      <c r="I576" s="60"/>
      <c r="J576" s="59"/>
      <c r="K576" s="61"/>
      <c r="M576" s="62"/>
      <c r="N576" s="62"/>
      <c r="O576" s="62"/>
      <c r="P576" s="62"/>
      <c r="Q576" s="62"/>
      <c r="R576" s="62"/>
      <c r="S576" s="62"/>
      <c r="T576" s="62"/>
      <c r="U576" s="62"/>
      <c r="V576" s="62"/>
      <c r="W576" s="62"/>
      <c r="X576" s="62"/>
      <c r="Y576" s="62"/>
      <c r="Z576" s="62"/>
      <c r="AA576" s="62"/>
      <c r="AB576" s="62"/>
      <c r="AC576" s="62"/>
      <c r="AD576" s="62"/>
      <c r="AE576" s="62"/>
      <c r="AF576" s="62"/>
      <c r="AG576" s="62"/>
      <c r="AH576" s="62"/>
      <c r="AI576" s="62"/>
      <c r="AJ576" s="62"/>
      <c r="AK576" s="62"/>
      <c r="AL576" s="62"/>
      <c r="AM576" s="62"/>
      <c r="AN576" s="62"/>
      <c r="AO576" s="62"/>
      <c r="AP576" s="62"/>
      <c r="AQ576" s="62"/>
      <c r="AR576" s="62"/>
      <c r="AS576" s="62"/>
      <c r="AT576" s="62"/>
      <c r="AU576" s="62"/>
      <c r="AV576" s="62"/>
      <c r="AW576" s="62"/>
      <c r="AX576" s="62"/>
    </row>
    <row r="577" spans="1:50" ht="14.25" customHeight="1" x14ac:dyDescent="0.3">
      <c r="A577" s="58"/>
      <c r="B577" s="58"/>
      <c r="C577" s="58"/>
      <c r="D577" s="58"/>
      <c r="E577" s="58"/>
      <c r="F577" s="58"/>
      <c r="G577" s="59"/>
      <c r="H577" s="60"/>
      <c r="I577" s="60"/>
      <c r="J577" s="59"/>
      <c r="K577" s="61"/>
      <c r="M577" s="62"/>
      <c r="N577" s="62"/>
      <c r="O577" s="62"/>
      <c r="P577" s="62"/>
      <c r="Q577" s="62"/>
      <c r="R577" s="62"/>
      <c r="S577" s="62"/>
      <c r="T577" s="62"/>
      <c r="U577" s="62"/>
      <c r="V577" s="62"/>
      <c r="W577" s="62"/>
      <c r="X577" s="62"/>
      <c r="Y577" s="62"/>
      <c r="Z577" s="62"/>
      <c r="AA577" s="62"/>
      <c r="AB577" s="62"/>
      <c r="AC577" s="62"/>
      <c r="AD577" s="62"/>
      <c r="AE577" s="62"/>
      <c r="AF577" s="62"/>
      <c r="AG577" s="62"/>
      <c r="AH577" s="62"/>
      <c r="AI577" s="62"/>
      <c r="AJ577" s="62"/>
      <c r="AK577" s="62"/>
      <c r="AL577" s="62"/>
      <c r="AM577" s="62"/>
      <c r="AN577" s="62"/>
      <c r="AO577" s="62"/>
      <c r="AP577" s="62"/>
      <c r="AQ577" s="62"/>
      <c r="AR577" s="62"/>
      <c r="AS577" s="62"/>
      <c r="AT577" s="62"/>
      <c r="AU577" s="62"/>
      <c r="AV577" s="62"/>
      <c r="AW577" s="62"/>
      <c r="AX577" s="62"/>
    </row>
    <row r="578" spans="1:50" ht="14.25" customHeight="1" x14ac:dyDescent="0.3">
      <c r="A578" s="58"/>
      <c r="B578" s="58"/>
      <c r="C578" s="58"/>
      <c r="D578" s="58"/>
      <c r="E578" s="58"/>
      <c r="F578" s="58"/>
      <c r="G578" s="59"/>
      <c r="H578" s="60"/>
      <c r="I578" s="60"/>
      <c r="J578" s="59"/>
      <c r="K578" s="61"/>
      <c r="M578" s="62"/>
      <c r="N578" s="62"/>
      <c r="O578" s="62"/>
      <c r="P578" s="62"/>
      <c r="Q578" s="62"/>
      <c r="R578" s="62"/>
      <c r="S578" s="62"/>
      <c r="T578" s="62"/>
      <c r="U578" s="62"/>
      <c r="V578" s="62"/>
      <c r="W578" s="62"/>
      <c r="X578" s="62"/>
      <c r="Y578" s="62"/>
      <c r="Z578" s="62"/>
      <c r="AA578" s="62"/>
      <c r="AB578" s="62"/>
      <c r="AC578" s="62"/>
      <c r="AD578" s="62"/>
      <c r="AE578" s="62"/>
      <c r="AF578" s="62"/>
      <c r="AG578" s="62"/>
      <c r="AH578" s="62"/>
      <c r="AI578" s="62"/>
      <c r="AJ578" s="62"/>
      <c r="AK578" s="62"/>
      <c r="AL578" s="62"/>
      <c r="AM578" s="62"/>
      <c r="AN578" s="62"/>
      <c r="AO578" s="62"/>
      <c r="AP578" s="62"/>
      <c r="AQ578" s="62"/>
      <c r="AR578" s="62"/>
      <c r="AS578" s="62"/>
      <c r="AT578" s="62"/>
      <c r="AU578" s="62"/>
      <c r="AV578" s="62"/>
      <c r="AW578" s="62"/>
      <c r="AX578" s="62"/>
    </row>
    <row r="579" spans="1:50" ht="14.25" customHeight="1" x14ac:dyDescent="0.3">
      <c r="A579" s="58"/>
      <c r="B579" s="58"/>
      <c r="C579" s="58"/>
      <c r="D579" s="58"/>
      <c r="E579" s="58"/>
      <c r="F579" s="58"/>
      <c r="G579" s="59"/>
      <c r="H579" s="60"/>
      <c r="I579" s="60"/>
      <c r="J579" s="59"/>
      <c r="K579" s="61"/>
      <c r="M579" s="62"/>
      <c r="N579" s="62"/>
      <c r="O579" s="62"/>
      <c r="P579" s="62"/>
      <c r="Q579" s="62"/>
      <c r="R579" s="62"/>
      <c r="S579" s="62"/>
      <c r="T579" s="62"/>
      <c r="U579" s="62"/>
      <c r="V579" s="62"/>
      <c r="W579" s="62"/>
      <c r="X579" s="62"/>
      <c r="Y579" s="62"/>
      <c r="Z579" s="62"/>
      <c r="AA579" s="62"/>
      <c r="AB579" s="62"/>
      <c r="AC579" s="62"/>
      <c r="AD579" s="62"/>
      <c r="AE579" s="62"/>
      <c r="AF579" s="62"/>
      <c r="AG579" s="62"/>
      <c r="AH579" s="62"/>
      <c r="AI579" s="62"/>
      <c r="AJ579" s="62"/>
      <c r="AK579" s="62"/>
      <c r="AL579" s="62"/>
      <c r="AM579" s="62"/>
      <c r="AN579" s="62"/>
      <c r="AO579" s="62"/>
      <c r="AP579" s="62"/>
      <c r="AQ579" s="62"/>
      <c r="AR579" s="62"/>
      <c r="AS579" s="62"/>
      <c r="AT579" s="62"/>
      <c r="AU579" s="62"/>
      <c r="AV579" s="62"/>
      <c r="AW579" s="62"/>
      <c r="AX579" s="62"/>
    </row>
    <row r="580" spans="1:50" ht="14.25" customHeight="1" x14ac:dyDescent="0.3">
      <c r="A580" s="58"/>
      <c r="B580" s="58"/>
      <c r="C580" s="58"/>
      <c r="D580" s="58"/>
      <c r="E580" s="58"/>
      <c r="F580" s="58"/>
      <c r="G580" s="59"/>
      <c r="H580" s="60"/>
      <c r="I580" s="60"/>
      <c r="J580" s="59"/>
      <c r="K580" s="61"/>
      <c r="M580" s="62"/>
      <c r="N580" s="62"/>
      <c r="O580" s="62"/>
      <c r="P580" s="62"/>
      <c r="Q580" s="62"/>
      <c r="R580" s="62"/>
      <c r="S580" s="62"/>
      <c r="T580" s="62"/>
      <c r="U580" s="62"/>
      <c r="V580" s="62"/>
      <c r="W580" s="62"/>
      <c r="X580" s="62"/>
      <c r="Y580" s="62"/>
      <c r="Z580" s="62"/>
      <c r="AA580" s="62"/>
      <c r="AB580" s="62"/>
      <c r="AC580" s="62"/>
      <c r="AD580" s="62"/>
      <c r="AE580" s="62"/>
      <c r="AF580" s="62"/>
      <c r="AG580" s="62"/>
      <c r="AH580" s="62"/>
      <c r="AI580" s="62"/>
      <c r="AJ580" s="62"/>
      <c r="AK580" s="62"/>
      <c r="AL580" s="62"/>
      <c r="AM580" s="62"/>
      <c r="AN580" s="62"/>
      <c r="AO580" s="62"/>
      <c r="AP580" s="62"/>
      <c r="AQ580" s="62"/>
      <c r="AR580" s="62"/>
      <c r="AS580" s="62"/>
      <c r="AT580" s="62"/>
      <c r="AU580" s="62"/>
      <c r="AV580" s="62"/>
      <c r="AW580" s="62"/>
      <c r="AX580" s="62"/>
    </row>
    <row r="581" spans="1:50" ht="14.25" customHeight="1" x14ac:dyDescent="0.3">
      <c r="A581" s="58"/>
      <c r="B581" s="58"/>
      <c r="C581" s="58"/>
      <c r="D581" s="58"/>
      <c r="E581" s="58"/>
      <c r="F581" s="58"/>
      <c r="G581" s="59"/>
      <c r="H581" s="60"/>
      <c r="I581" s="60"/>
      <c r="J581" s="59"/>
      <c r="K581" s="61"/>
      <c r="M581" s="62"/>
      <c r="N581" s="62"/>
      <c r="O581" s="62"/>
      <c r="P581" s="62"/>
      <c r="Q581" s="62"/>
      <c r="R581" s="62"/>
      <c r="S581" s="62"/>
      <c r="T581" s="62"/>
      <c r="U581" s="62"/>
      <c r="V581" s="62"/>
      <c r="W581" s="62"/>
      <c r="X581" s="62"/>
      <c r="Y581" s="62"/>
      <c r="Z581" s="62"/>
      <c r="AA581" s="62"/>
      <c r="AB581" s="62"/>
      <c r="AC581" s="62"/>
      <c r="AD581" s="62"/>
      <c r="AE581" s="62"/>
      <c r="AF581" s="62"/>
      <c r="AG581" s="62"/>
      <c r="AH581" s="62"/>
      <c r="AI581" s="62"/>
      <c r="AJ581" s="62"/>
      <c r="AK581" s="62"/>
      <c r="AL581" s="62"/>
      <c r="AM581" s="62"/>
      <c r="AN581" s="62"/>
      <c r="AO581" s="62"/>
      <c r="AP581" s="62"/>
      <c r="AQ581" s="62"/>
      <c r="AR581" s="62"/>
      <c r="AS581" s="62"/>
      <c r="AT581" s="62"/>
      <c r="AU581" s="62"/>
      <c r="AV581" s="62"/>
      <c r="AW581" s="62"/>
      <c r="AX581" s="62"/>
    </row>
    <row r="582" spans="1:50" ht="14.25" customHeight="1" x14ac:dyDescent="0.3">
      <c r="A582" s="58"/>
      <c r="B582" s="58"/>
      <c r="C582" s="58"/>
      <c r="D582" s="58"/>
      <c r="E582" s="58"/>
      <c r="F582" s="58"/>
      <c r="G582" s="59"/>
      <c r="H582" s="60"/>
      <c r="I582" s="60"/>
      <c r="J582" s="59"/>
      <c r="K582" s="61"/>
      <c r="M582" s="62"/>
      <c r="N582" s="62"/>
      <c r="O582" s="62"/>
      <c r="P582" s="62"/>
      <c r="Q582" s="62"/>
      <c r="R582" s="62"/>
      <c r="S582" s="62"/>
      <c r="T582" s="62"/>
      <c r="U582" s="62"/>
      <c r="V582" s="62"/>
      <c r="W582" s="62"/>
      <c r="X582" s="62"/>
      <c r="Y582" s="62"/>
      <c r="Z582" s="62"/>
      <c r="AA582" s="62"/>
      <c r="AB582" s="62"/>
      <c r="AC582" s="62"/>
      <c r="AD582" s="62"/>
      <c r="AE582" s="62"/>
      <c r="AF582" s="62"/>
      <c r="AG582" s="62"/>
      <c r="AH582" s="62"/>
      <c r="AI582" s="62"/>
      <c r="AJ582" s="62"/>
      <c r="AK582" s="62"/>
      <c r="AL582" s="62"/>
      <c r="AM582" s="62"/>
      <c r="AN582" s="62"/>
      <c r="AO582" s="62"/>
      <c r="AP582" s="62"/>
      <c r="AQ582" s="62"/>
      <c r="AR582" s="62"/>
      <c r="AS582" s="62"/>
      <c r="AT582" s="62"/>
      <c r="AU582" s="62"/>
      <c r="AV582" s="62"/>
      <c r="AW582" s="62"/>
      <c r="AX582" s="62"/>
    </row>
    <row r="583" spans="1:50" ht="14.25" customHeight="1" x14ac:dyDescent="0.3">
      <c r="A583" s="58"/>
      <c r="B583" s="58"/>
      <c r="C583" s="58"/>
      <c r="D583" s="58"/>
      <c r="E583" s="58"/>
      <c r="F583" s="58"/>
      <c r="G583" s="59"/>
      <c r="H583" s="60"/>
      <c r="I583" s="60"/>
      <c r="J583" s="59"/>
      <c r="K583" s="61"/>
      <c r="M583" s="62"/>
      <c r="N583" s="62"/>
      <c r="O583" s="62"/>
      <c r="P583" s="62"/>
      <c r="Q583" s="62"/>
      <c r="R583" s="62"/>
      <c r="S583" s="62"/>
      <c r="T583" s="62"/>
      <c r="U583" s="62"/>
      <c r="V583" s="62"/>
      <c r="W583" s="62"/>
      <c r="X583" s="62"/>
      <c r="Y583" s="62"/>
      <c r="Z583" s="62"/>
      <c r="AA583" s="62"/>
      <c r="AB583" s="62"/>
      <c r="AC583" s="62"/>
      <c r="AD583" s="62"/>
      <c r="AE583" s="62"/>
      <c r="AF583" s="62"/>
      <c r="AG583" s="62"/>
      <c r="AH583" s="62"/>
      <c r="AI583" s="62"/>
      <c r="AJ583" s="62"/>
      <c r="AK583" s="62"/>
      <c r="AL583" s="62"/>
      <c r="AM583" s="62"/>
      <c r="AN583" s="62"/>
      <c r="AO583" s="62"/>
      <c r="AP583" s="62"/>
      <c r="AQ583" s="62"/>
      <c r="AR583" s="62"/>
      <c r="AS583" s="62"/>
      <c r="AT583" s="62"/>
      <c r="AU583" s="62"/>
      <c r="AV583" s="62"/>
      <c r="AW583" s="62"/>
      <c r="AX583" s="62"/>
    </row>
    <row r="584" spans="1:50" ht="14.25" customHeight="1" x14ac:dyDescent="0.3">
      <c r="A584" s="58"/>
      <c r="B584" s="58"/>
      <c r="C584" s="58"/>
      <c r="D584" s="58"/>
      <c r="E584" s="58"/>
      <c r="F584" s="58"/>
      <c r="G584" s="59"/>
      <c r="H584" s="60"/>
      <c r="I584" s="60"/>
      <c r="J584" s="59"/>
      <c r="K584" s="61"/>
      <c r="M584" s="62"/>
      <c r="N584" s="62"/>
      <c r="O584" s="62"/>
      <c r="P584" s="62"/>
      <c r="Q584" s="62"/>
      <c r="R584" s="62"/>
      <c r="S584" s="62"/>
      <c r="T584" s="62"/>
      <c r="U584" s="62"/>
      <c r="V584" s="62"/>
      <c r="W584" s="62"/>
      <c r="X584" s="62"/>
      <c r="Y584" s="62"/>
      <c r="Z584" s="62"/>
      <c r="AA584" s="62"/>
      <c r="AB584" s="62"/>
      <c r="AC584" s="62"/>
      <c r="AD584" s="62"/>
      <c r="AE584" s="62"/>
      <c r="AF584" s="62"/>
      <c r="AG584" s="62"/>
      <c r="AH584" s="62"/>
      <c r="AI584" s="62"/>
      <c r="AJ584" s="62"/>
      <c r="AK584" s="62"/>
      <c r="AL584" s="62"/>
      <c r="AM584" s="62"/>
      <c r="AN584" s="62"/>
      <c r="AO584" s="62"/>
      <c r="AP584" s="62"/>
      <c r="AQ584" s="62"/>
      <c r="AR584" s="62"/>
      <c r="AS584" s="62"/>
      <c r="AT584" s="62"/>
      <c r="AU584" s="62"/>
      <c r="AV584" s="62"/>
      <c r="AW584" s="62"/>
      <c r="AX584" s="62"/>
    </row>
    <row r="585" spans="1:50" ht="14.25" customHeight="1" x14ac:dyDescent="0.3">
      <c r="A585" s="58"/>
      <c r="B585" s="58"/>
      <c r="C585" s="58"/>
      <c r="D585" s="58"/>
      <c r="E585" s="58"/>
      <c r="F585" s="58"/>
      <c r="G585" s="59"/>
      <c r="H585" s="60"/>
      <c r="I585" s="60"/>
      <c r="J585" s="59"/>
      <c r="K585" s="61"/>
      <c r="M585" s="62"/>
      <c r="N585" s="62"/>
      <c r="O585" s="62"/>
      <c r="P585" s="62"/>
      <c r="Q585" s="62"/>
      <c r="R585" s="62"/>
      <c r="S585" s="62"/>
      <c r="T585" s="62"/>
      <c r="U585" s="62"/>
      <c r="V585" s="62"/>
      <c r="W585" s="62"/>
      <c r="X585" s="62"/>
      <c r="Y585" s="62"/>
      <c r="Z585" s="62"/>
      <c r="AA585" s="62"/>
      <c r="AB585" s="62"/>
      <c r="AC585" s="62"/>
      <c r="AD585" s="62"/>
      <c r="AE585" s="62"/>
      <c r="AF585" s="62"/>
      <c r="AG585" s="62"/>
      <c r="AH585" s="62"/>
      <c r="AI585" s="62"/>
      <c r="AJ585" s="62"/>
      <c r="AK585" s="62"/>
      <c r="AL585" s="62"/>
      <c r="AM585" s="62"/>
      <c r="AN585" s="62"/>
      <c r="AO585" s="62"/>
      <c r="AP585" s="62"/>
      <c r="AQ585" s="62"/>
      <c r="AR585" s="62"/>
      <c r="AS585" s="62"/>
      <c r="AT585" s="62"/>
      <c r="AU585" s="62"/>
      <c r="AV585" s="62"/>
      <c r="AW585" s="62"/>
      <c r="AX585" s="62"/>
    </row>
    <row r="586" spans="1:50" ht="14.25" customHeight="1" x14ac:dyDescent="0.3">
      <c r="A586" s="58"/>
      <c r="B586" s="58"/>
      <c r="C586" s="58"/>
      <c r="D586" s="58"/>
      <c r="E586" s="58"/>
      <c r="F586" s="58"/>
      <c r="G586" s="59"/>
      <c r="H586" s="60"/>
      <c r="I586" s="60"/>
      <c r="J586" s="59"/>
      <c r="K586" s="61"/>
      <c r="M586" s="62"/>
      <c r="N586" s="62"/>
      <c r="O586" s="62"/>
      <c r="P586" s="62"/>
      <c r="Q586" s="62"/>
      <c r="R586" s="62"/>
      <c r="S586" s="62"/>
      <c r="T586" s="62"/>
      <c r="U586" s="62"/>
      <c r="V586" s="62"/>
      <c r="W586" s="62"/>
      <c r="X586" s="62"/>
      <c r="Y586" s="62"/>
      <c r="Z586" s="62"/>
      <c r="AA586" s="62"/>
      <c r="AB586" s="62"/>
      <c r="AC586" s="62"/>
      <c r="AD586" s="62"/>
      <c r="AE586" s="62"/>
      <c r="AF586" s="62"/>
      <c r="AG586" s="62"/>
      <c r="AH586" s="62"/>
      <c r="AI586" s="62"/>
      <c r="AJ586" s="62"/>
      <c r="AK586" s="62"/>
      <c r="AL586" s="62"/>
      <c r="AM586" s="62"/>
      <c r="AN586" s="62"/>
      <c r="AO586" s="62"/>
      <c r="AP586" s="62"/>
      <c r="AQ586" s="62"/>
      <c r="AR586" s="62"/>
      <c r="AS586" s="62"/>
      <c r="AT586" s="62"/>
      <c r="AU586" s="62"/>
      <c r="AV586" s="62"/>
      <c r="AW586" s="62"/>
      <c r="AX586" s="62"/>
    </row>
    <row r="587" spans="1:50" ht="14.25" customHeight="1" x14ac:dyDescent="0.3">
      <c r="A587" s="58"/>
      <c r="B587" s="58"/>
      <c r="C587" s="58"/>
      <c r="D587" s="58"/>
      <c r="E587" s="58"/>
      <c r="F587" s="58"/>
      <c r="G587" s="59"/>
      <c r="H587" s="60"/>
      <c r="I587" s="60"/>
      <c r="J587" s="59"/>
      <c r="K587" s="61"/>
      <c r="M587" s="62"/>
      <c r="N587" s="62"/>
      <c r="O587" s="62"/>
      <c r="P587" s="62"/>
      <c r="Q587" s="62"/>
      <c r="R587" s="62"/>
      <c r="S587" s="62"/>
      <c r="T587" s="62"/>
      <c r="U587" s="62"/>
      <c r="V587" s="62"/>
      <c r="W587" s="62"/>
      <c r="X587" s="62"/>
      <c r="Y587" s="62"/>
      <c r="Z587" s="62"/>
      <c r="AA587" s="62"/>
      <c r="AB587" s="62"/>
      <c r="AC587" s="62"/>
      <c r="AD587" s="62"/>
      <c r="AE587" s="62"/>
      <c r="AF587" s="62"/>
      <c r="AG587" s="62"/>
      <c r="AH587" s="62"/>
      <c r="AI587" s="62"/>
      <c r="AJ587" s="62"/>
      <c r="AK587" s="62"/>
      <c r="AL587" s="62"/>
      <c r="AM587" s="62"/>
      <c r="AN587" s="62"/>
      <c r="AO587" s="62"/>
      <c r="AP587" s="62"/>
      <c r="AQ587" s="62"/>
      <c r="AR587" s="62"/>
      <c r="AS587" s="62"/>
      <c r="AT587" s="62"/>
      <c r="AU587" s="62"/>
      <c r="AV587" s="62"/>
      <c r="AW587" s="62"/>
      <c r="AX587" s="62"/>
    </row>
    <row r="588" spans="1:50" ht="14.25" customHeight="1" x14ac:dyDescent="0.3">
      <c r="A588" s="58"/>
      <c r="B588" s="58"/>
      <c r="C588" s="58"/>
      <c r="D588" s="58"/>
      <c r="E588" s="58"/>
      <c r="F588" s="58"/>
      <c r="G588" s="59"/>
      <c r="H588" s="60"/>
      <c r="I588" s="60"/>
      <c r="J588" s="59"/>
      <c r="K588" s="61"/>
      <c r="M588" s="62"/>
      <c r="N588" s="62"/>
      <c r="O588" s="62"/>
      <c r="P588" s="62"/>
      <c r="Q588" s="62"/>
      <c r="R588" s="62"/>
      <c r="S588" s="62"/>
      <c r="T588" s="62"/>
      <c r="U588" s="62"/>
      <c r="V588" s="62"/>
      <c r="W588" s="62"/>
      <c r="X588" s="62"/>
      <c r="Y588" s="62"/>
      <c r="Z588" s="62"/>
      <c r="AA588" s="62"/>
      <c r="AB588" s="62"/>
      <c r="AC588" s="62"/>
      <c r="AD588" s="62"/>
      <c r="AE588" s="62"/>
      <c r="AF588" s="62"/>
      <c r="AG588" s="62"/>
      <c r="AH588" s="62"/>
      <c r="AI588" s="62"/>
      <c r="AJ588" s="62"/>
      <c r="AK588" s="62"/>
      <c r="AL588" s="62"/>
      <c r="AM588" s="62"/>
      <c r="AN588" s="62"/>
      <c r="AO588" s="62"/>
      <c r="AP588" s="62"/>
      <c r="AQ588" s="62"/>
      <c r="AR588" s="62"/>
      <c r="AS588" s="62"/>
      <c r="AT588" s="62"/>
      <c r="AU588" s="62"/>
      <c r="AV588" s="62"/>
      <c r="AW588" s="62"/>
      <c r="AX588" s="62"/>
    </row>
    <row r="589" spans="1:50" ht="14.25" customHeight="1" x14ac:dyDescent="0.3">
      <c r="A589" s="58"/>
      <c r="B589" s="58"/>
      <c r="C589" s="58"/>
      <c r="D589" s="58"/>
      <c r="E589" s="58"/>
      <c r="F589" s="58"/>
      <c r="G589" s="59"/>
      <c r="H589" s="60"/>
      <c r="I589" s="60"/>
      <c r="J589" s="59"/>
      <c r="K589" s="61"/>
      <c r="M589" s="62"/>
      <c r="N589" s="62"/>
      <c r="O589" s="62"/>
      <c r="P589" s="62"/>
      <c r="Q589" s="62"/>
      <c r="R589" s="62"/>
      <c r="S589" s="62"/>
      <c r="T589" s="62"/>
      <c r="U589" s="62"/>
      <c r="V589" s="62"/>
      <c r="W589" s="62"/>
      <c r="X589" s="62"/>
      <c r="Y589" s="62"/>
      <c r="Z589" s="62"/>
      <c r="AA589" s="62"/>
      <c r="AB589" s="62"/>
      <c r="AC589" s="62"/>
      <c r="AD589" s="62"/>
      <c r="AE589" s="62"/>
      <c r="AF589" s="62"/>
      <c r="AG589" s="62"/>
      <c r="AH589" s="62"/>
      <c r="AI589" s="62"/>
      <c r="AJ589" s="62"/>
      <c r="AK589" s="62"/>
      <c r="AL589" s="62"/>
      <c r="AM589" s="62"/>
      <c r="AN589" s="62"/>
      <c r="AO589" s="62"/>
      <c r="AP589" s="62"/>
      <c r="AQ589" s="62"/>
      <c r="AR589" s="62"/>
      <c r="AS589" s="62"/>
      <c r="AT589" s="62"/>
      <c r="AU589" s="62"/>
      <c r="AV589" s="62"/>
      <c r="AW589" s="62"/>
      <c r="AX589" s="62"/>
    </row>
    <row r="590" spans="1:50" ht="14.25" customHeight="1" x14ac:dyDescent="0.3">
      <c r="A590" s="58"/>
      <c r="B590" s="58"/>
      <c r="C590" s="58"/>
      <c r="D590" s="58"/>
      <c r="E590" s="58"/>
      <c r="F590" s="58"/>
      <c r="G590" s="59"/>
      <c r="H590" s="60"/>
      <c r="I590" s="60"/>
      <c r="J590" s="59"/>
      <c r="K590" s="61"/>
      <c r="M590" s="62"/>
      <c r="N590" s="62"/>
      <c r="O590" s="62"/>
      <c r="P590" s="62"/>
      <c r="Q590" s="62"/>
      <c r="R590" s="62"/>
      <c r="S590" s="62"/>
      <c r="T590" s="62"/>
      <c r="U590" s="62"/>
      <c r="V590" s="62"/>
      <c r="W590" s="62"/>
      <c r="X590" s="62"/>
      <c r="Y590" s="62"/>
      <c r="Z590" s="62"/>
      <c r="AA590" s="62"/>
      <c r="AB590" s="62"/>
      <c r="AC590" s="62"/>
      <c r="AD590" s="62"/>
      <c r="AE590" s="62"/>
      <c r="AF590" s="62"/>
      <c r="AG590" s="62"/>
      <c r="AH590" s="62"/>
      <c r="AI590" s="62"/>
      <c r="AJ590" s="62"/>
      <c r="AK590" s="62"/>
      <c r="AL590" s="62"/>
      <c r="AM590" s="62"/>
      <c r="AN590" s="62"/>
      <c r="AO590" s="62"/>
      <c r="AP590" s="62"/>
      <c r="AQ590" s="62"/>
      <c r="AR590" s="62"/>
      <c r="AS590" s="62"/>
      <c r="AT590" s="62"/>
      <c r="AU590" s="62"/>
      <c r="AV590" s="62"/>
      <c r="AW590" s="62"/>
      <c r="AX590" s="62"/>
    </row>
    <row r="591" spans="1:50" ht="14.25" customHeight="1" x14ac:dyDescent="0.3">
      <c r="A591" s="58"/>
      <c r="B591" s="58"/>
      <c r="C591" s="58"/>
      <c r="D591" s="58"/>
      <c r="E591" s="58"/>
      <c r="F591" s="58"/>
      <c r="G591" s="59"/>
      <c r="H591" s="60"/>
      <c r="I591" s="60"/>
      <c r="J591" s="59"/>
      <c r="K591" s="61"/>
      <c r="M591" s="62"/>
      <c r="N591" s="62"/>
      <c r="O591" s="62"/>
      <c r="P591" s="62"/>
      <c r="Q591" s="62"/>
      <c r="R591" s="62"/>
      <c r="S591" s="62"/>
      <c r="T591" s="62"/>
      <c r="U591" s="62"/>
      <c r="V591" s="62"/>
      <c r="W591" s="62"/>
      <c r="X591" s="62"/>
      <c r="Y591" s="62"/>
      <c r="Z591" s="62"/>
      <c r="AA591" s="62"/>
      <c r="AB591" s="62"/>
      <c r="AC591" s="62"/>
      <c r="AD591" s="62"/>
      <c r="AE591" s="62"/>
      <c r="AF591" s="62"/>
      <c r="AG591" s="62"/>
      <c r="AH591" s="62"/>
      <c r="AI591" s="62"/>
      <c r="AJ591" s="62"/>
      <c r="AK591" s="62"/>
      <c r="AL591" s="62"/>
      <c r="AM591" s="62"/>
      <c r="AN591" s="62"/>
      <c r="AO591" s="62"/>
      <c r="AP591" s="62"/>
      <c r="AQ591" s="62"/>
      <c r="AR591" s="62"/>
      <c r="AS591" s="62"/>
      <c r="AT591" s="62"/>
      <c r="AU591" s="62"/>
      <c r="AV591" s="62"/>
      <c r="AW591" s="62"/>
      <c r="AX591" s="62"/>
    </row>
    <row r="592" spans="1:50" ht="14.25" customHeight="1" x14ac:dyDescent="0.3">
      <c r="A592" s="58"/>
      <c r="B592" s="58"/>
      <c r="C592" s="58"/>
      <c r="D592" s="58"/>
      <c r="E592" s="58"/>
      <c r="F592" s="58"/>
      <c r="G592" s="59"/>
      <c r="H592" s="60"/>
      <c r="I592" s="60"/>
      <c r="J592" s="59"/>
      <c r="K592" s="61"/>
      <c r="M592" s="62"/>
      <c r="N592" s="62"/>
      <c r="O592" s="62"/>
      <c r="P592" s="62"/>
      <c r="Q592" s="62"/>
      <c r="R592" s="62"/>
      <c r="S592" s="62"/>
      <c r="T592" s="62"/>
      <c r="U592" s="62"/>
      <c r="V592" s="62"/>
      <c r="W592" s="62"/>
      <c r="X592" s="62"/>
      <c r="Y592" s="62"/>
      <c r="Z592" s="62"/>
      <c r="AA592" s="62"/>
      <c r="AB592" s="62"/>
      <c r="AC592" s="62"/>
      <c r="AD592" s="62"/>
      <c r="AE592" s="62"/>
      <c r="AF592" s="62"/>
      <c r="AG592" s="62"/>
      <c r="AH592" s="62"/>
      <c r="AI592" s="62"/>
      <c r="AJ592" s="62"/>
      <c r="AK592" s="62"/>
      <c r="AL592" s="62"/>
      <c r="AM592" s="62"/>
      <c r="AN592" s="62"/>
      <c r="AO592" s="62"/>
      <c r="AP592" s="62"/>
      <c r="AQ592" s="62"/>
      <c r="AR592" s="62"/>
      <c r="AS592" s="62"/>
      <c r="AT592" s="62"/>
      <c r="AU592" s="62"/>
      <c r="AV592" s="62"/>
      <c r="AW592" s="62"/>
      <c r="AX592" s="62"/>
    </row>
    <row r="593" spans="1:50" ht="14.25" customHeight="1" x14ac:dyDescent="0.3">
      <c r="A593" s="58"/>
      <c r="B593" s="58"/>
      <c r="C593" s="58"/>
      <c r="D593" s="58"/>
      <c r="E593" s="58"/>
      <c r="F593" s="58"/>
      <c r="G593" s="59"/>
      <c r="H593" s="60"/>
      <c r="I593" s="60"/>
      <c r="J593" s="59"/>
      <c r="K593" s="61"/>
      <c r="M593" s="62"/>
      <c r="N593" s="62"/>
      <c r="O593" s="62"/>
      <c r="P593" s="62"/>
      <c r="Q593" s="62"/>
      <c r="R593" s="62"/>
      <c r="S593" s="62"/>
      <c r="T593" s="62"/>
      <c r="U593" s="62"/>
      <c r="V593" s="62"/>
      <c r="W593" s="62"/>
      <c r="X593" s="62"/>
      <c r="Y593" s="62"/>
      <c r="Z593" s="62"/>
      <c r="AA593" s="62"/>
      <c r="AB593" s="62"/>
      <c r="AC593" s="62"/>
      <c r="AD593" s="62"/>
      <c r="AE593" s="62"/>
      <c r="AF593" s="62"/>
      <c r="AG593" s="62"/>
      <c r="AH593" s="62"/>
      <c r="AI593" s="62"/>
      <c r="AJ593" s="62"/>
      <c r="AK593" s="62"/>
      <c r="AL593" s="62"/>
      <c r="AM593" s="62"/>
      <c r="AN593" s="62"/>
      <c r="AO593" s="62"/>
      <c r="AP593" s="62"/>
      <c r="AQ593" s="62"/>
      <c r="AR593" s="62"/>
      <c r="AS593" s="62"/>
      <c r="AT593" s="62"/>
      <c r="AU593" s="62"/>
      <c r="AV593" s="62"/>
      <c r="AW593" s="62"/>
      <c r="AX593" s="62"/>
    </row>
    <row r="594" spans="1:50" ht="14.25" customHeight="1" x14ac:dyDescent="0.3">
      <c r="A594" s="58"/>
      <c r="B594" s="58"/>
      <c r="C594" s="58"/>
      <c r="D594" s="58"/>
      <c r="E594" s="58"/>
      <c r="F594" s="58"/>
      <c r="G594" s="59"/>
      <c r="H594" s="60"/>
      <c r="I594" s="60"/>
      <c r="J594" s="59"/>
      <c r="K594" s="61"/>
      <c r="M594" s="62"/>
      <c r="N594" s="62"/>
      <c r="O594" s="62"/>
      <c r="P594" s="62"/>
      <c r="Q594" s="62"/>
      <c r="R594" s="62"/>
      <c r="S594" s="62"/>
      <c r="T594" s="62"/>
      <c r="U594" s="62"/>
      <c r="V594" s="62"/>
      <c r="W594" s="62"/>
      <c r="X594" s="62"/>
      <c r="Y594" s="62"/>
      <c r="Z594" s="62"/>
      <c r="AA594" s="62"/>
      <c r="AB594" s="62"/>
      <c r="AC594" s="62"/>
      <c r="AD594" s="62"/>
      <c r="AE594" s="62"/>
      <c r="AF594" s="62"/>
      <c r="AG594" s="62"/>
      <c r="AH594" s="62"/>
      <c r="AI594" s="62"/>
      <c r="AJ594" s="62"/>
      <c r="AK594" s="62"/>
      <c r="AL594" s="62"/>
      <c r="AM594" s="62"/>
      <c r="AN594" s="62"/>
      <c r="AO594" s="62"/>
      <c r="AP594" s="62"/>
      <c r="AQ594" s="62"/>
      <c r="AR594" s="62"/>
      <c r="AS594" s="62"/>
      <c r="AT594" s="62"/>
      <c r="AU594" s="62"/>
      <c r="AV594" s="62"/>
      <c r="AW594" s="62"/>
      <c r="AX594" s="62"/>
    </row>
    <row r="595" spans="1:50" ht="14.25" customHeight="1" x14ac:dyDescent="0.3">
      <c r="A595" s="58"/>
      <c r="B595" s="58"/>
      <c r="C595" s="58"/>
      <c r="D595" s="58"/>
      <c r="E595" s="58"/>
      <c r="F595" s="58"/>
      <c r="G595" s="59"/>
      <c r="H595" s="60"/>
      <c r="I595" s="60"/>
      <c r="J595" s="59"/>
      <c r="K595" s="61"/>
      <c r="M595" s="62"/>
      <c r="N595" s="62"/>
      <c r="O595" s="62"/>
      <c r="P595" s="62"/>
      <c r="Q595" s="62"/>
      <c r="R595" s="62"/>
      <c r="S595" s="62"/>
      <c r="T595" s="62"/>
      <c r="U595" s="62"/>
      <c r="V595" s="62"/>
      <c r="W595" s="62"/>
      <c r="X595" s="62"/>
      <c r="Y595" s="62"/>
      <c r="Z595" s="62"/>
      <c r="AA595" s="62"/>
      <c r="AB595" s="62"/>
      <c r="AC595" s="62"/>
      <c r="AD595" s="62"/>
      <c r="AE595" s="62"/>
      <c r="AF595" s="62"/>
      <c r="AG595" s="62"/>
      <c r="AH595" s="62"/>
      <c r="AI595" s="62"/>
      <c r="AJ595" s="62"/>
      <c r="AK595" s="62"/>
      <c r="AL595" s="62"/>
      <c r="AM595" s="62"/>
      <c r="AN595" s="62"/>
      <c r="AO595" s="62"/>
      <c r="AP595" s="62"/>
      <c r="AQ595" s="62"/>
      <c r="AR595" s="62"/>
      <c r="AS595" s="62"/>
      <c r="AT595" s="62"/>
      <c r="AU595" s="62"/>
      <c r="AV595" s="62"/>
      <c r="AW595" s="62"/>
      <c r="AX595" s="62"/>
    </row>
    <row r="596" spans="1:50" ht="14.25" customHeight="1" x14ac:dyDescent="0.3">
      <c r="A596" s="58"/>
      <c r="B596" s="58"/>
      <c r="C596" s="58"/>
      <c r="D596" s="58"/>
      <c r="E596" s="58"/>
      <c r="F596" s="58"/>
      <c r="G596" s="59"/>
      <c r="H596" s="60"/>
      <c r="I596" s="60"/>
      <c r="J596" s="59"/>
      <c r="K596" s="61"/>
      <c r="M596" s="62"/>
      <c r="N596" s="62"/>
      <c r="O596" s="62"/>
      <c r="P596" s="62"/>
      <c r="Q596" s="62"/>
      <c r="R596" s="62"/>
      <c r="S596" s="62"/>
      <c r="T596" s="62"/>
      <c r="U596" s="62"/>
      <c r="V596" s="62"/>
      <c r="W596" s="62"/>
      <c r="X596" s="62"/>
      <c r="Y596" s="62"/>
      <c r="Z596" s="62"/>
      <c r="AA596" s="62"/>
      <c r="AB596" s="62"/>
      <c r="AC596" s="62"/>
      <c r="AD596" s="62"/>
      <c r="AE596" s="62"/>
      <c r="AF596" s="62"/>
      <c r="AG596" s="62"/>
      <c r="AH596" s="62"/>
      <c r="AI596" s="62"/>
      <c r="AJ596" s="62"/>
      <c r="AK596" s="62"/>
      <c r="AL596" s="62"/>
      <c r="AM596" s="62"/>
      <c r="AN596" s="62"/>
      <c r="AO596" s="62"/>
      <c r="AP596" s="62"/>
      <c r="AQ596" s="62"/>
      <c r="AR596" s="62"/>
      <c r="AS596" s="62"/>
      <c r="AT596" s="62"/>
      <c r="AU596" s="62"/>
      <c r="AV596" s="62"/>
      <c r="AW596" s="62"/>
      <c r="AX596" s="62"/>
    </row>
    <row r="597" spans="1:50" ht="14.25" customHeight="1" x14ac:dyDescent="0.3">
      <c r="A597" s="58"/>
      <c r="B597" s="58"/>
      <c r="C597" s="58"/>
      <c r="D597" s="58"/>
      <c r="E597" s="58"/>
      <c r="F597" s="58"/>
      <c r="G597" s="59"/>
      <c r="H597" s="60"/>
      <c r="I597" s="60"/>
      <c r="J597" s="59"/>
      <c r="K597" s="61"/>
      <c r="M597" s="62"/>
      <c r="N597" s="62"/>
      <c r="O597" s="62"/>
      <c r="P597" s="62"/>
      <c r="Q597" s="62"/>
      <c r="R597" s="62"/>
      <c r="S597" s="62"/>
      <c r="T597" s="62"/>
      <c r="U597" s="62"/>
      <c r="V597" s="62"/>
      <c r="W597" s="62"/>
      <c r="X597" s="62"/>
      <c r="Y597" s="62"/>
      <c r="Z597" s="62"/>
      <c r="AA597" s="62"/>
      <c r="AB597" s="62"/>
      <c r="AC597" s="62"/>
      <c r="AD597" s="62"/>
      <c r="AE597" s="62"/>
      <c r="AF597" s="62"/>
      <c r="AG597" s="62"/>
      <c r="AH597" s="62"/>
      <c r="AI597" s="62"/>
      <c r="AJ597" s="62"/>
      <c r="AK597" s="62"/>
      <c r="AL597" s="62"/>
      <c r="AM597" s="62"/>
      <c r="AN597" s="62"/>
      <c r="AO597" s="62"/>
      <c r="AP597" s="62"/>
      <c r="AQ597" s="62"/>
      <c r="AR597" s="62"/>
      <c r="AS597" s="62"/>
      <c r="AT597" s="62"/>
      <c r="AU597" s="62"/>
      <c r="AV597" s="62"/>
      <c r="AW597" s="62"/>
      <c r="AX597" s="62"/>
    </row>
    <row r="598" spans="1:50" ht="14.25" customHeight="1" x14ac:dyDescent="0.3">
      <c r="A598" s="58"/>
      <c r="B598" s="58"/>
      <c r="C598" s="58"/>
      <c r="D598" s="58"/>
      <c r="E598" s="58"/>
      <c r="F598" s="58"/>
      <c r="G598" s="59"/>
      <c r="H598" s="60"/>
      <c r="I598" s="60"/>
      <c r="J598" s="59"/>
      <c r="K598" s="61"/>
      <c r="M598" s="62"/>
      <c r="N598" s="62"/>
      <c r="O598" s="62"/>
      <c r="P598" s="62"/>
      <c r="Q598" s="62"/>
      <c r="R598" s="62"/>
      <c r="S598" s="62"/>
      <c r="T598" s="62"/>
      <c r="U598" s="62"/>
      <c r="V598" s="62"/>
      <c r="W598" s="62"/>
      <c r="X598" s="62"/>
      <c r="Y598" s="62"/>
      <c r="Z598" s="62"/>
      <c r="AA598" s="62"/>
      <c r="AB598" s="62"/>
      <c r="AC598" s="62"/>
      <c r="AD598" s="62"/>
      <c r="AE598" s="62"/>
      <c r="AF598" s="62"/>
      <c r="AG598" s="62"/>
      <c r="AH598" s="62"/>
      <c r="AI598" s="62"/>
      <c r="AJ598" s="62"/>
      <c r="AK598" s="62"/>
      <c r="AL598" s="62"/>
      <c r="AM598" s="62"/>
      <c r="AN598" s="62"/>
      <c r="AO598" s="62"/>
      <c r="AP598" s="62"/>
      <c r="AQ598" s="62"/>
      <c r="AR598" s="62"/>
      <c r="AS598" s="62"/>
      <c r="AT598" s="62"/>
      <c r="AU598" s="62"/>
      <c r="AV598" s="62"/>
      <c r="AW598" s="62"/>
      <c r="AX598" s="62"/>
    </row>
    <row r="599" spans="1:50" ht="14.25" customHeight="1" x14ac:dyDescent="0.3">
      <c r="A599" s="58"/>
      <c r="B599" s="58"/>
      <c r="C599" s="58"/>
      <c r="D599" s="58"/>
      <c r="E599" s="58"/>
      <c r="F599" s="58"/>
      <c r="G599" s="59"/>
      <c r="H599" s="60"/>
      <c r="I599" s="60"/>
      <c r="J599" s="59"/>
      <c r="K599" s="61"/>
      <c r="M599" s="62"/>
      <c r="N599" s="62"/>
      <c r="O599" s="62"/>
      <c r="P599" s="62"/>
      <c r="Q599" s="62"/>
      <c r="R599" s="62"/>
      <c r="S599" s="62"/>
      <c r="T599" s="62"/>
      <c r="U599" s="62"/>
      <c r="V599" s="62"/>
      <c r="W599" s="62"/>
      <c r="X599" s="62"/>
      <c r="Y599" s="62"/>
      <c r="Z599" s="62"/>
      <c r="AA599" s="62"/>
      <c r="AB599" s="62"/>
      <c r="AC599" s="62"/>
      <c r="AD599" s="62"/>
      <c r="AE599" s="62"/>
      <c r="AF599" s="62"/>
      <c r="AG599" s="62"/>
      <c r="AH599" s="62"/>
      <c r="AI599" s="62"/>
      <c r="AJ599" s="62"/>
      <c r="AK599" s="62"/>
      <c r="AL599" s="62"/>
      <c r="AM599" s="62"/>
      <c r="AN599" s="62"/>
      <c r="AO599" s="62"/>
      <c r="AP599" s="62"/>
      <c r="AQ599" s="62"/>
      <c r="AR599" s="62"/>
      <c r="AS599" s="62"/>
      <c r="AT599" s="62"/>
      <c r="AU599" s="62"/>
      <c r="AV599" s="62"/>
      <c r="AW599" s="62"/>
      <c r="AX599" s="62"/>
    </row>
    <row r="600" spans="1:50" ht="14.25" customHeight="1" x14ac:dyDescent="0.3">
      <c r="A600" s="58"/>
      <c r="B600" s="58"/>
      <c r="C600" s="58"/>
      <c r="D600" s="58"/>
      <c r="E600" s="58"/>
      <c r="F600" s="58"/>
      <c r="G600" s="59"/>
      <c r="H600" s="60"/>
      <c r="I600" s="60"/>
      <c r="J600" s="59"/>
      <c r="K600" s="61"/>
      <c r="M600" s="62"/>
      <c r="N600" s="62"/>
      <c r="O600" s="62"/>
      <c r="P600" s="62"/>
      <c r="Q600" s="62"/>
      <c r="R600" s="62"/>
      <c r="S600" s="62"/>
      <c r="T600" s="62"/>
      <c r="U600" s="62"/>
      <c r="V600" s="62"/>
      <c r="W600" s="62"/>
      <c r="X600" s="62"/>
      <c r="Y600" s="62"/>
      <c r="Z600" s="62"/>
      <c r="AA600" s="62"/>
      <c r="AB600" s="62"/>
      <c r="AC600" s="62"/>
      <c r="AD600" s="62"/>
      <c r="AE600" s="62"/>
      <c r="AF600" s="62"/>
      <c r="AG600" s="62"/>
      <c r="AH600" s="62"/>
      <c r="AI600" s="62"/>
      <c r="AJ600" s="62"/>
      <c r="AK600" s="62"/>
      <c r="AL600" s="62"/>
      <c r="AM600" s="62"/>
      <c r="AN600" s="62"/>
      <c r="AO600" s="62"/>
      <c r="AP600" s="62"/>
      <c r="AQ600" s="62"/>
      <c r="AR600" s="62"/>
      <c r="AS600" s="62"/>
      <c r="AT600" s="62"/>
      <c r="AU600" s="62"/>
      <c r="AV600" s="62"/>
      <c r="AW600" s="62"/>
      <c r="AX600" s="62"/>
    </row>
    <row r="601" spans="1:50" ht="14.25" customHeight="1" x14ac:dyDescent="0.3">
      <c r="A601" s="58"/>
      <c r="B601" s="58"/>
      <c r="C601" s="58"/>
      <c r="D601" s="58"/>
      <c r="E601" s="58"/>
      <c r="F601" s="58"/>
      <c r="G601" s="59"/>
      <c r="H601" s="60"/>
      <c r="I601" s="60"/>
      <c r="J601" s="59"/>
      <c r="K601" s="61"/>
      <c r="M601" s="62"/>
      <c r="N601" s="62"/>
      <c r="O601" s="62"/>
      <c r="P601" s="62"/>
      <c r="Q601" s="62"/>
      <c r="R601" s="62"/>
      <c r="S601" s="62"/>
      <c r="T601" s="62"/>
      <c r="U601" s="62"/>
      <c r="V601" s="62"/>
      <c r="W601" s="62"/>
      <c r="X601" s="62"/>
      <c r="Y601" s="62"/>
      <c r="Z601" s="62"/>
      <c r="AA601" s="62"/>
      <c r="AB601" s="62"/>
      <c r="AC601" s="62"/>
      <c r="AD601" s="62"/>
      <c r="AE601" s="62"/>
      <c r="AF601" s="62"/>
      <c r="AG601" s="62"/>
      <c r="AH601" s="62"/>
      <c r="AI601" s="62"/>
      <c r="AJ601" s="62"/>
      <c r="AK601" s="62"/>
      <c r="AL601" s="62"/>
      <c r="AM601" s="62"/>
      <c r="AN601" s="62"/>
      <c r="AO601" s="62"/>
      <c r="AP601" s="62"/>
      <c r="AQ601" s="62"/>
      <c r="AR601" s="62"/>
      <c r="AS601" s="62"/>
      <c r="AT601" s="62"/>
      <c r="AU601" s="62"/>
      <c r="AV601" s="62"/>
      <c r="AW601" s="62"/>
      <c r="AX601" s="62"/>
    </row>
    <row r="602" spans="1:50" ht="14.25" customHeight="1" x14ac:dyDescent="0.3">
      <c r="A602" s="58"/>
      <c r="B602" s="58"/>
      <c r="C602" s="58"/>
      <c r="D602" s="58"/>
      <c r="E602" s="58"/>
      <c r="F602" s="58"/>
      <c r="G602" s="59"/>
      <c r="H602" s="60"/>
      <c r="I602" s="60"/>
      <c r="J602" s="59"/>
      <c r="K602" s="61"/>
      <c r="M602" s="62"/>
      <c r="N602" s="62"/>
      <c r="O602" s="62"/>
      <c r="P602" s="62"/>
      <c r="Q602" s="62"/>
      <c r="R602" s="62"/>
      <c r="S602" s="62"/>
      <c r="T602" s="62"/>
      <c r="U602" s="62"/>
      <c r="V602" s="62"/>
      <c r="W602" s="62"/>
      <c r="X602" s="62"/>
      <c r="Y602" s="62"/>
      <c r="Z602" s="62"/>
      <c r="AA602" s="62"/>
      <c r="AB602" s="62"/>
      <c r="AC602" s="62"/>
      <c r="AD602" s="62"/>
      <c r="AE602" s="62"/>
      <c r="AF602" s="62"/>
      <c r="AG602" s="62"/>
      <c r="AH602" s="62"/>
      <c r="AI602" s="62"/>
      <c r="AJ602" s="62"/>
      <c r="AK602" s="62"/>
      <c r="AL602" s="62"/>
      <c r="AM602" s="62"/>
      <c r="AN602" s="62"/>
      <c r="AO602" s="62"/>
      <c r="AP602" s="62"/>
      <c r="AQ602" s="62"/>
      <c r="AR602" s="62"/>
      <c r="AS602" s="62"/>
      <c r="AT602" s="62"/>
      <c r="AU602" s="62"/>
      <c r="AV602" s="62"/>
      <c r="AW602" s="62"/>
      <c r="AX602" s="62"/>
    </row>
    <row r="603" spans="1:50" ht="14.25" customHeight="1" x14ac:dyDescent="0.3">
      <c r="A603" s="58"/>
      <c r="B603" s="58"/>
      <c r="C603" s="58"/>
      <c r="D603" s="58"/>
      <c r="E603" s="58"/>
      <c r="F603" s="58"/>
      <c r="G603" s="59"/>
      <c r="H603" s="60"/>
      <c r="I603" s="60"/>
      <c r="J603" s="59"/>
      <c r="K603" s="61"/>
      <c r="M603" s="62"/>
      <c r="N603" s="62"/>
      <c r="O603" s="62"/>
      <c r="P603" s="62"/>
      <c r="Q603" s="62"/>
      <c r="R603" s="62"/>
      <c r="S603" s="62"/>
      <c r="T603" s="62"/>
      <c r="U603" s="62"/>
      <c r="V603" s="62"/>
      <c r="W603" s="62"/>
      <c r="X603" s="62"/>
      <c r="Y603" s="62"/>
      <c r="Z603" s="62"/>
      <c r="AA603" s="62"/>
      <c r="AB603" s="62"/>
      <c r="AC603" s="62"/>
      <c r="AD603" s="62"/>
      <c r="AE603" s="62"/>
      <c r="AF603" s="62"/>
      <c r="AG603" s="62"/>
      <c r="AH603" s="62"/>
      <c r="AI603" s="62"/>
      <c r="AJ603" s="62"/>
      <c r="AK603" s="62"/>
      <c r="AL603" s="62"/>
      <c r="AM603" s="62"/>
      <c r="AN603" s="62"/>
      <c r="AO603" s="62"/>
      <c r="AP603" s="62"/>
      <c r="AQ603" s="62"/>
      <c r="AR603" s="62"/>
      <c r="AS603" s="62"/>
      <c r="AT603" s="62"/>
      <c r="AU603" s="62"/>
      <c r="AV603" s="62"/>
      <c r="AW603" s="62"/>
      <c r="AX603" s="62"/>
    </row>
    <row r="604" spans="1:50" ht="14.25" customHeight="1" x14ac:dyDescent="0.3">
      <c r="A604" s="58"/>
      <c r="B604" s="58"/>
      <c r="C604" s="58"/>
      <c r="D604" s="58"/>
      <c r="E604" s="58"/>
      <c r="F604" s="58"/>
      <c r="G604" s="59"/>
      <c r="H604" s="60"/>
      <c r="I604" s="60"/>
      <c r="J604" s="59"/>
      <c r="K604" s="61"/>
      <c r="M604" s="62"/>
      <c r="N604" s="62"/>
      <c r="O604" s="62"/>
      <c r="P604" s="62"/>
      <c r="Q604" s="62"/>
      <c r="R604" s="62"/>
      <c r="S604" s="62"/>
      <c r="T604" s="62"/>
      <c r="U604" s="62"/>
      <c r="V604" s="62"/>
      <c r="W604" s="62"/>
      <c r="X604" s="62"/>
      <c r="Y604" s="62"/>
      <c r="Z604" s="62"/>
      <c r="AA604" s="62"/>
      <c r="AB604" s="62"/>
      <c r="AC604" s="62"/>
      <c r="AD604" s="62"/>
      <c r="AE604" s="62"/>
      <c r="AF604" s="62"/>
      <c r="AG604" s="62"/>
      <c r="AH604" s="62"/>
      <c r="AI604" s="62"/>
      <c r="AJ604" s="62"/>
      <c r="AK604" s="62"/>
      <c r="AL604" s="62"/>
      <c r="AM604" s="62"/>
      <c r="AN604" s="62"/>
      <c r="AO604" s="62"/>
      <c r="AP604" s="62"/>
      <c r="AQ604" s="62"/>
      <c r="AR604" s="62"/>
      <c r="AS604" s="62"/>
      <c r="AT604" s="62"/>
      <c r="AU604" s="62"/>
      <c r="AV604" s="62"/>
      <c r="AW604" s="62"/>
      <c r="AX604" s="62"/>
    </row>
    <row r="605" spans="1:50" ht="14.25" customHeight="1" x14ac:dyDescent="0.3">
      <c r="A605" s="58"/>
      <c r="B605" s="58"/>
      <c r="C605" s="58"/>
      <c r="D605" s="58"/>
      <c r="E605" s="58"/>
      <c r="F605" s="58"/>
      <c r="G605" s="59"/>
      <c r="H605" s="60"/>
      <c r="I605" s="60"/>
      <c r="J605" s="59"/>
      <c r="K605" s="61"/>
      <c r="M605" s="62"/>
      <c r="N605" s="62"/>
      <c r="O605" s="62"/>
      <c r="P605" s="62"/>
      <c r="Q605" s="62"/>
      <c r="R605" s="62"/>
      <c r="S605" s="62"/>
      <c r="T605" s="62"/>
      <c r="U605" s="62"/>
      <c r="V605" s="62"/>
      <c r="W605" s="62"/>
      <c r="X605" s="62"/>
      <c r="Y605" s="62"/>
      <c r="Z605" s="62"/>
      <c r="AA605" s="62"/>
      <c r="AB605" s="62"/>
      <c r="AC605" s="62"/>
      <c r="AD605" s="62"/>
      <c r="AE605" s="62"/>
      <c r="AF605" s="62"/>
      <c r="AG605" s="62"/>
      <c r="AH605" s="62"/>
      <c r="AI605" s="62"/>
      <c r="AJ605" s="62"/>
      <c r="AK605" s="62"/>
      <c r="AL605" s="62"/>
      <c r="AM605" s="62"/>
      <c r="AN605" s="62"/>
      <c r="AO605" s="62"/>
      <c r="AP605" s="62"/>
      <c r="AQ605" s="62"/>
      <c r="AR605" s="62"/>
      <c r="AS605" s="62"/>
      <c r="AT605" s="62"/>
      <c r="AU605" s="62"/>
      <c r="AV605" s="62"/>
      <c r="AW605" s="62"/>
      <c r="AX605" s="62"/>
    </row>
    <row r="606" spans="1:50" ht="14.25" customHeight="1" x14ac:dyDescent="0.3">
      <c r="A606" s="58"/>
      <c r="B606" s="58"/>
      <c r="C606" s="58"/>
      <c r="D606" s="58"/>
      <c r="E606" s="58"/>
      <c r="F606" s="58"/>
      <c r="G606" s="59"/>
      <c r="H606" s="60"/>
      <c r="I606" s="60"/>
      <c r="J606" s="59"/>
      <c r="K606" s="61"/>
      <c r="M606" s="62"/>
      <c r="N606" s="62"/>
      <c r="O606" s="62"/>
      <c r="P606" s="62"/>
      <c r="Q606" s="62"/>
      <c r="R606" s="62"/>
      <c r="S606" s="62"/>
      <c r="T606" s="62"/>
      <c r="U606" s="62"/>
      <c r="V606" s="62"/>
      <c r="W606" s="62"/>
      <c r="X606" s="62"/>
      <c r="Y606" s="62"/>
      <c r="Z606" s="62"/>
      <c r="AA606" s="62"/>
      <c r="AB606" s="62"/>
      <c r="AC606" s="62"/>
      <c r="AD606" s="62"/>
      <c r="AE606" s="62"/>
      <c r="AF606" s="62"/>
      <c r="AG606" s="62"/>
      <c r="AH606" s="62"/>
      <c r="AI606" s="62"/>
      <c r="AJ606" s="62"/>
      <c r="AK606" s="62"/>
      <c r="AL606" s="62"/>
      <c r="AM606" s="62"/>
      <c r="AN606" s="62"/>
      <c r="AO606" s="62"/>
      <c r="AP606" s="62"/>
      <c r="AQ606" s="62"/>
      <c r="AR606" s="62"/>
      <c r="AS606" s="62"/>
      <c r="AT606" s="62"/>
      <c r="AU606" s="62"/>
      <c r="AV606" s="62"/>
      <c r="AW606" s="62"/>
      <c r="AX606" s="62"/>
    </row>
    <row r="607" spans="1:50" ht="14.25" customHeight="1" x14ac:dyDescent="0.3">
      <c r="A607" s="58"/>
      <c r="B607" s="58"/>
      <c r="C607" s="58"/>
      <c r="D607" s="58"/>
      <c r="E607" s="58"/>
      <c r="F607" s="58"/>
      <c r="G607" s="59"/>
      <c r="H607" s="60"/>
      <c r="I607" s="60"/>
      <c r="J607" s="59"/>
      <c r="K607" s="61"/>
      <c r="M607" s="62"/>
      <c r="N607" s="62"/>
      <c r="O607" s="62"/>
      <c r="P607" s="62"/>
      <c r="Q607" s="62"/>
      <c r="R607" s="62"/>
      <c r="S607" s="62"/>
      <c r="T607" s="62"/>
      <c r="U607" s="62"/>
      <c r="V607" s="62"/>
      <c r="W607" s="62"/>
      <c r="X607" s="62"/>
      <c r="Y607" s="62"/>
      <c r="Z607" s="62"/>
      <c r="AA607" s="62"/>
      <c r="AB607" s="62"/>
      <c r="AC607" s="62"/>
      <c r="AD607" s="62"/>
      <c r="AE607" s="62"/>
      <c r="AF607" s="62"/>
      <c r="AG607" s="62"/>
      <c r="AH607" s="62"/>
      <c r="AI607" s="62"/>
      <c r="AJ607" s="62"/>
      <c r="AK607" s="62"/>
      <c r="AL607" s="62"/>
      <c r="AM607" s="62"/>
      <c r="AN607" s="62"/>
      <c r="AO607" s="62"/>
      <c r="AP607" s="62"/>
      <c r="AQ607" s="62"/>
      <c r="AR607" s="62"/>
      <c r="AS607" s="62"/>
      <c r="AT607" s="62"/>
      <c r="AU607" s="62"/>
      <c r="AV607" s="62"/>
      <c r="AW607" s="62"/>
      <c r="AX607" s="62"/>
    </row>
    <row r="608" spans="1:50" ht="14.25" customHeight="1" x14ac:dyDescent="0.3">
      <c r="A608" s="58"/>
      <c r="B608" s="58"/>
      <c r="C608" s="58"/>
      <c r="D608" s="58"/>
      <c r="E608" s="58"/>
      <c r="F608" s="58"/>
      <c r="G608" s="59"/>
      <c r="H608" s="60"/>
      <c r="I608" s="60"/>
      <c r="J608" s="59"/>
      <c r="K608" s="61"/>
      <c r="M608" s="62"/>
      <c r="N608" s="62"/>
      <c r="O608" s="62"/>
      <c r="P608" s="62"/>
      <c r="Q608" s="62"/>
      <c r="R608" s="62"/>
      <c r="S608" s="62"/>
      <c r="T608" s="62"/>
      <c r="U608" s="62"/>
      <c r="V608" s="62"/>
      <c r="W608" s="62"/>
      <c r="X608" s="62"/>
      <c r="Y608" s="62"/>
      <c r="Z608" s="62"/>
      <c r="AA608" s="62"/>
      <c r="AB608" s="62"/>
      <c r="AC608" s="62"/>
      <c r="AD608" s="62"/>
      <c r="AE608" s="62"/>
      <c r="AF608" s="62"/>
      <c r="AG608" s="62"/>
      <c r="AH608" s="62"/>
      <c r="AI608" s="62"/>
      <c r="AJ608" s="62"/>
      <c r="AK608" s="62"/>
      <c r="AL608" s="62"/>
      <c r="AM608" s="62"/>
      <c r="AN608" s="62"/>
      <c r="AO608" s="62"/>
      <c r="AP608" s="62"/>
      <c r="AQ608" s="62"/>
      <c r="AR608" s="62"/>
      <c r="AS608" s="62"/>
      <c r="AT608" s="62"/>
      <c r="AU608" s="62"/>
      <c r="AV608" s="62"/>
      <c r="AW608" s="62"/>
      <c r="AX608" s="62"/>
    </row>
    <row r="609" spans="1:50" ht="14.25" customHeight="1" x14ac:dyDescent="0.3">
      <c r="A609" s="58"/>
      <c r="B609" s="58"/>
      <c r="C609" s="58"/>
      <c r="D609" s="58"/>
      <c r="E609" s="58"/>
      <c r="F609" s="58"/>
      <c r="G609" s="59"/>
      <c r="H609" s="60"/>
      <c r="I609" s="60"/>
      <c r="J609" s="59"/>
      <c r="K609" s="61"/>
      <c r="M609" s="62"/>
      <c r="N609" s="62"/>
      <c r="O609" s="62"/>
      <c r="P609" s="62"/>
      <c r="Q609" s="62"/>
      <c r="R609" s="62"/>
      <c r="S609" s="62"/>
      <c r="T609" s="62"/>
      <c r="U609" s="62"/>
      <c r="V609" s="62"/>
      <c r="W609" s="62"/>
      <c r="X609" s="62"/>
      <c r="Y609" s="62"/>
      <c r="Z609" s="62"/>
      <c r="AA609" s="62"/>
      <c r="AB609" s="62"/>
      <c r="AC609" s="62"/>
      <c r="AD609" s="62"/>
      <c r="AE609" s="62"/>
      <c r="AF609" s="62"/>
      <c r="AG609" s="62"/>
      <c r="AH609" s="62"/>
      <c r="AI609" s="62"/>
      <c r="AJ609" s="62"/>
      <c r="AK609" s="62"/>
      <c r="AL609" s="62"/>
      <c r="AM609" s="62"/>
      <c r="AN609" s="62"/>
      <c r="AO609" s="62"/>
      <c r="AP609" s="62"/>
      <c r="AQ609" s="62"/>
      <c r="AR609" s="62"/>
      <c r="AS609" s="62"/>
      <c r="AT609" s="62"/>
      <c r="AU609" s="62"/>
      <c r="AV609" s="62"/>
      <c r="AW609" s="62"/>
      <c r="AX609" s="62"/>
    </row>
    <row r="610" spans="1:50" ht="14.25" customHeight="1" x14ac:dyDescent="0.3">
      <c r="A610" s="58"/>
      <c r="B610" s="58"/>
      <c r="C610" s="58"/>
      <c r="D610" s="58"/>
      <c r="E610" s="58"/>
      <c r="F610" s="58"/>
      <c r="G610" s="59"/>
      <c r="H610" s="60"/>
      <c r="I610" s="60"/>
      <c r="J610" s="59"/>
      <c r="K610" s="61"/>
      <c r="M610" s="62"/>
      <c r="N610" s="62"/>
      <c r="O610" s="62"/>
      <c r="P610" s="62"/>
      <c r="Q610" s="62"/>
      <c r="R610" s="62"/>
      <c r="S610" s="62"/>
      <c r="T610" s="62"/>
      <c r="U610" s="62"/>
      <c r="V610" s="62"/>
      <c r="W610" s="62"/>
      <c r="X610" s="62"/>
      <c r="Y610" s="62"/>
      <c r="Z610" s="62"/>
      <c r="AA610" s="62"/>
      <c r="AB610" s="62"/>
      <c r="AC610" s="62"/>
      <c r="AD610" s="62"/>
      <c r="AE610" s="62"/>
      <c r="AF610" s="62"/>
      <c r="AG610" s="62"/>
      <c r="AH610" s="62"/>
      <c r="AI610" s="62"/>
      <c r="AJ610" s="62"/>
      <c r="AK610" s="62"/>
      <c r="AL610" s="62"/>
      <c r="AM610" s="62"/>
      <c r="AN610" s="62"/>
      <c r="AO610" s="62"/>
      <c r="AP610" s="62"/>
      <c r="AQ610" s="62"/>
      <c r="AR610" s="62"/>
      <c r="AS610" s="62"/>
      <c r="AT610" s="62"/>
      <c r="AU610" s="62"/>
      <c r="AV610" s="62"/>
      <c r="AW610" s="62"/>
      <c r="AX610" s="62"/>
    </row>
    <row r="611" spans="1:50" ht="14.25" customHeight="1" x14ac:dyDescent="0.3">
      <c r="A611" s="58"/>
      <c r="B611" s="58"/>
      <c r="C611" s="58"/>
      <c r="D611" s="58"/>
      <c r="E611" s="58"/>
      <c r="F611" s="58"/>
      <c r="G611" s="59"/>
      <c r="H611" s="60"/>
      <c r="I611" s="60"/>
      <c r="J611" s="59"/>
      <c r="K611" s="61"/>
      <c r="M611" s="62"/>
      <c r="N611" s="62"/>
      <c r="O611" s="62"/>
      <c r="P611" s="62"/>
      <c r="Q611" s="62"/>
      <c r="R611" s="62"/>
      <c r="S611" s="62"/>
      <c r="T611" s="62"/>
      <c r="U611" s="62"/>
      <c r="V611" s="62"/>
      <c r="W611" s="62"/>
      <c r="X611" s="62"/>
      <c r="Y611" s="62"/>
      <c r="Z611" s="62"/>
      <c r="AA611" s="62"/>
      <c r="AB611" s="62"/>
      <c r="AC611" s="62"/>
      <c r="AD611" s="62"/>
      <c r="AE611" s="62"/>
      <c r="AF611" s="62"/>
      <c r="AG611" s="62"/>
      <c r="AH611" s="62"/>
      <c r="AI611" s="62"/>
      <c r="AJ611" s="62"/>
      <c r="AK611" s="62"/>
      <c r="AL611" s="62"/>
      <c r="AM611" s="62"/>
      <c r="AN611" s="62"/>
      <c r="AO611" s="62"/>
      <c r="AP611" s="62"/>
      <c r="AQ611" s="62"/>
      <c r="AR611" s="62"/>
      <c r="AS611" s="62"/>
      <c r="AT611" s="62"/>
      <c r="AU611" s="62"/>
      <c r="AV611" s="62"/>
      <c r="AW611" s="62"/>
      <c r="AX611" s="62"/>
    </row>
    <row r="612" spans="1:50" ht="14.25" customHeight="1" x14ac:dyDescent="0.3">
      <c r="A612" s="58"/>
      <c r="B612" s="58"/>
      <c r="C612" s="58"/>
      <c r="D612" s="58"/>
      <c r="E612" s="58"/>
      <c r="F612" s="58"/>
      <c r="G612" s="59"/>
      <c r="H612" s="60"/>
      <c r="I612" s="60"/>
      <c r="J612" s="59"/>
      <c r="K612" s="61"/>
      <c r="M612" s="62"/>
      <c r="N612" s="62"/>
      <c r="O612" s="62"/>
      <c r="P612" s="62"/>
      <c r="Q612" s="62"/>
      <c r="R612" s="62"/>
      <c r="S612" s="62"/>
      <c r="T612" s="62"/>
      <c r="U612" s="62"/>
      <c r="V612" s="62"/>
      <c r="W612" s="62"/>
      <c r="X612" s="62"/>
      <c r="Y612" s="62"/>
      <c r="Z612" s="62"/>
      <c r="AA612" s="62"/>
      <c r="AB612" s="62"/>
      <c r="AC612" s="62"/>
      <c r="AD612" s="62"/>
      <c r="AE612" s="62"/>
      <c r="AF612" s="62"/>
      <c r="AG612" s="62"/>
      <c r="AH612" s="62"/>
      <c r="AI612" s="62"/>
      <c r="AJ612" s="62"/>
      <c r="AK612" s="62"/>
      <c r="AL612" s="62"/>
      <c r="AM612" s="62"/>
      <c r="AN612" s="62"/>
      <c r="AO612" s="62"/>
      <c r="AP612" s="62"/>
      <c r="AQ612" s="62"/>
      <c r="AR612" s="62"/>
      <c r="AS612" s="62"/>
      <c r="AT612" s="62"/>
      <c r="AU612" s="62"/>
      <c r="AV612" s="62"/>
      <c r="AW612" s="62"/>
      <c r="AX612" s="62"/>
    </row>
    <row r="613" spans="1:50" ht="14.25" customHeight="1" x14ac:dyDescent="0.3">
      <c r="A613" s="58"/>
      <c r="B613" s="58"/>
      <c r="C613" s="58"/>
      <c r="D613" s="58"/>
      <c r="E613" s="58"/>
      <c r="F613" s="58"/>
      <c r="G613" s="59"/>
      <c r="H613" s="60"/>
      <c r="I613" s="60"/>
      <c r="J613" s="59"/>
      <c r="K613" s="61"/>
      <c r="M613" s="62"/>
      <c r="N613" s="62"/>
      <c r="O613" s="62"/>
      <c r="P613" s="62"/>
      <c r="Q613" s="62"/>
      <c r="R613" s="62"/>
      <c r="S613" s="62"/>
      <c r="T613" s="62"/>
      <c r="U613" s="62"/>
      <c r="V613" s="62"/>
      <c r="W613" s="62"/>
      <c r="X613" s="62"/>
      <c r="Y613" s="62"/>
      <c r="Z613" s="62"/>
      <c r="AA613" s="62"/>
      <c r="AB613" s="62"/>
      <c r="AC613" s="62"/>
      <c r="AD613" s="62"/>
      <c r="AE613" s="62"/>
      <c r="AF613" s="62"/>
      <c r="AG613" s="62"/>
      <c r="AH613" s="62"/>
      <c r="AI613" s="62"/>
      <c r="AJ613" s="62"/>
      <c r="AK613" s="62"/>
      <c r="AL613" s="62"/>
      <c r="AM613" s="62"/>
      <c r="AN613" s="62"/>
      <c r="AO613" s="62"/>
      <c r="AP613" s="62"/>
      <c r="AQ613" s="62"/>
      <c r="AR613" s="62"/>
      <c r="AS613" s="62"/>
      <c r="AT613" s="62"/>
      <c r="AU613" s="62"/>
      <c r="AV613" s="62"/>
      <c r="AW613" s="62"/>
      <c r="AX613" s="62"/>
    </row>
    <row r="614" spans="1:50" ht="14.25" customHeight="1" x14ac:dyDescent="0.3">
      <c r="A614" s="58"/>
      <c r="B614" s="58"/>
      <c r="C614" s="58"/>
      <c r="D614" s="58"/>
      <c r="E614" s="58"/>
      <c r="F614" s="58"/>
      <c r="G614" s="59"/>
      <c r="H614" s="60"/>
      <c r="I614" s="60"/>
      <c r="J614" s="59"/>
      <c r="K614" s="61"/>
      <c r="M614" s="62"/>
      <c r="N614" s="62"/>
      <c r="O614" s="62"/>
      <c r="P614" s="62"/>
      <c r="Q614" s="62"/>
      <c r="R614" s="62"/>
      <c r="S614" s="62"/>
      <c r="T614" s="62"/>
      <c r="U614" s="62"/>
      <c r="V614" s="62"/>
      <c r="W614" s="62"/>
      <c r="X614" s="62"/>
      <c r="Y614" s="62"/>
      <c r="Z614" s="62"/>
      <c r="AA614" s="62"/>
      <c r="AB614" s="62"/>
      <c r="AC614" s="62"/>
      <c r="AD614" s="62"/>
      <c r="AE614" s="62"/>
      <c r="AF614" s="62"/>
      <c r="AG614" s="62"/>
      <c r="AH614" s="62"/>
      <c r="AI614" s="62"/>
      <c r="AJ614" s="62"/>
      <c r="AK614" s="62"/>
      <c r="AL614" s="62"/>
      <c r="AM614" s="62"/>
      <c r="AN614" s="62"/>
      <c r="AO614" s="62"/>
      <c r="AP614" s="62"/>
      <c r="AQ614" s="62"/>
      <c r="AR614" s="62"/>
      <c r="AS614" s="62"/>
      <c r="AT614" s="62"/>
      <c r="AU614" s="62"/>
      <c r="AV614" s="62"/>
      <c r="AW614" s="62"/>
      <c r="AX614" s="62"/>
    </row>
    <row r="615" spans="1:50" ht="14.25" customHeight="1" x14ac:dyDescent="0.3">
      <c r="A615" s="58"/>
      <c r="B615" s="58"/>
      <c r="C615" s="58"/>
      <c r="D615" s="58"/>
      <c r="E615" s="58"/>
      <c r="F615" s="58"/>
      <c r="G615" s="59"/>
      <c r="H615" s="60"/>
      <c r="I615" s="60"/>
      <c r="J615" s="59"/>
      <c r="K615" s="61"/>
      <c r="M615" s="62"/>
      <c r="N615" s="62"/>
      <c r="O615" s="62"/>
      <c r="P615" s="62"/>
      <c r="Q615" s="62"/>
      <c r="R615" s="62"/>
      <c r="S615" s="62"/>
      <c r="T615" s="62"/>
      <c r="U615" s="62"/>
      <c r="V615" s="62"/>
      <c r="W615" s="62"/>
      <c r="X615" s="62"/>
      <c r="Y615" s="62"/>
      <c r="Z615" s="62"/>
      <c r="AA615" s="62"/>
      <c r="AB615" s="62"/>
      <c r="AC615" s="62"/>
      <c r="AD615" s="62"/>
      <c r="AE615" s="62"/>
      <c r="AF615" s="62"/>
      <c r="AG615" s="62"/>
      <c r="AH615" s="62"/>
      <c r="AI615" s="62"/>
      <c r="AJ615" s="62"/>
      <c r="AK615" s="62"/>
      <c r="AL615" s="62"/>
      <c r="AM615" s="62"/>
      <c r="AN615" s="62"/>
      <c r="AO615" s="62"/>
      <c r="AP615" s="62"/>
      <c r="AQ615" s="62"/>
      <c r="AR615" s="62"/>
      <c r="AS615" s="62"/>
      <c r="AT615" s="62"/>
      <c r="AU615" s="62"/>
      <c r="AV615" s="62"/>
      <c r="AW615" s="62"/>
      <c r="AX615" s="62"/>
    </row>
    <row r="616" spans="1:50" ht="14.25" customHeight="1" x14ac:dyDescent="0.3">
      <c r="A616" s="58"/>
      <c r="B616" s="58"/>
      <c r="C616" s="58"/>
      <c r="D616" s="58"/>
      <c r="E616" s="58"/>
      <c r="F616" s="58"/>
      <c r="G616" s="59"/>
      <c r="H616" s="60"/>
      <c r="I616" s="60"/>
      <c r="J616" s="59"/>
      <c r="K616" s="61"/>
      <c r="M616" s="62"/>
      <c r="N616" s="62"/>
      <c r="O616" s="62"/>
      <c r="P616" s="62"/>
      <c r="Q616" s="62"/>
      <c r="R616" s="62"/>
      <c r="S616" s="62"/>
      <c r="T616" s="62"/>
      <c r="U616" s="62"/>
      <c r="V616" s="62"/>
      <c r="W616" s="62"/>
      <c r="X616" s="62"/>
      <c r="Y616" s="62"/>
      <c r="Z616" s="62"/>
      <c r="AA616" s="62"/>
      <c r="AB616" s="62"/>
      <c r="AC616" s="62"/>
      <c r="AD616" s="62"/>
      <c r="AE616" s="62"/>
      <c r="AF616" s="62"/>
      <c r="AG616" s="62"/>
      <c r="AH616" s="62"/>
      <c r="AI616" s="62"/>
      <c r="AJ616" s="62"/>
      <c r="AK616" s="62"/>
      <c r="AL616" s="62"/>
      <c r="AM616" s="62"/>
      <c r="AN616" s="62"/>
      <c r="AO616" s="62"/>
      <c r="AP616" s="62"/>
      <c r="AQ616" s="62"/>
      <c r="AR616" s="62"/>
      <c r="AS616" s="62"/>
      <c r="AT616" s="62"/>
      <c r="AU616" s="62"/>
      <c r="AV616" s="62"/>
      <c r="AW616" s="62"/>
      <c r="AX616" s="62"/>
    </row>
    <row r="617" spans="1:50" ht="14.25" customHeight="1" x14ac:dyDescent="0.3">
      <c r="A617" s="58"/>
      <c r="B617" s="58"/>
      <c r="C617" s="58"/>
      <c r="D617" s="58"/>
      <c r="E617" s="58"/>
      <c r="F617" s="58"/>
      <c r="G617" s="59"/>
      <c r="H617" s="60"/>
      <c r="I617" s="60"/>
      <c r="J617" s="59"/>
      <c r="K617" s="61"/>
      <c r="M617" s="62"/>
      <c r="N617" s="62"/>
      <c r="O617" s="62"/>
      <c r="P617" s="62"/>
      <c r="Q617" s="62"/>
      <c r="R617" s="62"/>
      <c r="S617" s="62"/>
      <c r="T617" s="62"/>
      <c r="U617" s="62"/>
      <c r="V617" s="62"/>
      <c r="W617" s="62"/>
      <c r="X617" s="62"/>
      <c r="Y617" s="62"/>
      <c r="Z617" s="62"/>
      <c r="AA617" s="62"/>
      <c r="AB617" s="62"/>
      <c r="AC617" s="62"/>
      <c r="AD617" s="62"/>
      <c r="AE617" s="62"/>
      <c r="AF617" s="62"/>
      <c r="AG617" s="62"/>
      <c r="AH617" s="62"/>
      <c r="AI617" s="62"/>
      <c r="AJ617" s="62"/>
      <c r="AK617" s="62"/>
      <c r="AL617" s="62"/>
      <c r="AM617" s="62"/>
      <c r="AN617" s="62"/>
      <c r="AO617" s="62"/>
      <c r="AP617" s="62"/>
      <c r="AQ617" s="62"/>
      <c r="AR617" s="62"/>
      <c r="AS617" s="62"/>
      <c r="AT617" s="62"/>
      <c r="AU617" s="62"/>
      <c r="AV617" s="62"/>
      <c r="AW617" s="62"/>
      <c r="AX617" s="62"/>
    </row>
    <row r="618" spans="1:50" ht="14.25" customHeight="1" x14ac:dyDescent="0.3">
      <c r="A618" s="58"/>
      <c r="B618" s="58"/>
      <c r="C618" s="58"/>
      <c r="D618" s="58"/>
      <c r="E618" s="58"/>
      <c r="F618" s="58"/>
      <c r="G618" s="59"/>
      <c r="H618" s="60"/>
      <c r="I618" s="60"/>
      <c r="J618" s="59"/>
      <c r="K618" s="61"/>
      <c r="M618" s="62"/>
      <c r="N618" s="62"/>
      <c r="O618" s="62"/>
      <c r="P618" s="62"/>
      <c r="Q618" s="62"/>
      <c r="R618" s="62"/>
      <c r="S618" s="62"/>
      <c r="T618" s="62"/>
      <c r="U618" s="62"/>
      <c r="V618" s="62"/>
      <c r="W618" s="62"/>
      <c r="X618" s="62"/>
      <c r="Y618" s="62"/>
      <c r="Z618" s="62"/>
      <c r="AA618" s="62"/>
      <c r="AB618" s="62"/>
      <c r="AC618" s="62"/>
      <c r="AD618" s="62"/>
      <c r="AE618" s="62"/>
      <c r="AF618" s="62"/>
      <c r="AG618" s="62"/>
      <c r="AH618" s="62"/>
      <c r="AI618" s="62"/>
      <c r="AJ618" s="62"/>
      <c r="AK618" s="62"/>
      <c r="AL618" s="62"/>
      <c r="AM618" s="62"/>
      <c r="AN618" s="62"/>
      <c r="AO618" s="62"/>
      <c r="AP618" s="62"/>
      <c r="AQ618" s="62"/>
      <c r="AR618" s="62"/>
      <c r="AS618" s="62"/>
      <c r="AT618" s="62"/>
      <c r="AU618" s="62"/>
      <c r="AV618" s="62"/>
      <c r="AW618" s="62"/>
      <c r="AX618" s="62"/>
    </row>
    <row r="619" spans="1:50" ht="14.25" customHeight="1" x14ac:dyDescent="0.3">
      <c r="A619" s="58"/>
      <c r="B619" s="58"/>
      <c r="C619" s="58"/>
      <c r="D619" s="58"/>
      <c r="E619" s="58"/>
      <c r="F619" s="58"/>
      <c r="G619" s="59"/>
      <c r="H619" s="60"/>
      <c r="I619" s="60"/>
      <c r="J619" s="59"/>
      <c r="K619" s="61"/>
      <c r="M619" s="62"/>
      <c r="N619" s="62"/>
      <c r="O619" s="62"/>
      <c r="P619" s="62"/>
      <c r="Q619" s="62"/>
      <c r="R619" s="62"/>
      <c r="S619" s="62"/>
      <c r="T619" s="62"/>
      <c r="U619" s="62"/>
      <c r="V619" s="62"/>
      <c r="W619" s="62"/>
      <c r="X619" s="62"/>
      <c r="Y619" s="62"/>
      <c r="Z619" s="62"/>
      <c r="AA619" s="62"/>
      <c r="AB619" s="62"/>
      <c r="AC619" s="62"/>
      <c r="AD619" s="62"/>
      <c r="AE619" s="62"/>
      <c r="AF619" s="62"/>
      <c r="AG619" s="62"/>
      <c r="AH619" s="62"/>
      <c r="AI619" s="62"/>
      <c r="AJ619" s="62"/>
      <c r="AK619" s="62"/>
      <c r="AL619" s="62"/>
      <c r="AM619" s="62"/>
      <c r="AN619" s="62"/>
      <c r="AO619" s="62"/>
      <c r="AP619" s="62"/>
      <c r="AQ619" s="62"/>
      <c r="AR619" s="62"/>
      <c r="AS619" s="62"/>
      <c r="AT619" s="62"/>
      <c r="AU619" s="62"/>
      <c r="AV619" s="62"/>
      <c r="AW619" s="62"/>
      <c r="AX619" s="62"/>
    </row>
    <row r="620" spans="1:50" ht="14.25" customHeight="1" x14ac:dyDescent="0.3">
      <c r="A620" s="58"/>
      <c r="B620" s="58"/>
      <c r="C620" s="58"/>
      <c r="D620" s="58"/>
      <c r="E620" s="58"/>
      <c r="F620" s="58"/>
      <c r="G620" s="59"/>
      <c r="H620" s="60"/>
      <c r="I620" s="60"/>
      <c r="J620" s="59"/>
      <c r="K620" s="61"/>
      <c r="M620" s="62"/>
      <c r="N620" s="62"/>
      <c r="O620" s="62"/>
      <c r="P620" s="62"/>
      <c r="Q620" s="62"/>
      <c r="R620" s="62"/>
      <c r="S620" s="62"/>
      <c r="T620" s="62"/>
      <c r="U620" s="62"/>
      <c r="V620" s="62"/>
      <c r="W620" s="62"/>
      <c r="X620" s="62"/>
      <c r="Y620" s="62"/>
      <c r="Z620" s="62"/>
      <c r="AA620" s="62"/>
      <c r="AB620" s="62"/>
      <c r="AC620" s="62"/>
      <c r="AD620" s="62"/>
      <c r="AE620" s="62"/>
      <c r="AF620" s="62"/>
      <c r="AG620" s="62"/>
      <c r="AH620" s="62"/>
      <c r="AI620" s="62"/>
      <c r="AJ620" s="62"/>
      <c r="AK620" s="62"/>
      <c r="AL620" s="62"/>
      <c r="AM620" s="62"/>
      <c r="AN620" s="62"/>
      <c r="AO620" s="62"/>
      <c r="AP620" s="62"/>
      <c r="AQ620" s="62"/>
      <c r="AR620" s="62"/>
      <c r="AS620" s="62"/>
      <c r="AT620" s="62"/>
      <c r="AU620" s="62"/>
      <c r="AV620" s="62"/>
      <c r="AW620" s="62"/>
      <c r="AX620" s="62"/>
    </row>
    <row r="621" spans="1:50" ht="14.25" customHeight="1" x14ac:dyDescent="0.3">
      <c r="A621" s="58"/>
      <c r="B621" s="58"/>
      <c r="C621" s="58"/>
      <c r="D621" s="58"/>
      <c r="E621" s="58"/>
      <c r="F621" s="58"/>
      <c r="G621" s="59"/>
      <c r="H621" s="60"/>
      <c r="I621" s="60"/>
      <c r="J621" s="59"/>
      <c r="K621" s="61"/>
      <c r="M621" s="62"/>
      <c r="N621" s="62"/>
      <c r="O621" s="62"/>
      <c r="P621" s="62"/>
      <c r="Q621" s="62"/>
      <c r="R621" s="62"/>
      <c r="S621" s="62"/>
      <c r="T621" s="62"/>
      <c r="U621" s="62"/>
      <c r="V621" s="62"/>
      <c r="W621" s="62"/>
      <c r="X621" s="62"/>
      <c r="Y621" s="62"/>
      <c r="Z621" s="62"/>
      <c r="AA621" s="62"/>
      <c r="AB621" s="62"/>
      <c r="AC621" s="62"/>
      <c r="AD621" s="62"/>
      <c r="AE621" s="62"/>
      <c r="AF621" s="62"/>
      <c r="AG621" s="62"/>
      <c r="AH621" s="62"/>
      <c r="AI621" s="62"/>
      <c r="AJ621" s="62"/>
      <c r="AK621" s="62"/>
      <c r="AL621" s="62"/>
      <c r="AM621" s="62"/>
      <c r="AN621" s="62"/>
      <c r="AO621" s="62"/>
      <c r="AP621" s="62"/>
      <c r="AQ621" s="62"/>
      <c r="AR621" s="62"/>
      <c r="AS621" s="62"/>
      <c r="AT621" s="62"/>
      <c r="AU621" s="62"/>
      <c r="AV621" s="62"/>
      <c r="AW621" s="62"/>
      <c r="AX621" s="62"/>
    </row>
    <row r="622" spans="1:50" ht="14.25" customHeight="1" x14ac:dyDescent="0.3">
      <c r="A622" s="58"/>
      <c r="B622" s="58"/>
      <c r="C622" s="58"/>
      <c r="D622" s="58"/>
      <c r="E622" s="58"/>
      <c r="F622" s="58"/>
      <c r="G622" s="59"/>
      <c r="H622" s="60"/>
      <c r="I622" s="60"/>
      <c r="J622" s="59"/>
      <c r="K622" s="61"/>
      <c r="M622" s="62"/>
      <c r="N622" s="62"/>
      <c r="O622" s="62"/>
      <c r="P622" s="62"/>
      <c r="Q622" s="62"/>
      <c r="R622" s="62"/>
      <c r="S622" s="62"/>
      <c r="T622" s="62"/>
      <c r="U622" s="62"/>
      <c r="V622" s="62"/>
      <c r="W622" s="62"/>
      <c r="X622" s="62"/>
      <c r="Y622" s="62"/>
      <c r="Z622" s="62"/>
      <c r="AA622" s="62"/>
      <c r="AB622" s="62"/>
      <c r="AC622" s="62"/>
      <c r="AD622" s="62"/>
      <c r="AE622" s="62"/>
      <c r="AF622" s="62"/>
      <c r="AG622" s="62"/>
      <c r="AH622" s="62"/>
      <c r="AI622" s="62"/>
      <c r="AJ622" s="62"/>
      <c r="AK622" s="62"/>
      <c r="AL622" s="62"/>
      <c r="AM622" s="62"/>
      <c r="AN622" s="62"/>
      <c r="AO622" s="62"/>
      <c r="AP622" s="62"/>
      <c r="AQ622" s="62"/>
      <c r="AR622" s="62"/>
      <c r="AS622" s="62"/>
      <c r="AT622" s="62"/>
      <c r="AU622" s="62"/>
      <c r="AV622" s="62"/>
      <c r="AW622" s="62"/>
      <c r="AX622" s="62"/>
    </row>
    <row r="623" spans="1:50" ht="14.25" customHeight="1" x14ac:dyDescent="0.3">
      <c r="A623" s="58"/>
      <c r="B623" s="58"/>
      <c r="C623" s="58"/>
      <c r="D623" s="58"/>
      <c r="E623" s="58"/>
      <c r="F623" s="58"/>
      <c r="G623" s="59"/>
      <c r="H623" s="60"/>
      <c r="I623" s="60"/>
      <c r="J623" s="59"/>
      <c r="K623" s="61"/>
      <c r="M623" s="62"/>
      <c r="N623" s="62"/>
      <c r="O623" s="62"/>
      <c r="P623" s="62"/>
      <c r="Q623" s="62"/>
      <c r="R623" s="62"/>
      <c r="S623" s="62"/>
      <c r="T623" s="62"/>
      <c r="U623" s="62"/>
      <c r="V623" s="62"/>
      <c r="W623" s="62"/>
      <c r="X623" s="62"/>
      <c r="Y623" s="62"/>
      <c r="Z623" s="62"/>
      <c r="AA623" s="62"/>
      <c r="AB623" s="62"/>
      <c r="AC623" s="62"/>
      <c r="AD623" s="62"/>
      <c r="AE623" s="62"/>
      <c r="AF623" s="62"/>
      <c r="AG623" s="62"/>
      <c r="AH623" s="62"/>
      <c r="AI623" s="62"/>
      <c r="AJ623" s="62"/>
      <c r="AK623" s="62"/>
      <c r="AL623" s="62"/>
      <c r="AM623" s="62"/>
      <c r="AN623" s="62"/>
      <c r="AO623" s="62"/>
      <c r="AP623" s="62"/>
      <c r="AQ623" s="62"/>
      <c r="AR623" s="62"/>
      <c r="AS623" s="62"/>
      <c r="AT623" s="62"/>
      <c r="AU623" s="62"/>
      <c r="AV623" s="62"/>
      <c r="AW623" s="62"/>
      <c r="AX623" s="62"/>
    </row>
    <row r="624" spans="1:50" ht="14.25" customHeight="1" x14ac:dyDescent="0.3">
      <c r="A624" s="58"/>
      <c r="B624" s="58"/>
      <c r="C624" s="58"/>
      <c r="D624" s="58"/>
      <c r="E624" s="58"/>
      <c r="F624" s="58"/>
      <c r="G624" s="59"/>
      <c r="H624" s="60"/>
      <c r="I624" s="60"/>
      <c r="J624" s="59"/>
      <c r="K624" s="61"/>
      <c r="M624" s="62"/>
      <c r="N624" s="62"/>
      <c r="O624" s="62"/>
      <c r="P624" s="62"/>
      <c r="Q624" s="62"/>
      <c r="R624" s="62"/>
      <c r="S624" s="62"/>
      <c r="T624" s="62"/>
      <c r="U624" s="62"/>
      <c r="V624" s="62"/>
      <c r="W624" s="62"/>
      <c r="X624" s="62"/>
      <c r="Y624" s="62"/>
      <c r="Z624" s="62"/>
      <c r="AA624" s="62"/>
      <c r="AB624" s="62"/>
      <c r="AC624" s="62"/>
      <c r="AD624" s="62"/>
      <c r="AE624" s="62"/>
      <c r="AF624" s="62"/>
      <c r="AG624" s="62"/>
      <c r="AH624" s="62"/>
      <c r="AI624" s="62"/>
      <c r="AJ624" s="62"/>
      <c r="AK624" s="62"/>
      <c r="AL624" s="62"/>
      <c r="AM624" s="62"/>
      <c r="AN624" s="62"/>
      <c r="AO624" s="62"/>
      <c r="AP624" s="62"/>
      <c r="AQ624" s="62"/>
      <c r="AR624" s="62"/>
      <c r="AS624" s="62"/>
      <c r="AT624" s="62"/>
      <c r="AU624" s="62"/>
      <c r="AV624" s="62"/>
      <c r="AW624" s="62"/>
      <c r="AX624" s="62"/>
    </row>
    <row r="625" spans="1:50" ht="14.25" customHeight="1" x14ac:dyDescent="0.3">
      <c r="A625" s="58"/>
      <c r="B625" s="58"/>
      <c r="C625" s="58"/>
      <c r="D625" s="58"/>
      <c r="E625" s="58"/>
      <c r="F625" s="58"/>
      <c r="G625" s="59"/>
      <c r="H625" s="60"/>
      <c r="I625" s="60"/>
      <c r="J625" s="59"/>
      <c r="K625" s="61"/>
      <c r="M625" s="62"/>
      <c r="N625" s="62"/>
      <c r="O625" s="62"/>
      <c r="P625" s="62"/>
      <c r="Q625" s="62"/>
      <c r="R625" s="62"/>
      <c r="S625" s="62"/>
      <c r="T625" s="62"/>
      <c r="U625" s="62"/>
      <c r="V625" s="62"/>
      <c r="W625" s="62"/>
      <c r="X625" s="62"/>
      <c r="Y625" s="62"/>
      <c r="Z625" s="62"/>
      <c r="AA625" s="62"/>
      <c r="AB625" s="62"/>
      <c r="AC625" s="62"/>
      <c r="AD625" s="62"/>
      <c r="AE625" s="62"/>
      <c r="AF625" s="62"/>
      <c r="AG625" s="62"/>
      <c r="AH625" s="62"/>
      <c r="AI625" s="62"/>
      <c r="AJ625" s="62"/>
      <c r="AK625" s="62"/>
      <c r="AL625" s="62"/>
      <c r="AM625" s="62"/>
      <c r="AN625" s="62"/>
      <c r="AO625" s="62"/>
      <c r="AP625" s="62"/>
      <c r="AQ625" s="62"/>
      <c r="AR625" s="62"/>
      <c r="AS625" s="62"/>
      <c r="AT625" s="62"/>
      <c r="AU625" s="62"/>
      <c r="AV625" s="62"/>
      <c r="AW625" s="62"/>
      <c r="AX625" s="62"/>
    </row>
    <row r="626" spans="1:50" ht="14.25" customHeight="1" x14ac:dyDescent="0.3">
      <c r="A626" s="58"/>
      <c r="B626" s="58"/>
      <c r="C626" s="58"/>
      <c r="D626" s="58"/>
      <c r="E626" s="58"/>
      <c r="F626" s="58"/>
      <c r="G626" s="59"/>
      <c r="H626" s="60"/>
      <c r="I626" s="60"/>
      <c r="J626" s="59"/>
      <c r="K626" s="61"/>
      <c r="M626" s="62"/>
      <c r="N626" s="62"/>
      <c r="O626" s="62"/>
      <c r="P626" s="62"/>
      <c r="Q626" s="62"/>
      <c r="R626" s="62"/>
      <c r="S626" s="62"/>
      <c r="T626" s="62"/>
      <c r="U626" s="62"/>
      <c r="V626" s="62"/>
      <c r="W626" s="62"/>
      <c r="X626" s="62"/>
      <c r="Y626" s="62"/>
      <c r="Z626" s="62"/>
      <c r="AA626" s="62"/>
      <c r="AB626" s="62"/>
      <c r="AC626" s="62"/>
      <c r="AD626" s="62"/>
      <c r="AE626" s="62"/>
      <c r="AF626" s="62"/>
      <c r="AG626" s="62"/>
      <c r="AH626" s="62"/>
      <c r="AI626" s="62"/>
      <c r="AJ626" s="62"/>
      <c r="AK626" s="62"/>
      <c r="AL626" s="62"/>
      <c r="AM626" s="62"/>
      <c r="AN626" s="62"/>
      <c r="AO626" s="62"/>
      <c r="AP626" s="62"/>
      <c r="AQ626" s="62"/>
      <c r="AR626" s="62"/>
      <c r="AS626" s="62"/>
      <c r="AT626" s="62"/>
      <c r="AU626" s="62"/>
      <c r="AV626" s="62"/>
      <c r="AW626" s="62"/>
      <c r="AX626" s="62"/>
    </row>
    <row r="627" spans="1:50" ht="14.25" customHeight="1" x14ac:dyDescent="0.3">
      <c r="A627" s="58"/>
      <c r="B627" s="58"/>
      <c r="C627" s="58"/>
      <c r="D627" s="58"/>
      <c r="E627" s="58"/>
      <c r="F627" s="58"/>
      <c r="G627" s="59"/>
      <c r="H627" s="60"/>
      <c r="I627" s="60"/>
      <c r="J627" s="59"/>
      <c r="K627" s="61"/>
      <c r="M627" s="62"/>
      <c r="N627" s="62"/>
      <c r="O627" s="62"/>
      <c r="P627" s="62"/>
      <c r="Q627" s="62"/>
      <c r="R627" s="62"/>
      <c r="S627" s="62"/>
      <c r="T627" s="62"/>
      <c r="U627" s="62"/>
      <c r="V627" s="62"/>
      <c r="W627" s="62"/>
      <c r="X627" s="62"/>
      <c r="Y627" s="62"/>
      <c r="Z627" s="62"/>
      <c r="AA627" s="62"/>
      <c r="AB627" s="62"/>
      <c r="AC627" s="62"/>
      <c r="AD627" s="62"/>
      <c r="AE627" s="62"/>
      <c r="AF627" s="62"/>
      <c r="AG627" s="62"/>
      <c r="AH627" s="62"/>
      <c r="AI627" s="62"/>
      <c r="AJ627" s="62"/>
      <c r="AK627" s="62"/>
      <c r="AL627" s="62"/>
      <c r="AM627" s="62"/>
      <c r="AN627" s="62"/>
      <c r="AO627" s="62"/>
      <c r="AP627" s="62"/>
      <c r="AQ627" s="62"/>
      <c r="AR627" s="62"/>
      <c r="AS627" s="62"/>
      <c r="AT627" s="62"/>
      <c r="AU627" s="62"/>
      <c r="AV627" s="62"/>
      <c r="AW627" s="62"/>
      <c r="AX627" s="62"/>
    </row>
    <row r="628" spans="1:50" ht="14.25" customHeight="1" x14ac:dyDescent="0.3">
      <c r="A628" s="58"/>
      <c r="B628" s="58"/>
      <c r="C628" s="58"/>
      <c r="D628" s="58"/>
      <c r="E628" s="58"/>
      <c r="F628" s="58"/>
      <c r="G628" s="59"/>
      <c r="H628" s="60"/>
      <c r="I628" s="60"/>
      <c r="J628" s="59"/>
      <c r="K628" s="61"/>
      <c r="M628" s="62"/>
      <c r="N628" s="62"/>
      <c r="O628" s="62"/>
      <c r="P628" s="62"/>
      <c r="Q628" s="62"/>
      <c r="R628" s="62"/>
      <c r="S628" s="62"/>
      <c r="T628" s="62"/>
      <c r="U628" s="62"/>
      <c r="V628" s="62"/>
      <c r="W628" s="62"/>
      <c r="X628" s="62"/>
      <c r="Y628" s="62"/>
      <c r="Z628" s="62"/>
      <c r="AA628" s="62"/>
      <c r="AB628" s="62"/>
      <c r="AC628" s="62"/>
      <c r="AD628" s="62"/>
      <c r="AE628" s="62"/>
      <c r="AF628" s="62"/>
      <c r="AG628" s="62"/>
      <c r="AH628" s="62"/>
      <c r="AI628" s="62"/>
      <c r="AJ628" s="62"/>
      <c r="AK628" s="62"/>
      <c r="AL628" s="62"/>
      <c r="AM628" s="62"/>
      <c r="AN628" s="62"/>
      <c r="AO628" s="62"/>
      <c r="AP628" s="62"/>
      <c r="AQ628" s="62"/>
      <c r="AR628" s="62"/>
      <c r="AS628" s="62"/>
      <c r="AT628" s="62"/>
      <c r="AU628" s="62"/>
      <c r="AV628" s="62"/>
      <c r="AW628" s="62"/>
      <c r="AX628" s="62"/>
    </row>
    <row r="629" spans="1:50" ht="14.25" customHeight="1" x14ac:dyDescent="0.3">
      <c r="A629" s="58"/>
      <c r="B629" s="58"/>
      <c r="C629" s="58"/>
      <c r="D629" s="58"/>
      <c r="E629" s="58"/>
      <c r="F629" s="58"/>
      <c r="G629" s="59"/>
      <c r="H629" s="60"/>
      <c r="I629" s="60"/>
      <c r="J629" s="59"/>
      <c r="K629" s="61"/>
      <c r="M629" s="62"/>
      <c r="N629" s="62"/>
      <c r="O629" s="62"/>
      <c r="P629" s="62"/>
      <c r="Q629" s="62"/>
      <c r="R629" s="62"/>
      <c r="S629" s="62"/>
      <c r="T629" s="62"/>
      <c r="U629" s="62"/>
      <c r="V629" s="62"/>
      <c r="W629" s="62"/>
      <c r="X629" s="62"/>
      <c r="Y629" s="62"/>
      <c r="Z629" s="62"/>
      <c r="AA629" s="62"/>
      <c r="AB629" s="62"/>
      <c r="AC629" s="62"/>
      <c r="AD629" s="62"/>
      <c r="AE629" s="62"/>
      <c r="AF629" s="62"/>
      <c r="AG629" s="62"/>
      <c r="AH629" s="62"/>
      <c r="AI629" s="62"/>
      <c r="AJ629" s="62"/>
      <c r="AK629" s="62"/>
      <c r="AL629" s="62"/>
      <c r="AM629" s="62"/>
      <c r="AN629" s="62"/>
      <c r="AO629" s="62"/>
      <c r="AP629" s="62"/>
      <c r="AQ629" s="62"/>
      <c r="AR629" s="62"/>
      <c r="AS629" s="62"/>
      <c r="AT629" s="62"/>
      <c r="AU629" s="62"/>
      <c r="AV629" s="62"/>
      <c r="AW629" s="62"/>
      <c r="AX629" s="62"/>
    </row>
    <row r="630" spans="1:50" ht="14.25" customHeight="1" x14ac:dyDescent="0.3">
      <c r="A630" s="58"/>
      <c r="B630" s="58"/>
      <c r="C630" s="58"/>
      <c r="D630" s="58"/>
      <c r="E630" s="58"/>
      <c r="F630" s="58"/>
      <c r="G630" s="59"/>
      <c r="H630" s="60"/>
      <c r="I630" s="60"/>
      <c r="J630" s="59"/>
      <c r="K630" s="61"/>
      <c r="M630" s="62"/>
      <c r="N630" s="62"/>
      <c r="O630" s="62"/>
      <c r="P630" s="62"/>
      <c r="Q630" s="62"/>
      <c r="R630" s="62"/>
      <c r="S630" s="62"/>
      <c r="T630" s="62"/>
      <c r="U630" s="62"/>
      <c r="V630" s="62"/>
      <c r="W630" s="62"/>
      <c r="X630" s="62"/>
      <c r="Y630" s="62"/>
      <c r="Z630" s="62"/>
      <c r="AA630" s="62"/>
      <c r="AB630" s="62"/>
      <c r="AC630" s="62"/>
      <c r="AD630" s="62"/>
      <c r="AE630" s="62"/>
      <c r="AF630" s="62"/>
      <c r="AG630" s="62"/>
      <c r="AH630" s="62"/>
      <c r="AI630" s="62"/>
      <c r="AJ630" s="62"/>
      <c r="AK630" s="62"/>
      <c r="AL630" s="62"/>
      <c r="AM630" s="62"/>
      <c r="AN630" s="62"/>
      <c r="AO630" s="62"/>
      <c r="AP630" s="62"/>
      <c r="AQ630" s="62"/>
      <c r="AR630" s="62"/>
      <c r="AS630" s="62"/>
      <c r="AT630" s="62"/>
      <c r="AU630" s="62"/>
      <c r="AV630" s="62"/>
      <c r="AW630" s="62"/>
      <c r="AX630" s="62"/>
    </row>
    <row r="631" spans="1:50" ht="14.25" customHeight="1" x14ac:dyDescent="0.3">
      <c r="A631" s="58"/>
      <c r="B631" s="58"/>
      <c r="C631" s="58"/>
      <c r="D631" s="58"/>
      <c r="E631" s="58"/>
      <c r="F631" s="58"/>
      <c r="G631" s="59"/>
      <c r="H631" s="60"/>
      <c r="I631" s="60"/>
      <c r="J631" s="59"/>
      <c r="K631" s="61"/>
      <c r="M631" s="62"/>
      <c r="N631" s="62"/>
      <c r="O631" s="62"/>
      <c r="P631" s="62"/>
      <c r="Q631" s="62"/>
      <c r="R631" s="62"/>
      <c r="S631" s="62"/>
      <c r="T631" s="62"/>
      <c r="U631" s="62"/>
      <c r="V631" s="62"/>
      <c r="W631" s="62"/>
      <c r="X631" s="62"/>
      <c r="Y631" s="62"/>
      <c r="Z631" s="62"/>
      <c r="AA631" s="62"/>
      <c r="AB631" s="62"/>
      <c r="AC631" s="62"/>
      <c r="AD631" s="62"/>
      <c r="AE631" s="62"/>
      <c r="AF631" s="62"/>
      <c r="AG631" s="62"/>
      <c r="AH631" s="62"/>
      <c r="AI631" s="62"/>
      <c r="AJ631" s="62"/>
      <c r="AK631" s="62"/>
      <c r="AL631" s="62"/>
      <c r="AM631" s="62"/>
      <c r="AN631" s="62"/>
      <c r="AO631" s="62"/>
      <c r="AP631" s="62"/>
      <c r="AQ631" s="62"/>
      <c r="AR631" s="62"/>
      <c r="AS631" s="62"/>
      <c r="AT631" s="62"/>
      <c r="AU631" s="62"/>
      <c r="AV631" s="62"/>
      <c r="AW631" s="62"/>
      <c r="AX631" s="62"/>
    </row>
    <row r="632" spans="1:50" ht="14.25" customHeight="1" x14ac:dyDescent="0.3">
      <c r="A632" s="58"/>
      <c r="B632" s="58"/>
      <c r="C632" s="58"/>
      <c r="D632" s="58"/>
      <c r="E632" s="58"/>
      <c r="F632" s="58"/>
      <c r="G632" s="59"/>
      <c r="H632" s="60"/>
      <c r="I632" s="60"/>
      <c r="J632" s="59"/>
      <c r="K632" s="61"/>
      <c r="M632" s="62"/>
      <c r="N632" s="62"/>
      <c r="O632" s="62"/>
      <c r="P632" s="62"/>
      <c r="Q632" s="62"/>
      <c r="R632" s="62"/>
      <c r="S632" s="62"/>
      <c r="T632" s="62"/>
      <c r="U632" s="62"/>
      <c r="V632" s="62"/>
      <c r="W632" s="62"/>
      <c r="X632" s="62"/>
      <c r="Y632" s="62"/>
      <c r="Z632" s="62"/>
      <c r="AA632" s="62"/>
      <c r="AB632" s="62"/>
      <c r="AC632" s="62"/>
      <c r="AD632" s="62"/>
      <c r="AE632" s="62"/>
      <c r="AF632" s="62"/>
      <c r="AG632" s="62"/>
      <c r="AH632" s="62"/>
      <c r="AI632" s="62"/>
      <c r="AJ632" s="62"/>
      <c r="AK632" s="62"/>
      <c r="AL632" s="62"/>
      <c r="AM632" s="62"/>
      <c r="AN632" s="62"/>
      <c r="AO632" s="62"/>
      <c r="AP632" s="62"/>
      <c r="AQ632" s="62"/>
      <c r="AR632" s="62"/>
      <c r="AS632" s="62"/>
      <c r="AT632" s="62"/>
      <c r="AU632" s="62"/>
      <c r="AV632" s="62"/>
      <c r="AW632" s="62"/>
      <c r="AX632" s="62"/>
    </row>
    <row r="633" spans="1:50" ht="14.25" customHeight="1" x14ac:dyDescent="0.3">
      <c r="A633" s="58"/>
      <c r="B633" s="58"/>
      <c r="C633" s="58"/>
      <c r="D633" s="58"/>
      <c r="E633" s="58"/>
      <c r="F633" s="58"/>
      <c r="G633" s="59"/>
      <c r="H633" s="60"/>
      <c r="I633" s="60"/>
      <c r="J633" s="59"/>
      <c r="K633" s="61"/>
      <c r="M633" s="62"/>
      <c r="N633" s="62"/>
      <c r="O633" s="62"/>
      <c r="P633" s="62"/>
      <c r="Q633" s="62"/>
      <c r="R633" s="62"/>
      <c r="S633" s="62"/>
      <c r="T633" s="62"/>
      <c r="U633" s="62"/>
      <c r="V633" s="62"/>
      <c r="W633" s="62"/>
      <c r="X633" s="62"/>
      <c r="Y633" s="62"/>
      <c r="Z633" s="62"/>
      <c r="AA633" s="62"/>
      <c r="AB633" s="62"/>
      <c r="AC633" s="62"/>
      <c r="AD633" s="62"/>
      <c r="AE633" s="62"/>
      <c r="AF633" s="62"/>
      <c r="AG633" s="62"/>
      <c r="AH633" s="62"/>
      <c r="AI633" s="62"/>
      <c r="AJ633" s="62"/>
      <c r="AK633" s="62"/>
      <c r="AL633" s="62"/>
      <c r="AM633" s="62"/>
      <c r="AN633" s="62"/>
      <c r="AO633" s="62"/>
      <c r="AP633" s="62"/>
      <c r="AQ633" s="62"/>
      <c r="AR633" s="62"/>
      <c r="AS633" s="62"/>
      <c r="AT633" s="62"/>
      <c r="AU633" s="62"/>
      <c r="AV633" s="62"/>
      <c r="AW633" s="62"/>
      <c r="AX633" s="62"/>
    </row>
    <row r="634" spans="1:50" ht="14.25" customHeight="1" x14ac:dyDescent="0.3">
      <c r="A634" s="58"/>
      <c r="B634" s="58"/>
      <c r="C634" s="58"/>
      <c r="D634" s="58"/>
      <c r="E634" s="58"/>
      <c r="F634" s="58"/>
      <c r="G634" s="59"/>
      <c r="H634" s="60"/>
      <c r="I634" s="60"/>
      <c r="J634" s="59"/>
      <c r="K634" s="61"/>
      <c r="M634" s="62"/>
      <c r="N634" s="62"/>
      <c r="O634" s="62"/>
      <c r="P634" s="62"/>
      <c r="Q634" s="62"/>
      <c r="R634" s="62"/>
      <c r="S634" s="62"/>
      <c r="T634" s="62"/>
      <c r="U634" s="62"/>
      <c r="V634" s="62"/>
      <c r="W634" s="62"/>
      <c r="X634" s="62"/>
      <c r="Y634" s="62"/>
      <c r="Z634" s="62"/>
      <c r="AA634" s="62"/>
      <c r="AB634" s="62"/>
      <c r="AC634" s="62"/>
      <c r="AD634" s="62"/>
      <c r="AE634" s="62"/>
      <c r="AF634" s="62"/>
      <c r="AG634" s="62"/>
      <c r="AH634" s="62"/>
      <c r="AI634" s="62"/>
      <c r="AJ634" s="62"/>
      <c r="AK634" s="62"/>
      <c r="AL634" s="62"/>
      <c r="AM634" s="62"/>
      <c r="AN634" s="62"/>
      <c r="AO634" s="62"/>
      <c r="AP634" s="62"/>
      <c r="AQ634" s="62"/>
      <c r="AR634" s="62"/>
      <c r="AS634" s="62"/>
      <c r="AT634" s="62"/>
      <c r="AU634" s="62"/>
      <c r="AV634" s="62"/>
      <c r="AW634" s="62"/>
      <c r="AX634" s="62"/>
    </row>
    <row r="635" spans="1:50" ht="14.25" customHeight="1" x14ac:dyDescent="0.3">
      <c r="A635" s="58"/>
      <c r="B635" s="58"/>
      <c r="C635" s="58"/>
      <c r="D635" s="58"/>
      <c r="E635" s="58"/>
      <c r="F635" s="58"/>
      <c r="G635" s="59"/>
      <c r="H635" s="60"/>
      <c r="I635" s="60"/>
      <c r="J635" s="59"/>
      <c r="K635" s="61"/>
      <c r="M635" s="62"/>
      <c r="N635" s="62"/>
      <c r="O635" s="62"/>
      <c r="P635" s="62"/>
      <c r="Q635" s="62"/>
      <c r="R635" s="62"/>
      <c r="S635" s="62"/>
      <c r="T635" s="62"/>
      <c r="U635" s="62"/>
      <c r="V635" s="62"/>
      <c r="W635" s="62"/>
      <c r="X635" s="62"/>
      <c r="Y635" s="62"/>
      <c r="Z635" s="62"/>
      <c r="AA635" s="62"/>
      <c r="AB635" s="62"/>
      <c r="AC635" s="62"/>
      <c r="AD635" s="62"/>
      <c r="AE635" s="62"/>
      <c r="AF635" s="62"/>
      <c r="AG635" s="62"/>
      <c r="AH635" s="62"/>
      <c r="AI635" s="62"/>
      <c r="AJ635" s="62"/>
      <c r="AK635" s="62"/>
      <c r="AL635" s="62"/>
      <c r="AM635" s="62"/>
      <c r="AN635" s="62"/>
      <c r="AO635" s="62"/>
      <c r="AP635" s="62"/>
      <c r="AQ635" s="62"/>
      <c r="AR635" s="62"/>
      <c r="AS635" s="62"/>
      <c r="AT635" s="62"/>
      <c r="AU635" s="62"/>
      <c r="AV635" s="62"/>
      <c r="AW635" s="62"/>
      <c r="AX635" s="62"/>
    </row>
    <row r="636" spans="1:50" ht="14.25" customHeight="1" x14ac:dyDescent="0.3">
      <c r="A636" s="58"/>
      <c r="B636" s="58"/>
      <c r="C636" s="58"/>
      <c r="D636" s="58"/>
      <c r="E636" s="58"/>
      <c r="F636" s="58"/>
      <c r="G636" s="59"/>
      <c r="H636" s="60"/>
      <c r="I636" s="60"/>
      <c r="J636" s="59"/>
      <c r="K636" s="61"/>
      <c r="M636" s="62"/>
      <c r="N636" s="62"/>
      <c r="O636" s="62"/>
      <c r="P636" s="62"/>
      <c r="Q636" s="62"/>
      <c r="R636" s="62"/>
      <c r="S636" s="62"/>
      <c r="T636" s="62"/>
      <c r="U636" s="62"/>
      <c r="V636" s="62"/>
      <c r="W636" s="62"/>
      <c r="X636" s="62"/>
      <c r="Y636" s="62"/>
      <c r="Z636" s="62"/>
      <c r="AA636" s="62"/>
      <c r="AB636" s="62"/>
      <c r="AC636" s="62"/>
      <c r="AD636" s="62"/>
      <c r="AE636" s="62"/>
      <c r="AF636" s="62"/>
      <c r="AG636" s="62"/>
      <c r="AH636" s="62"/>
      <c r="AI636" s="62"/>
      <c r="AJ636" s="62"/>
      <c r="AK636" s="62"/>
      <c r="AL636" s="62"/>
      <c r="AM636" s="62"/>
      <c r="AN636" s="62"/>
      <c r="AO636" s="62"/>
      <c r="AP636" s="62"/>
      <c r="AQ636" s="62"/>
      <c r="AR636" s="62"/>
      <c r="AS636" s="62"/>
      <c r="AT636" s="62"/>
      <c r="AU636" s="62"/>
      <c r="AV636" s="62"/>
      <c r="AW636" s="62"/>
      <c r="AX636" s="62"/>
    </row>
    <row r="637" spans="1:50" ht="14.25" customHeight="1" x14ac:dyDescent="0.3">
      <c r="A637" s="58"/>
      <c r="B637" s="58"/>
      <c r="C637" s="58"/>
      <c r="D637" s="58"/>
      <c r="E637" s="58"/>
      <c r="F637" s="58"/>
      <c r="G637" s="59"/>
      <c r="H637" s="60"/>
      <c r="I637" s="60"/>
      <c r="J637" s="59"/>
      <c r="K637" s="61"/>
      <c r="M637" s="62"/>
      <c r="N637" s="62"/>
      <c r="O637" s="62"/>
      <c r="P637" s="62"/>
      <c r="Q637" s="62"/>
      <c r="R637" s="62"/>
      <c r="S637" s="62"/>
      <c r="T637" s="62"/>
      <c r="U637" s="62"/>
      <c r="V637" s="62"/>
      <c r="W637" s="62"/>
      <c r="X637" s="62"/>
      <c r="Y637" s="62"/>
      <c r="Z637" s="62"/>
      <c r="AA637" s="62"/>
      <c r="AB637" s="62"/>
      <c r="AC637" s="62"/>
      <c r="AD637" s="62"/>
      <c r="AE637" s="62"/>
      <c r="AF637" s="62"/>
      <c r="AG637" s="62"/>
      <c r="AH637" s="62"/>
      <c r="AI637" s="62"/>
      <c r="AJ637" s="62"/>
      <c r="AK637" s="62"/>
      <c r="AL637" s="62"/>
      <c r="AM637" s="62"/>
      <c r="AN637" s="62"/>
      <c r="AO637" s="62"/>
      <c r="AP637" s="62"/>
      <c r="AQ637" s="62"/>
      <c r="AR637" s="62"/>
      <c r="AS637" s="62"/>
      <c r="AT637" s="62"/>
      <c r="AU637" s="62"/>
      <c r="AV637" s="62"/>
      <c r="AW637" s="62"/>
      <c r="AX637" s="62"/>
    </row>
    <row r="638" spans="1:50" ht="14.25" customHeight="1" x14ac:dyDescent="0.3">
      <c r="A638" s="58"/>
      <c r="B638" s="58"/>
      <c r="C638" s="58"/>
      <c r="D638" s="58"/>
      <c r="E638" s="58"/>
      <c r="F638" s="58"/>
      <c r="G638" s="59"/>
      <c r="H638" s="60"/>
      <c r="I638" s="60"/>
      <c r="J638" s="59"/>
      <c r="K638" s="61"/>
      <c r="M638" s="62"/>
      <c r="N638" s="62"/>
      <c r="O638" s="62"/>
      <c r="P638" s="62"/>
      <c r="Q638" s="62"/>
      <c r="R638" s="62"/>
      <c r="S638" s="62"/>
      <c r="T638" s="62"/>
      <c r="U638" s="62"/>
      <c r="V638" s="62"/>
      <c r="W638" s="62"/>
      <c r="X638" s="62"/>
      <c r="Y638" s="62"/>
      <c r="Z638" s="62"/>
      <c r="AA638" s="62"/>
      <c r="AB638" s="62"/>
      <c r="AC638" s="62"/>
      <c r="AD638" s="62"/>
      <c r="AE638" s="62"/>
      <c r="AF638" s="62"/>
      <c r="AG638" s="62"/>
      <c r="AH638" s="62"/>
      <c r="AI638" s="62"/>
      <c r="AJ638" s="62"/>
      <c r="AK638" s="62"/>
      <c r="AL638" s="62"/>
      <c r="AM638" s="62"/>
      <c r="AN638" s="62"/>
      <c r="AO638" s="62"/>
      <c r="AP638" s="62"/>
      <c r="AQ638" s="62"/>
      <c r="AR638" s="62"/>
      <c r="AS638" s="62"/>
      <c r="AT638" s="62"/>
      <c r="AU638" s="62"/>
      <c r="AV638" s="62"/>
      <c r="AW638" s="62"/>
      <c r="AX638" s="62"/>
    </row>
    <row r="639" spans="1:50" ht="14.25" customHeight="1" x14ac:dyDescent="0.3">
      <c r="A639" s="58"/>
      <c r="B639" s="58"/>
      <c r="C639" s="58"/>
      <c r="D639" s="58"/>
      <c r="E639" s="58"/>
      <c r="F639" s="58"/>
      <c r="G639" s="59"/>
      <c r="H639" s="60"/>
      <c r="I639" s="60"/>
      <c r="J639" s="59"/>
      <c r="K639" s="61"/>
      <c r="M639" s="62"/>
      <c r="N639" s="62"/>
      <c r="O639" s="62"/>
      <c r="P639" s="62"/>
      <c r="Q639" s="62"/>
      <c r="R639" s="62"/>
      <c r="S639" s="62"/>
      <c r="T639" s="62"/>
      <c r="U639" s="62"/>
      <c r="V639" s="62"/>
      <c r="W639" s="62"/>
      <c r="X639" s="62"/>
      <c r="Y639" s="62"/>
      <c r="Z639" s="62"/>
      <c r="AA639" s="62"/>
      <c r="AB639" s="62"/>
      <c r="AC639" s="62"/>
      <c r="AD639" s="62"/>
      <c r="AE639" s="62"/>
      <c r="AF639" s="62"/>
      <c r="AG639" s="62"/>
      <c r="AH639" s="62"/>
      <c r="AI639" s="62"/>
      <c r="AJ639" s="62"/>
      <c r="AK639" s="62"/>
      <c r="AL639" s="62"/>
      <c r="AM639" s="62"/>
      <c r="AN639" s="62"/>
      <c r="AO639" s="62"/>
      <c r="AP639" s="62"/>
      <c r="AQ639" s="62"/>
      <c r="AR639" s="62"/>
      <c r="AS639" s="62"/>
      <c r="AT639" s="62"/>
      <c r="AU639" s="62"/>
      <c r="AV639" s="62"/>
      <c r="AW639" s="62"/>
      <c r="AX639" s="62"/>
    </row>
    <row r="640" spans="1:50" ht="14.25" customHeight="1" x14ac:dyDescent="0.3">
      <c r="A640" s="58"/>
      <c r="B640" s="58"/>
      <c r="C640" s="58"/>
      <c r="D640" s="58"/>
      <c r="E640" s="58"/>
      <c r="F640" s="58"/>
      <c r="G640" s="59"/>
      <c r="H640" s="60"/>
      <c r="I640" s="60"/>
      <c r="J640" s="59"/>
      <c r="K640" s="61"/>
      <c r="M640" s="62"/>
      <c r="N640" s="62"/>
      <c r="O640" s="62"/>
      <c r="P640" s="62"/>
      <c r="Q640" s="62"/>
      <c r="R640" s="62"/>
      <c r="S640" s="62"/>
      <c r="T640" s="62"/>
      <c r="U640" s="62"/>
      <c r="V640" s="62"/>
      <c r="W640" s="62"/>
      <c r="X640" s="62"/>
      <c r="Y640" s="62"/>
      <c r="Z640" s="62"/>
      <c r="AA640" s="62"/>
      <c r="AB640" s="62"/>
      <c r="AC640" s="62"/>
      <c r="AD640" s="62"/>
      <c r="AE640" s="62"/>
      <c r="AF640" s="62"/>
      <c r="AG640" s="62"/>
      <c r="AH640" s="62"/>
      <c r="AI640" s="62"/>
      <c r="AJ640" s="62"/>
      <c r="AK640" s="62"/>
      <c r="AL640" s="62"/>
      <c r="AM640" s="62"/>
      <c r="AN640" s="62"/>
      <c r="AO640" s="62"/>
      <c r="AP640" s="62"/>
      <c r="AQ640" s="62"/>
      <c r="AR640" s="62"/>
      <c r="AS640" s="62"/>
      <c r="AT640" s="62"/>
      <c r="AU640" s="62"/>
      <c r="AV640" s="62"/>
      <c r="AW640" s="62"/>
      <c r="AX640" s="62"/>
    </row>
    <row r="641" spans="1:50" ht="14.25" customHeight="1" x14ac:dyDescent="0.3">
      <c r="A641" s="58"/>
      <c r="B641" s="58"/>
      <c r="C641" s="58"/>
      <c r="D641" s="58"/>
      <c r="E641" s="58"/>
      <c r="F641" s="58"/>
      <c r="G641" s="59"/>
      <c r="H641" s="60"/>
      <c r="I641" s="60"/>
      <c r="J641" s="59"/>
      <c r="K641" s="61"/>
      <c r="M641" s="62"/>
      <c r="N641" s="62"/>
      <c r="O641" s="62"/>
      <c r="P641" s="62"/>
      <c r="Q641" s="62"/>
      <c r="R641" s="62"/>
      <c r="S641" s="62"/>
      <c r="T641" s="62"/>
      <c r="U641" s="62"/>
      <c r="V641" s="62"/>
      <c r="W641" s="62"/>
      <c r="X641" s="62"/>
      <c r="Y641" s="62"/>
      <c r="Z641" s="62"/>
      <c r="AA641" s="62"/>
      <c r="AB641" s="62"/>
      <c r="AC641" s="62"/>
      <c r="AD641" s="62"/>
      <c r="AE641" s="62"/>
      <c r="AF641" s="62"/>
      <c r="AG641" s="62"/>
      <c r="AH641" s="62"/>
      <c r="AI641" s="62"/>
      <c r="AJ641" s="62"/>
      <c r="AK641" s="62"/>
      <c r="AL641" s="62"/>
      <c r="AM641" s="62"/>
      <c r="AN641" s="62"/>
      <c r="AO641" s="62"/>
      <c r="AP641" s="62"/>
      <c r="AQ641" s="62"/>
      <c r="AR641" s="62"/>
      <c r="AS641" s="62"/>
      <c r="AT641" s="62"/>
      <c r="AU641" s="62"/>
      <c r="AV641" s="62"/>
      <c r="AW641" s="62"/>
      <c r="AX641" s="62"/>
    </row>
    <row r="642" spans="1:50" ht="14.25" customHeight="1" x14ac:dyDescent="0.3">
      <c r="A642" s="58"/>
      <c r="B642" s="58"/>
      <c r="C642" s="58"/>
      <c r="D642" s="58"/>
      <c r="E642" s="58"/>
      <c r="F642" s="58"/>
      <c r="G642" s="59"/>
      <c r="H642" s="60"/>
      <c r="I642" s="60"/>
      <c r="J642" s="59"/>
      <c r="K642" s="61"/>
      <c r="M642" s="62"/>
      <c r="N642" s="62"/>
      <c r="O642" s="62"/>
      <c r="P642" s="62"/>
      <c r="Q642" s="62"/>
      <c r="R642" s="62"/>
      <c r="S642" s="62"/>
      <c r="T642" s="62"/>
      <c r="U642" s="62"/>
      <c r="V642" s="62"/>
      <c r="W642" s="62"/>
      <c r="X642" s="62"/>
      <c r="Y642" s="62"/>
      <c r="Z642" s="62"/>
      <c r="AA642" s="62"/>
      <c r="AB642" s="62"/>
      <c r="AC642" s="62"/>
      <c r="AD642" s="62"/>
      <c r="AE642" s="62"/>
      <c r="AF642" s="62"/>
      <c r="AG642" s="62"/>
      <c r="AH642" s="62"/>
      <c r="AI642" s="62"/>
      <c r="AJ642" s="62"/>
      <c r="AK642" s="62"/>
      <c r="AL642" s="62"/>
      <c r="AM642" s="62"/>
      <c r="AN642" s="62"/>
      <c r="AO642" s="62"/>
      <c r="AP642" s="62"/>
      <c r="AQ642" s="62"/>
      <c r="AR642" s="62"/>
      <c r="AS642" s="62"/>
      <c r="AT642" s="62"/>
      <c r="AU642" s="62"/>
      <c r="AV642" s="62"/>
      <c r="AW642" s="62"/>
      <c r="AX642" s="62"/>
    </row>
    <row r="643" spans="1:50" ht="14.25" customHeight="1" x14ac:dyDescent="0.3">
      <c r="A643" s="58"/>
      <c r="B643" s="58"/>
      <c r="C643" s="58"/>
      <c r="D643" s="58"/>
      <c r="E643" s="58"/>
      <c r="F643" s="58"/>
      <c r="G643" s="59"/>
      <c r="H643" s="60"/>
      <c r="I643" s="60"/>
      <c r="J643" s="59"/>
      <c r="K643" s="61"/>
      <c r="M643" s="62"/>
      <c r="N643" s="62"/>
      <c r="O643" s="62"/>
      <c r="P643" s="62"/>
      <c r="Q643" s="62"/>
      <c r="R643" s="62"/>
      <c r="S643" s="62"/>
      <c r="T643" s="62"/>
      <c r="U643" s="62"/>
      <c r="V643" s="62"/>
      <c r="W643" s="62"/>
      <c r="X643" s="62"/>
      <c r="Y643" s="62"/>
      <c r="Z643" s="62"/>
      <c r="AA643" s="62"/>
      <c r="AB643" s="62"/>
      <c r="AC643" s="62"/>
      <c r="AD643" s="62"/>
      <c r="AE643" s="62"/>
      <c r="AF643" s="62"/>
      <c r="AG643" s="62"/>
      <c r="AH643" s="62"/>
      <c r="AI643" s="62"/>
      <c r="AJ643" s="62"/>
      <c r="AK643" s="62"/>
      <c r="AL643" s="62"/>
      <c r="AM643" s="62"/>
      <c r="AN643" s="62"/>
      <c r="AO643" s="62"/>
      <c r="AP643" s="62"/>
      <c r="AQ643" s="62"/>
      <c r="AR643" s="62"/>
      <c r="AS643" s="62"/>
      <c r="AT643" s="62"/>
      <c r="AU643" s="62"/>
      <c r="AV643" s="62"/>
      <c r="AW643" s="62"/>
      <c r="AX643" s="62"/>
    </row>
    <row r="644" spans="1:50" ht="14.25" customHeight="1" x14ac:dyDescent="0.3">
      <c r="A644" s="58"/>
      <c r="B644" s="58"/>
      <c r="C644" s="58"/>
      <c r="D644" s="58"/>
      <c r="E644" s="58"/>
      <c r="F644" s="58"/>
      <c r="G644" s="59"/>
      <c r="H644" s="60"/>
      <c r="I644" s="60"/>
      <c r="J644" s="59"/>
      <c r="K644" s="61"/>
      <c r="M644" s="62"/>
      <c r="N644" s="62"/>
      <c r="O644" s="62"/>
      <c r="P644" s="62"/>
      <c r="Q644" s="62"/>
      <c r="R644" s="62"/>
      <c r="S644" s="62"/>
      <c r="T644" s="62"/>
      <c r="U644" s="62"/>
      <c r="V644" s="62"/>
      <c r="W644" s="62"/>
      <c r="X644" s="62"/>
      <c r="Y644" s="62"/>
      <c r="Z644" s="62"/>
      <c r="AA644" s="62"/>
      <c r="AB644" s="62"/>
      <c r="AC644" s="62"/>
      <c r="AD644" s="62"/>
      <c r="AE644" s="62"/>
      <c r="AF644" s="62"/>
      <c r="AG644" s="62"/>
      <c r="AH644" s="62"/>
      <c r="AI644" s="62"/>
      <c r="AJ644" s="62"/>
      <c r="AK644" s="62"/>
      <c r="AL644" s="62"/>
      <c r="AM644" s="62"/>
      <c r="AN644" s="62"/>
      <c r="AO644" s="62"/>
      <c r="AP644" s="62"/>
      <c r="AQ644" s="62"/>
      <c r="AR644" s="62"/>
      <c r="AS644" s="62"/>
      <c r="AT644" s="62"/>
      <c r="AU644" s="62"/>
      <c r="AV644" s="62"/>
      <c r="AW644" s="62"/>
      <c r="AX644" s="62"/>
    </row>
    <row r="645" spans="1:50" ht="14.25" customHeight="1" x14ac:dyDescent="0.3">
      <c r="A645" s="58"/>
      <c r="B645" s="58"/>
      <c r="C645" s="58"/>
      <c r="D645" s="58"/>
      <c r="E645" s="58"/>
      <c r="F645" s="58"/>
      <c r="G645" s="59"/>
      <c r="H645" s="60"/>
      <c r="I645" s="60"/>
      <c r="J645" s="59"/>
      <c r="K645" s="61"/>
      <c r="M645" s="62"/>
      <c r="N645" s="62"/>
      <c r="O645" s="62"/>
      <c r="P645" s="62"/>
      <c r="Q645" s="62"/>
      <c r="R645" s="62"/>
      <c r="S645" s="62"/>
      <c r="T645" s="62"/>
      <c r="U645" s="62"/>
      <c r="V645" s="62"/>
      <c r="W645" s="62"/>
      <c r="X645" s="62"/>
      <c r="Y645" s="62"/>
      <c r="Z645" s="62"/>
      <c r="AA645" s="62"/>
      <c r="AB645" s="62"/>
      <c r="AC645" s="62"/>
      <c r="AD645" s="62"/>
      <c r="AE645" s="62"/>
      <c r="AF645" s="62"/>
      <c r="AG645" s="62"/>
      <c r="AH645" s="62"/>
      <c r="AI645" s="62"/>
      <c r="AJ645" s="62"/>
      <c r="AK645" s="62"/>
      <c r="AL645" s="62"/>
      <c r="AM645" s="62"/>
      <c r="AN645" s="62"/>
      <c r="AO645" s="62"/>
      <c r="AP645" s="62"/>
      <c r="AQ645" s="62"/>
      <c r="AR645" s="62"/>
      <c r="AS645" s="62"/>
      <c r="AT645" s="62"/>
      <c r="AU645" s="62"/>
      <c r="AV645" s="62"/>
      <c r="AW645" s="62"/>
      <c r="AX645" s="62"/>
    </row>
    <row r="646" spans="1:50" ht="14.25" customHeight="1" x14ac:dyDescent="0.3">
      <c r="A646" s="58"/>
      <c r="B646" s="58"/>
      <c r="C646" s="58"/>
      <c r="D646" s="58"/>
      <c r="E646" s="58"/>
      <c r="F646" s="58"/>
      <c r="G646" s="59"/>
      <c r="H646" s="60"/>
      <c r="I646" s="60"/>
      <c r="J646" s="59"/>
      <c r="K646" s="61"/>
      <c r="M646" s="62"/>
      <c r="N646" s="62"/>
      <c r="O646" s="62"/>
      <c r="P646" s="62"/>
      <c r="Q646" s="62"/>
      <c r="R646" s="62"/>
      <c r="S646" s="62"/>
      <c r="T646" s="62"/>
      <c r="U646" s="62"/>
      <c r="V646" s="62"/>
      <c r="W646" s="62"/>
      <c r="X646" s="62"/>
      <c r="Y646" s="62"/>
      <c r="Z646" s="62"/>
      <c r="AA646" s="62"/>
      <c r="AB646" s="62"/>
      <c r="AC646" s="62"/>
      <c r="AD646" s="62"/>
      <c r="AE646" s="62"/>
      <c r="AF646" s="62"/>
      <c r="AG646" s="62"/>
      <c r="AH646" s="62"/>
      <c r="AI646" s="62"/>
      <c r="AJ646" s="62"/>
      <c r="AK646" s="62"/>
      <c r="AL646" s="62"/>
      <c r="AM646" s="62"/>
      <c r="AN646" s="62"/>
      <c r="AO646" s="62"/>
      <c r="AP646" s="62"/>
      <c r="AQ646" s="62"/>
      <c r="AR646" s="62"/>
      <c r="AS646" s="62"/>
      <c r="AT646" s="62"/>
      <c r="AU646" s="62"/>
      <c r="AV646" s="62"/>
      <c r="AW646" s="62"/>
      <c r="AX646" s="62"/>
    </row>
    <row r="647" spans="1:50" ht="14.25" customHeight="1" x14ac:dyDescent="0.3">
      <c r="A647" s="58"/>
      <c r="B647" s="58"/>
      <c r="C647" s="58"/>
      <c r="D647" s="58"/>
      <c r="E647" s="58"/>
      <c r="F647" s="58"/>
      <c r="G647" s="59"/>
      <c r="H647" s="60"/>
      <c r="I647" s="60"/>
      <c r="J647" s="59"/>
      <c r="K647" s="61"/>
      <c r="M647" s="62"/>
      <c r="N647" s="62"/>
      <c r="O647" s="62"/>
      <c r="P647" s="62"/>
      <c r="Q647" s="62"/>
      <c r="R647" s="62"/>
      <c r="S647" s="62"/>
      <c r="T647" s="62"/>
      <c r="U647" s="62"/>
      <c r="V647" s="62"/>
      <c r="W647" s="62"/>
      <c r="X647" s="62"/>
      <c r="Y647" s="62"/>
      <c r="Z647" s="62"/>
      <c r="AA647" s="62"/>
      <c r="AB647" s="62"/>
      <c r="AC647" s="62"/>
      <c r="AD647" s="62"/>
      <c r="AE647" s="62"/>
      <c r="AF647" s="62"/>
      <c r="AG647" s="62"/>
      <c r="AH647" s="62"/>
      <c r="AI647" s="62"/>
      <c r="AJ647" s="62"/>
      <c r="AK647" s="62"/>
      <c r="AL647" s="62"/>
      <c r="AM647" s="62"/>
      <c r="AN647" s="62"/>
      <c r="AO647" s="62"/>
      <c r="AP647" s="62"/>
      <c r="AQ647" s="62"/>
      <c r="AR647" s="62"/>
      <c r="AS647" s="62"/>
      <c r="AT647" s="62"/>
      <c r="AU647" s="62"/>
      <c r="AV647" s="62"/>
      <c r="AW647" s="62"/>
      <c r="AX647" s="62"/>
    </row>
    <row r="648" spans="1:50" ht="14.25" customHeight="1" x14ac:dyDescent="0.3">
      <c r="A648" s="58"/>
      <c r="B648" s="58"/>
      <c r="C648" s="58"/>
      <c r="D648" s="58"/>
      <c r="E648" s="58"/>
      <c r="F648" s="58"/>
      <c r="G648" s="59"/>
      <c r="H648" s="60"/>
      <c r="I648" s="60"/>
      <c r="J648" s="59"/>
      <c r="K648" s="61"/>
      <c r="M648" s="62"/>
      <c r="N648" s="62"/>
      <c r="O648" s="62"/>
      <c r="P648" s="62"/>
      <c r="Q648" s="62"/>
      <c r="R648" s="62"/>
      <c r="S648" s="62"/>
      <c r="T648" s="62"/>
      <c r="U648" s="62"/>
      <c r="V648" s="62"/>
      <c r="W648" s="62"/>
      <c r="X648" s="62"/>
      <c r="Y648" s="62"/>
      <c r="Z648" s="62"/>
      <c r="AA648" s="62"/>
      <c r="AB648" s="62"/>
      <c r="AC648" s="62"/>
      <c r="AD648" s="62"/>
      <c r="AE648" s="62"/>
      <c r="AF648" s="62"/>
      <c r="AG648" s="62"/>
      <c r="AH648" s="62"/>
      <c r="AI648" s="62"/>
      <c r="AJ648" s="62"/>
      <c r="AK648" s="62"/>
      <c r="AL648" s="62"/>
      <c r="AM648" s="62"/>
      <c r="AN648" s="62"/>
      <c r="AO648" s="62"/>
      <c r="AP648" s="62"/>
      <c r="AQ648" s="62"/>
      <c r="AR648" s="62"/>
      <c r="AS648" s="62"/>
      <c r="AT648" s="62"/>
      <c r="AU648" s="62"/>
      <c r="AV648" s="62"/>
      <c r="AW648" s="62"/>
      <c r="AX648" s="62"/>
    </row>
    <row r="649" spans="1:50" ht="14.25" customHeight="1" x14ac:dyDescent="0.3">
      <c r="A649" s="58"/>
      <c r="B649" s="58"/>
      <c r="C649" s="58"/>
      <c r="D649" s="58"/>
      <c r="E649" s="58"/>
      <c r="F649" s="58"/>
      <c r="G649" s="59"/>
      <c r="H649" s="60"/>
      <c r="I649" s="60"/>
      <c r="J649" s="59"/>
      <c r="K649" s="61"/>
      <c r="M649" s="62"/>
      <c r="N649" s="62"/>
      <c r="O649" s="62"/>
      <c r="P649" s="62"/>
      <c r="Q649" s="62"/>
      <c r="R649" s="62"/>
      <c r="S649" s="62"/>
      <c r="T649" s="62"/>
      <c r="U649" s="62"/>
      <c r="V649" s="62"/>
      <c r="W649" s="62"/>
      <c r="X649" s="62"/>
      <c r="Y649" s="62"/>
      <c r="Z649" s="62"/>
      <c r="AA649" s="62"/>
      <c r="AB649" s="62"/>
      <c r="AC649" s="62"/>
      <c r="AD649" s="62"/>
      <c r="AE649" s="62"/>
      <c r="AF649" s="62"/>
      <c r="AG649" s="62"/>
      <c r="AH649" s="62"/>
      <c r="AI649" s="62"/>
      <c r="AJ649" s="62"/>
      <c r="AK649" s="62"/>
      <c r="AL649" s="62"/>
      <c r="AM649" s="62"/>
      <c r="AN649" s="62"/>
      <c r="AO649" s="62"/>
      <c r="AP649" s="62"/>
      <c r="AQ649" s="62"/>
      <c r="AR649" s="62"/>
      <c r="AS649" s="62"/>
      <c r="AT649" s="62"/>
      <c r="AU649" s="62"/>
      <c r="AV649" s="62"/>
      <c r="AW649" s="62"/>
      <c r="AX649" s="62"/>
    </row>
    <row r="650" spans="1:50" ht="14.25" customHeight="1" x14ac:dyDescent="0.3">
      <c r="A650" s="58"/>
      <c r="B650" s="58"/>
      <c r="C650" s="58"/>
      <c r="D650" s="58"/>
      <c r="E650" s="58"/>
      <c r="F650" s="58"/>
      <c r="G650" s="59"/>
      <c r="H650" s="60"/>
      <c r="I650" s="60"/>
      <c r="J650" s="59"/>
      <c r="K650" s="61"/>
      <c r="M650" s="62"/>
      <c r="N650" s="62"/>
      <c r="O650" s="62"/>
      <c r="P650" s="62"/>
      <c r="Q650" s="62"/>
      <c r="R650" s="62"/>
      <c r="S650" s="62"/>
      <c r="T650" s="62"/>
      <c r="U650" s="62"/>
      <c r="V650" s="62"/>
      <c r="W650" s="62"/>
      <c r="X650" s="62"/>
      <c r="Y650" s="62"/>
      <c r="Z650" s="62"/>
      <c r="AA650" s="62"/>
      <c r="AB650" s="62"/>
      <c r="AC650" s="62"/>
      <c r="AD650" s="62"/>
      <c r="AE650" s="62"/>
      <c r="AF650" s="62"/>
      <c r="AG650" s="62"/>
      <c r="AH650" s="62"/>
      <c r="AI650" s="62"/>
      <c r="AJ650" s="62"/>
      <c r="AK650" s="62"/>
      <c r="AL650" s="62"/>
      <c r="AM650" s="62"/>
      <c r="AN650" s="62"/>
      <c r="AO650" s="62"/>
      <c r="AP650" s="62"/>
      <c r="AQ650" s="62"/>
      <c r="AR650" s="62"/>
      <c r="AS650" s="62"/>
      <c r="AT650" s="62"/>
      <c r="AU650" s="62"/>
      <c r="AV650" s="62"/>
      <c r="AW650" s="62"/>
      <c r="AX650" s="62"/>
    </row>
    <row r="651" spans="1:50" ht="14.25" customHeight="1" x14ac:dyDescent="0.3">
      <c r="A651" s="58"/>
      <c r="B651" s="58"/>
      <c r="C651" s="58"/>
      <c r="D651" s="58"/>
      <c r="E651" s="58"/>
      <c r="F651" s="58"/>
      <c r="G651" s="59"/>
      <c r="H651" s="60"/>
      <c r="I651" s="60"/>
      <c r="J651" s="59"/>
      <c r="K651" s="61"/>
      <c r="M651" s="62"/>
      <c r="N651" s="62"/>
      <c r="O651" s="62"/>
      <c r="P651" s="62"/>
      <c r="Q651" s="62"/>
      <c r="R651" s="62"/>
      <c r="S651" s="62"/>
      <c r="T651" s="62"/>
      <c r="U651" s="62"/>
      <c r="V651" s="62"/>
      <c r="W651" s="62"/>
      <c r="X651" s="62"/>
      <c r="Y651" s="62"/>
      <c r="Z651" s="62"/>
      <c r="AA651" s="62"/>
      <c r="AB651" s="62"/>
      <c r="AC651" s="62"/>
      <c r="AD651" s="62"/>
      <c r="AE651" s="62"/>
      <c r="AF651" s="62"/>
      <c r="AG651" s="62"/>
      <c r="AH651" s="62"/>
      <c r="AI651" s="62"/>
      <c r="AJ651" s="62"/>
      <c r="AK651" s="62"/>
      <c r="AL651" s="62"/>
      <c r="AM651" s="62"/>
      <c r="AN651" s="62"/>
      <c r="AO651" s="62"/>
      <c r="AP651" s="62"/>
      <c r="AQ651" s="62"/>
      <c r="AR651" s="62"/>
      <c r="AS651" s="62"/>
      <c r="AT651" s="62"/>
      <c r="AU651" s="62"/>
      <c r="AV651" s="62"/>
      <c r="AW651" s="62"/>
      <c r="AX651" s="62"/>
    </row>
    <row r="652" spans="1:50" ht="14.25" customHeight="1" x14ac:dyDescent="0.3">
      <c r="A652" s="58"/>
      <c r="B652" s="58"/>
      <c r="C652" s="58"/>
      <c r="D652" s="58"/>
      <c r="E652" s="58"/>
      <c r="F652" s="58"/>
      <c r="G652" s="59"/>
      <c r="H652" s="60"/>
      <c r="I652" s="60"/>
      <c r="J652" s="59"/>
      <c r="K652" s="61"/>
      <c r="M652" s="62"/>
      <c r="N652" s="62"/>
      <c r="O652" s="62"/>
      <c r="P652" s="62"/>
      <c r="Q652" s="62"/>
      <c r="R652" s="62"/>
      <c r="S652" s="62"/>
      <c r="T652" s="62"/>
      <c r="U652" s="62"/>
      <c r="V652" s="62"/>
      <c r="W652" s="62"/>
      <c r="X652" s="62"/>
      <c r="Y652" s="62"/>
      <c r="Z652" s="62"/>
      <c r="AA652" s="62"/>
      <c r="AB652" s="62"/>
      <c r="AC652" s="62"/>
      <c r="AD652" s="62"/>
      <c r="AE652" s="62"/>
      <c r="AF652" s="62"/>
      <c r="AG652" s="62"/>
      <c r="AH652" s="62"/>
      <c r="AI652" s="62"/>
      <c r="AJ652" s="62"/>
      <c r="AK652" s="62"/>
      <c r="AL652" s="62"/>
      <c r="AM652" s="62"/>
      <c r="AN652" s="62"/>
      <c r="AO652" s="62"/>
      <c r="AP652" s="62"/>
      <c r="AQ652" s="62"/>
      <c r="AR652" s="62"/>
      <c r="AS652" s="62"/>
      <c r="AT652" s="62"/>
      <c r="AU652" s="62"/>
      <c r="AV652" s="62"/>
      <c r="AW652" s="62"/>
      <c r="AX652" s="62"/>
    </row>
    <row r="653" spans="1:50" ht="14.25" customHeight="1" x14ac:dyDescent="0.3">
      <c r="A653" s="58"/>
      <c r="B653" s="58"/>
      <c r="C653" s="58"/>
      <c r="D653" s="58"/>
      <c r="E653" s="58"/>
      <c r="F653" s="58"/>
      <c r="G653" s="59"/>
      <c r="H653" s="60"/>
      <c r="I653" s="60"/>
      <c r="J653" s="59"/>
      <c r="K653" s="61"/>
      <c r="M653" s="62"/>
      <c r="N653" s="62"/>
      <c r="O653" s="62"/>
      <c r="P653" s="62"/>
      <c r="Q653" s="62"/>
      <c r="R653" s="62"/>
      <c r="S653" s="62"/>
      <c r="T653" s="62"/>
      <c r="U653" s="62"/>
      <c r="V653" s="62"/>
      <c r="W653" s="62"/>
      <c r="X653" s="62"/>
      <c r="Y653" s="62"/>
      <c r="Z653" s="62"/>
      <c r="AA653" s="62"/>
      <c r="AB653" s="62"/>
      <c r="AC653" s="62"/>
      <c r="AD653" s="62"/>
      <c r="AE653" s="62"/>
      <c r="AF653" s="62"/>
      <c r="AG653" s="62"/>
      <c r="AH653" s="62"/>
      <c r="AI653" s="62"/>
      <c r="AJ653" s="62"/>
      <c r="AK653" s="62"/>
      <c r="AL653" s="62"/>
      <c r="AM653" s="62"/>
      <c r="AN653" s="62"/>
      <c r="AO653" s="62"/>
      <c r="AP653" s="62"/>
      <c r="AQ653" s="62"/>
      <c r="AR653" s="62"/>
      <c r="AS653" s="62"/>
      <c r="AT653" s="62"/>
      <c r="AU653" s="62"/>
      <c r="AV653" s="62"/>
      <c r="AW653" s="62"/>
      <c r="AX653" s="62"/>
    </row>
    <row r="654" spans="1:50" ht="14.25" customHeight="1" x14ac:dyDescent="0.3">
      <c r="A654" s="58"/>
      <c r="B654" s="58"/>
      <c r="C654" s="58"/>
      <c r="D654" s="58"/>
      <c r="E654" s="58"/>
      <c r="F654" s="58"/>
      <c r="G654" s="59"/>
      <c r="H654" s="60"/>
      <c r="I654" s="60"/>
      <c r="J654" s="59"/>
      <c r="K654" s="61"/>
      <c r="M654" s="62"/>
      <c r="N654" s="62"/>
      <c r="O654" s="62"/>
      <c r="P654" s="62"/>
      <c r="Q654" s="62"/>
      <c r="R654" s="62"/>
      <c r="S654" s="62"/>
      <c r="T654" s="62"/>
      <c r="U654" s="62"/>
      <c r="V654" s="62"/>
      <c r="W654" s="62"/>
      <c r="X654" s="62"/>
      <c r="Y654" s="62"/>
      <c r="Z654" s="62"/>
      <c r="AA654" s="62"/>
      <c r="AB654" s="62"/>
      <c r="AC654" s="62"/>
      <c r="AD654" s="62"/>
      <c r="AE654" s="62"/>
      <c r="AF654" s="62"/>
      <c r="AG654" s="62"/>
      <c r="AH654" s="62"/>
      <c r="AI654" s="62"/>
      <c r="AJ654" s="62"/>
      <c r="AK654" s="62"/>
      <c r="AL654" s="62"/>
      <c r="AM654" s="62"/>
      <c r="AN654" s="62"/>
      <c r="AO654" s="62"/>
      <c r="AP654" s="62"/>
      <c r="AQ654" s="62"/>
      <c r="AR654" s="62"/>
      <c r="AS654" s="62"/>
      <c r="AT654" s="62"/>
      <c r="AU654" s="62"/>
      <c r="AV654" s="62"/>
      <c r="AW654" s="62"/>
      <c r="AX654" s="62"/>
    </row>
    <row r="655" spans="1:50" ht="14.25" customHeight="1" x14ac:dyDescent="0.3">
      <c r="A655" s="58"/>
      <c r="B655" s="58"/>
      <c r="C655" s="58"/>
      <c r="D655" s="58"/>
      <c r="E655" s="58"/>
      <c r="F655" s="58"/>
      <c r="G655" s="59"/>
      <c r="H655" s="60"/>
      <c r="I655" s="60"/>
      <c r="J655" s="59"/>
      <c r="K655" s="61"/>
      <c r="M655" s="62"/>
      <c r="N655" s="62"/>
      <c r="O655" s="62"/>
      <c r="P655" s="62"/>
      <c r="Q655" s="62"/>
      <c r="R655" s="62"/>
      <c r="S655" s="62"/>
      <c r="T655" s="62"/>
      <c r="U655" s="62"/>
      <c r="V655" s="62"/>
      <c r="W655" s="62"/>
      <c r="X655" s="62"/>
      <c r="Y655" s="62"/>
      <c r="Z655" s="62"/>
      <c r="AA655" s="62"/>
      <c r="AB655" s="62"/>
      <c r="AC655" s="62"/>
      <c r="AD655" s="62"/>
      <c r="AE655" s="62"/>
      <c r="AF655" s="62"/>
      <c r="AG655" s="62"/>
      <c r="AH655" s="62"/>
      <c r="AI655" s="62"/>
      <c r="AJ655" s="62"/>
      <c r="AK655" s="62"/>
      <c r="AL655" s="62"/>
      <c r="AM655" s="62"/>
      <c r="AN655" s="62"/>
      <c r="AO655" s="62"/>
      <c r="AP655" s="62"/>
      <c r="AQ655" s="62"/>
      <c r="AR655" s="62"/>
      <c r="AS655" s="62"/>
      <c r="AT655" s="62"/>
      <c r="AU655" s="62"/>
      <c r="AV655" s="62"/>
      <c r="AW655" s="62"/>
      <c r="AX655" s="62"/>
    </row>
    <row r="656" spans="1:50" ht="14.25" customHeight="1" x14ac:dyDescent="0.3">
      <c r="A656" s="58"/>
      <c r="B656" s="58"/>
      <c r="C656" s="58"/>
      <c r="D656" s="58"/>
      <c r="E656" s="58"/>
      <c r="F656" s="58"/>
      <c r="G656" s="59"/>
      <c r="H656" s="60"/>
      <c r="I656" s="60"/>
      <c r="J656" s="59"/>
      <c r="K656" s="61"/>
      <c r="M656" s="62"/>
      <c r="N656" s="62"/>
      <c r="O656" s="62"/>
      <c r="P656" s="62"/>
      <c r="Q656" s="62"/>
      <c r="R656" s="62"/>
      <c r="S656" s="62"/>
      <c r="T656" s="62"/>
      <c r="U656" s="62"/>
      <c r="V656" s="62"/>
      <c r="W656" s="62"/>
      <c r="X656" s="62"/>
      <c r="Y656" s="62"/>
      <c r="Z656" s="62"/>
      <c r="AA656" s="62"/>
      <c r="AB656" s="62"/>
      <c r="AC656" s="62"/>
      <c r="AD656" s="62"/>
      <c r="AE656" s="62"/>
      <c r="AF656" s="62"/>
      <c r="AG656" s="62"/>
      <c r="AH656" s="62"/>
      <c r="AI656" s="62"/>
      <c r="AJ656" s="62"/>
      <c r="AK656" s="62"/>
      <c r="AL656" s="62"/>
      <c r="AM656" s="62"/>
      <c r="AN656" s="62"/>
      <c r="AO656" s="62"/>
      <c r="AP656" s="62"/>
      <c r="AQ656" s="62"/>
      <c r="AR656" s="62"/>
      <c r="AS656" s="62"/>
      <c r="AT656" s="62"/>
      <c r="AU656" s="62"/>
      <c r="AV656" s="62"/>
      <c r="AW656" s="62"/>
      <c r="AX656" s="62"/>
    </row>
    <row r="657" spans="1:50" ht="14.25" customHeight="1" x14ac:dyDescent="0.3">
      <c r="A657" s="58"/>
      <c r="B657" s="58"/>
      <c r="C657" s="58"/>
      <c r="D657" s="58"/>
      <c r="E657" s="58"/>
      <c r="F657" s="58"/>
      <c r="G657" s="59"/>
      <c r="H657" s="60"/>
      <c r="I657" s="60"/>
      <c r="J657" s="59"/>
      <c r="K657" s="61"/>
      <c r="M657" s="62"/>
      <c r="N657" s="62"/>
      <c r="O657" s="62"/>
      <c r="P657" s="62"/>
      <c r="Q657" s="62"/>
      <c r="R657" s="62"/>
      <c r="S657" s="62"/>
      <c r="T657" s="62"/>
      <c r="U657" s="62"/>
      <c r="V657" s="62"/>
      <c r="W657" s="62"/>
      <c r="X657" s="62"/>
      <c r="Y657" s="62"/>
      <c r="Z657" s="62"/>
      <c r="AA657" s="62"/>
      <c r="AB657" s="62"/>
      <c r="AC657" s="62"/>
      <c r="AD657" s="62"/>
      <c r="AE657" s="62"/>
      <c r="AF657" s="62"/>
      <c r="AG657" s="62"/>
      <c r="AH657" s="62"/>
      <c r="AI657" s="62"/>
      <c r="AJ657" s="62"/>
      <c r="AK657" s="62"/>
      <c r="AL657" s="62"/>
      <c r="AM657" s="62"/>
      <c r="AN657" s="62"/>
      <c r="AO657" s="62"/>
      <c r="AP657" s="62"/>
      <c r="AQ657" s="62"/>
      <c r="AR657" s="62"/>
      <c r="AS657" s="62"/>
      <c r="AT657" s="62"/>
      <c r="AU657" s="62"/>
      <c r="AV657" s="62"/>
      <c r="AW657" s="62"/>
      <c r="AX657" s="62"/>
    </row>
    <row r="658" spans="1:50" ht="14.25" customHeight="1" x14ac:dyDescent="0.3">
      <c r="A658" s="58"/>
      <c r="B658" s="58"/>
      <c r="C658" s="58"/>
      <c r="D658" s="58"/>
      <c r="E658" s="58"/>
      <c r="F658" s="58"/>
      <c r="G658" s="59"/>
      <c r="H658" s="60"/>
      <c r="I658" s="60"/>
      <c r="J658" s="59"/>
      <c r="K658" s="61"/>
      <c r="M658" s="62"/>
      <c r="N658" s="62"/>
      <c r="O658" s="62"/>
      <c r="P658" s="62"/>
      <c r="Q658" s="62"/>
      <c r="R658" s="62"/>
      <c r="S658" s="62"/>
      <c r="T658" s="62"/>
      <c r="U658" s="62"/>
      <c r="V658" s="62"/>
      <c r="W658" s="62"/>
      <c r="X658" s="62"/>
      <c r="Y658" s="62"/>
      <c r="Z658" s="62"/>
      <c r="AA658" s="62"/>
      <c r="AB658" s="62"/>
      <c r="AC658" s="62"/>
      <c r="AD658" s="62"/>
      <c r="AE658" s="62"/>
      <c r="AF658" s="62"/>
      <c r="AG658" s="62"/>
      <c r="AH658" s="62"/>
      <c r="AI658" s="62"/>
      <c r="AJ658" s="62"/>
      <c r="AK658" s="62"/>
      <c r="AL658" s="62"/>
      <c r="AM658" s="62"/>
      <c r="AN658" s="62"/>
      <c r="AO658" s="62"/>
      <c r="AP658" s="62"/>
      <c r="AQ658" s="62"/>
      <c r="AR658" s="62"/>
      <c r="AS658" s="62"/>
      <c r="AT658" s="62"/>
      <c r="AU658" s="62"/>
      <c r="AV658" s="62"/>
      <c r="AW658" s="62"/>
      <c r="AX658" s="62"/>
    </row>
    <row r="659" spans="1:50" ht="14.25" customHeight="1" x14ac:dyDescent="0.3">
      <c r="A659" s="58"/>
      <c r="B659" s="58"/>
      <c r="C659" s="58"/>
      <c r="D659" s="58"/>
      <c r="E659" s="58"/>
      <c r="F659" s="58"/>
      <c r="G659" s="59"/>
      <c r="H659" s="60"/>
      <c r="I659" s="60"/>
      <c r="J659" s="59"/>
      <c r="K659" s="61"/>
      <c r="M659" s="62"/>
      <c r="N659" s="62"/>
      <c r="O659" s="62"/>
      <c r="P659" s="62"/>
      <c r="Q659" s="62"/>
      <c r="R659" s="62"/>
      <c r="S659" s="62"/>
      <c r="T659" s="62"/>
      <c r="U659" s="62"/>
      <c r="V659" s="62"/>
      <c r="W659" s="62"/>
      <c r="X659" s="62"/>
      <c r="Y659" s="62"/>
      <c r="Z659" s="62"/>
      <c r="AA659" s="62"/>
      <c r="AB659" s="62"/>
      <c r="AC659" s="62"/>
      <c r="AD659" s="62"/>
      <c r="AE659" s="62"/>
      <c r="AF659" s="62"/>
      <c r="AG659" s="62"/>
      <c r="AH659" s="62"/>
      <c r="AI659" s="62"/>
      <c r="AJ659" s="62"/>
      <c r="AK659" s="62"/>
      <c r="AL659" s="62"/>
      <c r="AM659" s="62"/>
      <c r="AN659" s="62"/>
      <c r="AO659" s="62"/>
      <c r="AP659" s="62"/>
      <c r="AQ659" s="62"/>
      <c r="AR659" s="62"/>
      <c r="AS659" s="62"/>
      <c r="AT659" s="62"/>
      <c r="AU659" s="62"/>
      <c r="AV659" s="62"/>
      <c r="AW659" s="62"/>
      <c r="AX659" s="62"/>
    </row>
    <row r="660" spans="1:50" ht="14.25" customHeight="1" x14ac:dyDescent="0.3">
      <c r="A660" s="58"/>
      <c r="B660" s="58"/>
      <c r="C660" s="58"/>
      <c r="D660" s="58"/>
      <c r="E660" s="58"/>
      <c r="F660" s="58"/>
      <c r="G660" s="59"/>
      <c r="H660" s="60"/>
      <c r="I660" s="60"/>
      <c r="J660" s="59"/>
      <c r="K660" s="61"/>
      <c r="M660" s="62"/>
      <c r="N660" s="62"/>
      <c r="O660" s="62"/>
      <c r="P660" s="62"/>
      <c r="Q660" s="62"/>
      <c r="R660" s="62"/>
      <c r="S660" s="62"/>
      <c r="T660" s="62"/>
      <c r="U660" s="62"/>
      <c r="V660" s="62"/>
      <c r="W660" s="62"/>
      <c r="X660" s="62"/>
      <c r="Y660" s="62"/>
      <c r="Z660" s="62"/>
      <c r="AA660" s="62"/>
      <c r="AB660" s="62"/>
      <c r="AC660" s="62"/>
      <c r="AD660" s="62"/>
      <c r="AE660" s="62"/>
      <c r="AF660" s="62"/>
      <c r="AG660" s="62"/>
      <c r="AH660" s="62"/>
      <c r="AI660" s="62"/>
      <c r="AJ660" s="62"/>
      <c r="AK660" s="62"/>
      <c r="AL660" s="62"/>
      <c r="AM660" s="62"/>
      <c r="AN660" s="62"/>
      <c r="AO660" s="62"/>
      <c r="AP660" s="62"/>
      <c r="AQ660" s="62"/>
      <c r="AR660" s="62"/>
      <c r="AS660" s="62"/>
      <c r="AT660" s="62"/>
      <c r="AU660" s="62"/>
      <c r="AV660" s="62"/>
      <c r="AW660" s="62"/>
      <c r="AX660" s="62"/>
    </row>
    <row r="661" spans="1:50" ht="14.25" customHeight="1" x14ac:dyDescent="0.3">
      <c r="A661" s="58"/>
      <c r="B661" s="58"/>
      <c r="C661" s="58"/>
      <c r="D661" s="58"/>
      <c r="E661" s="58"/>
      <c r="F661" s="58"/>
      <c r="G661" s="59"/>
      <c r="H661" s="60"/>
      <c r="I661" s="60"/>
      <c r="J661" s="59"/>
      <c r="K661" s="61"/>
      <c r="M661" s="62"/>
      <c r="N661" s="62"/>
      <c r="O661" s="62"/>
      <c r="P661" s="62"/>
      <c r="Q661" s="62"/>
      <c r="R661" s="62"/>
      <c r="S661" s="62"/>
      <c r="T661" s="62"/>
      <c r="U661" s="62"/>
      <c r="V661" s="62"/>
      <c r="W661" s="62"/>
      <c r="X661" s="62"/>
      <c r="Y661" s="62"/>
      <c r="Z661" s="62"/>
      <c r="AA661" s="62"/>
      <c r="AB661" s="62"/>
      <c r="AC661" s="62"/>
      <c r="AD661" s="62"/>
      <c r="AE661" s="62"/>
      <c r="AF661" s="62"/>
      <c r="AG661" s="62"/>
      <c r="AH661" s="62"/>
      <c r="AI661" s="62"/>
      <c r="AJ661" s="62"/>
      <c r="AK661" s="62"/>
      <c r="AL661" s="62"/>
      <c r="AM661" s="62"/>
      <c r="AN661" s="62"/>
      <c r="AO661" s="62"/>
      <c r="AP661" s="62"/>
      <c r="AQ661" s="62"/>
      <c r="AR661" s="62"/>
      <c r="AS661" s="62"/>
      <c r="AT661" s="62"/>
      <c r="AU661" s="62"/>
      <c r="AV661" s="62"/>
      <c r="AW661" s="62"/>
      <c r="AX661" s="62"/>
    </row>
    <row r="662" spans="1:50" ht="14.25" customHeight="1" x14ac:dyDescent="0.3">
      <c r="A662" s="58"/>
      <c r="B662" s="58"/>
      <c r="C662" s="58"/>
      <c r="D662" s="58"/>
      <c r="E662" s="58"/>
      <c r="F662" s="58"/>
      <c r="G662" s="59"/>
      <c r="H662" s="60"/>
      <c r="I662" s="60"/>
      <c r="J662" s="59"/>
      <c r="K662" s="61"/>
      <c r="M662" s="62"/>
      <c r="N662" s="62"/>
      <c r="O662" s="62"/>
      <c r="P662" s="62"/>
      <c r="Q662" s="62"/>
      <c r="R662" s="62"/>
      <c r="S662" s="62"/>
      <c r="T662" s="62"/>
      <c r="U662" s="62"/>
      <c r="V662" s="62"/>
      <c r="W662" s="62"/>
      <c r="X662" s="62"/>
      <c r="Y662" s="62"/>
      <c r="Z662" s="62"/>
      <c r="AA662" s="62"/>
      <c r="AB662" s="62"/>
      <c r="AC662" s="62"/>
      <c r="AD662" s="62"/>
      <c r="AE662" s="62"/>
      <c r="AF662" s="62"/>
      <c r="AG662" s="62"/>
      <c r="AH662" s="62"/>
      <c r="AI662" s="62"/>
      <c r="AJ662" s="62"/>
      <c r="AK662" s="62"/>
      <c r="AL662" s="62"/>
      <c r="AM662" s="62"/>
      <c r="AN662" s="62"/>
      <c r="AO662" s="62"/>
      <c r="AP662" s="62"/>
      <c r="AQ662" s="62"/>
      <c r="AR662" s="62"/>
      <c r="AS662" s="62"/>
      <c r="AT662" s="62"/>
      <c r="AU662" s="62"/>
      <c r="AV662" s="62"/>
      <c r="AW662" s="62"/>
      <c r="AX662" s="62"/>
    </row>
    <row r="663" spans="1:50" ht="14.25" customHeight="1" x14ac:dyDescent="0.3">
      <c r="A663" s="58"/>
      <c r="B663" s="58"/>
      <c r="C663" s="58"/>
      <c r="D663" s="58"/>
      <c r="E663" s="58"/>
      <c r="F663" s="58"/>
      <c r="G663" s="59"/>
      <c r="H663" s="60"/>
      <c r="I663" s="60"/>
      <c r="J663" s="59"/>
      <c r="K663" s="61"/>
      <c r="M663" s="62"/>
      <c r="N663" s="62"/>
      <c r="O663" s="62"/>
      <c r="P663" s="62"/>
      <c r="Q663" s="62"/>
      <c r="R663" s="62"/>
      <c r="S663" s="62"/>
      <c r="T663" s="62"/>
      <c r="U663" s="62"/>
      <c r="V663" s="62"/>
      <c r="W663" s="62"/>
      <c r="X663" s="62"/>
      <c r="Y663" s="62"/>
      <c r="Z663" s="62"/>
      <c r="AA663" s="62"/>
      <c r="AB663" s="62"/>
      <c r="AC663" s="62"/>
      <c r="AD663" s="62"/>
      <c r="AE663" s="62"/>
      <c r="AF663" s="62"/>
      <c r="AG663" s="62"/>
      <c r="AH663" s="62"/>
      <c r="AI663" s="62"/>
      <c r="AJ663" s="62"/>
      <c r="AK663" s="62"/>
      <c r="AL663" s="62"/>
      <c r="AM663" s="62"/>
      <c r="AN663" s="62"/>
      <c r="AO663" s="62"/>
      <c r="AP663" s="62"/>
      <c r="AQ663" s="62"/>
      <c r="AR663" s="62"/>
      <c r="AS663" s="62"/>
      <c r="AT663" s="62"/>
      <c r="AU663" s="62"/>
      <c r="AV663" s="62"/>
      <c r="AW663" s="62"/>
      <c r="AX663" s="62"/>
    </row>
    <row r="664" spans="1:50" ht="14.25" customHeight="1" x14ac:dyDescent="0.3">
      <c r="A664" s="58"/>
      <c r="B664" s="58"/>
      <c r="C664" s="58"/>
      <c r="D664" s="58"/>
      <c r="E664" s="58"/>
      <c r="F664" s="58"/>
      <c r="G664" s="59"/>
      <c r="H664" s="60"/>
      <c r="I664" s="60"/>
      <c r="J664" s="59"/>
      <c r="K664" s="61"/>
      <c r="M664" s="62"/>
      <c r="N664" s="62"/>
      <c r="O664" s="62"/>
      <c r="P664" s="62"/>
      <c r="Q664" s="62"/>
      <c r="R664" s="62"/>
      <c r="S664" s="62"/>
      <c r="T664" s="62"/>
      <c r="U664" s="62"/>
      <c r="V664" s="62"/>
      <c r="W664" s="62"/>
      <c r="X664" s="62"/>
      <c r="Y664" s="62"/>
      <c r="Z664" s="62"/>
      <c r="AA664" s="62"/>
      <c r="AB664" s="62"/>
      <c r="AC664" s="62"/>
      <c r="AD664" s="62"/>
      <c r="AE664" s="62"/>
      <c r="AF664" s="62"/>
      <c r="AG664" s="62"/>
      <c r="AH664" s="62"/>
      <c r="AI664" s="62"/>
      <c r="AJ664" s="62"/>
      <c r="AK664" s="62"/>
      <c r="AL664" s="62"/>
      <c r="AM664" s="62"/>
      <c r="AN664" s="62"/>
      <c r="AO664" s="62"/>
      <c r="AP664" s="62"/>
      <c r="AQ664" s="62"/>
      <c r="AR664" s="62"/>
      <c r="AS664" s="62"/>
      <c r="AT664" s="62"/>
      <c r="AU664" s="62"/>
      <c r="AV664" s="62"/>
      <c r="AW664" s="62"/>
      <c r="AX664" s="62"/>
    </row>
    <row r="665" spans="1:50" ht="14.25" customHeight="1" x14ac:dyDescent="0.3">
      <c r="A665" s="58"/>
      <c r="B665" s="58"/>
      <c r="C665" s="58"/>
      <c r="D665" s="58"/>
      <c r="E665" s="58"/>
      <c r="F665" s="58"/>
      <c r="G665" s="59"/>
      <c r="H665" s="60"/>
      <c r="I665" s="60"/>
      <c r="J665" s="59"/>
      <c r="K665" s="61"/>
      <c r="M665" s="62"/>
      <c r="N665" s="62"/>
      <c r="O665" s="62"/>
      <c r="P665" s="62"/>
      <c r="Q665" s="62"/>
      <c r="R665" s="62"/>
      <c r="S665" s="62"/>
      <c r="T665" s="62"/>
      <c r="U665" s="62"/>
      <c r="V665" s="62"/>
      <c r="W665" s="62"/>
      <c r="X665" s="62"/>
      <c r="Y665" s="62"/>
      <c r="Z665" s="62"/>
      <c r="AA665" s="62"/>
      <c r="AB665" s="62"/>
      <c r="AC665" s="62"/>
      <c r="AD665" s="62"/>
      <c r="AE665" s="62"/>
      <c r="AF665" s="62"/>
      <c r="AG665" s="62"/>
      <c r="AH665" s="62"/>
      <c r="AI665" s="62"/>
      <c r="AJ665" s="62"/>
      <c r="AK665" s="62"/>
      <c r="AL665" s="62"/>
      <c r="AM665" s="62"/>
      <c r="AN665" s="62"/>
      <c r="AO665" s="62"/>
      <c r="AP665" s="62"/>
      <c r="AQ665" s="62"/>
      <c r="AR665" s="62"/>
      <c r="AS665" s="62"/>
      <c r="AT665" s="62"/>
      <c r="AU665" s="62"/>
      <c r="AV665" s="62"/>
      <c r="AW665" s="62"/>
      <c r="AX665" s="62"/>
    </row>
    <row r="666" spans="1:50" ht="14.25" customHeight="1" x14ac:dyDescent="0.3">
      <c r="A666" s="58"/>
      <c r="B666" s="58"/>
      <c r="C666" s="58"/>
      <c r="D666" s="58"/>
      <c r="E666" s="58"/>
      <c r="F666" s="58"/>
      <c r="G666" s="59"/>
      <c r="H666" s="60"/>
      <c r="I666" s="60"/>
      <c r="J666" s="59"/>
      <c r="K666" s="61"/>
      <c r="M666" s="62"/>
      <c r="N666" s="62"/>
      <c r="O666" s="62"/>
      <c r="P666" s="62"/>
      <c r="Q666" s="62"/>
      <c r="R666" s="62"/>
      <c r="S666" s="62"/>
      <c r="T666" s="62"/>
      <c r="U666" s="62"/>
      <c r="V666" s="62"/>
      <c r="W666" s="62"/>
      <c r="X666" s="62"/>
      <c r="Y666" s="62"/>
      <c r="Z666" s="62"/>
      <c r="AA666" s="62"/>
      <c r="AB666" s="62"/>
      <c r="AC666" s="62"/>
      <c r="AD666" s="62"/>
      <c r="AE666" s="62"/>
      <c r="AF666" s="62"/>
      <c r="AG666" s="62"/>
      <c r="AH666" s="62"/>
      <c r="AI666" s="62"/>
      <c r="AJ666" s="62"/>
      <c r="AK666" s="62"/>
      <c r="AL666" s="62"/>
      <c r="AM666" s="62"/>
      <c r="AN666" s="62"/>
      <c r="AO666" s="62"/>
      <c r="AP666" s="62"/>
      <c r="AQ666" s="62"/>
      <c r="AR666" s="62"/>
      <c r="AS666" s="62"/>
      <c r="AT666" s="62"/>
      <c r="AU666" s="62"/>
      <c r="AV666" s="62"/>
      <c r="AW666" s="62"/>
      <c r="AX666" s="62"/>
    </row>
    <row r="667" spans="1:50" ht="14.25" customHeight="1" x14ac:dyDescent="0.3">
      <c r="A667" s="58"/>
      <c r="B667" s="58"/>
      <c r="C667" s="58"/>
      <c r="D667" s="58"/>
      <c r="E667" s="58"/>
      <c r="F667" s="58"/>
      <c r="G667" s="59"/>
      <c r="H667" s="60"/>
      <c r="I667" s="60"/>
      <c r="J667" s="59"/>
      <c r="K667" s="61"/>
      <c r="M667" s="62"/>
      <c r="N667" s="62"/>
      <c r="O667" s="62"/>
      <c r="P667" s="62"/>
      <c r="Q667" s="62"/>
      <c r="R667" s="62"/>
      <c r="S667" s="62"/>
      <c r="T667" s="62"/>
      <c r="U667" s="62"/>
      <c r="V667" s="62"/>
      <c r="W667" s="62"/>
      <c r="X667" s="62"/>
      <c r="Y667" s="62"/>
      <c r="Z667" s="62"/>
      <c r="AA667" s="62"/>
      <c r="AB667" s="62"/>
      <c r="AC667" s="62"/>
      <c r="AD667" s="62"/>
      <c r="AE667" s="62"/>
      <c r="AF667" s="62"/>
      <c r="AG667" s="62"/>
      <c r="AH667" s="62"/>
      <c r="AI667" s="62"/>
      <c r="AJ667" s="62"/>
      <c r="AK667" s="62"/>
      <c r="AL667" s="62"/>
      <c r="AM667" s="62"/>
      <c r="AN667" s="62"/>
      <c r="AO667" s="62"/>
      <c r="AP667" s="62"/>
      <c r="AQ667" s="62"/>
      <c r="AR667" s="62"/>
      <c r="AS667" s="62"/>
      <c r="AT667" s="62"/>
      <c r="AU667" s="62"/>
      <c r="AV667" s="62"/>
      <c r="AW667" s="62"/>
      <c r="AX667" s="62"/>
    </row>
    <row r="668" spans="1:50" ht="14.25" customHeight="1" x14ac:dyDescent="0.3">
      <c r="A668" s="58"/>
      <c r="B668" s="58"/>
      <c r="C668" s="58"/>
      <c r="D668" s="58"/>
      <c r="E668" s="58"/>
      <c r="F668" s="58"/>
      <c r="G668" s="59"/>
      <c r="H668" s="60"/>
      <c r="I668" s="60"/>
      <c r="J668" s="59"/>
      <c r="K668" s="61"/>
      <c r="M668" s="62"/>
      <c r="N668" s="62"/>
      <c r="O668" s="62"/>
      <c r="P668" s="62"/>
      <c r="Q668" s="62"/>
      <c r="R668" s="62"/>
      <c r="S668" s="62"/>
      <c r="T668" s="62"/>
      <c r="U668" s="62"/>
      <c r="V668" s="62"/>
      <c r="W668" s="62"/>
      <c r="X668" s="62"/>
      <c r="Y668" s="62"/>
      <c r="Z668" s="62"/>
      <c r="AA668" s="62"/>
      <c r="AB668" s="62"/>
      <c r="AC668" s="62"/>
      <c r="AD668" s="62"/>
      <c r="AE668" s="62"/>
      <c r="AF668" s="62"/>
      <c r="AG668" s="62"/>
      <c r="AH668" s="62"/>
      <c r="AI668" s="62"/>
      <c r="AJ668" s="62"/>
      <c r="AK668" s="62"/>
      <c r="AL668" s="62"/>
      <c r="AM668" s="62"/>
      <c r="AN668" s="62"/>
      <c r="AO668" s="62"/>
      <c r="AP668" s="62"/>
      <c r="AQ668" s="62"/>
      <c r="AR668" s="62"/>
      <c r="AS668" s="62"/>
      <c r="AT668" s="62"/>
      <c r="AU668" s="62"/>
      <c r="AV668" s="62"/>
      <c r="AW668" s="62"/>
      <c r="AX668" s="62"/>
    </row>
    <row r="669" spans="1:50" ht="14.25" customHeight="1" x14ac:dyDescent="0.3">
      <c r="A669" s="58"/>
      <c r="B669" s="58"/>
      <c r="C669" s="58"/>
      <c r="D669" s="58"/>
      <c r="E669" s="58"/>
      <c r="F669" s="58"/>
      <c r="G669" s="59"/>
      <c r="H669" s="60"/>
      <c r="I669" s="60"/>
      <c r="J669" s="59"/>
      <c r="K669" s="61"/>
      <c r="M669" s="62"/>
      <c r="N669" s="62"/>
      <c r="O669" s="62"/>
      <c r="P669" s="62"/>
      <c r="Q669" s="62"/>
      <c r="R669" s="62"/>
      <c r="S669" s="62"/>
      <c r="T669" s="62"/>
      <c r="U669" s="62"/>
      <c r="V669" s="62"/>
      <c r="W669" s="62"/>
      <c r="X669" s="62"/>
      <c r="Y669" s="62"/>
      <c r="Z669" s="62"/>
      <c r="AA669" s="62"/>
      <c r="AB669" s="62"/>
      <c r="AC669" s="62"/>
      <c r="AD669" s="62"/>
      <c r="AE669" s="62"/>
      <c r="AF669" s="62"/>
      <c r="AG669" s="62"/>
      <c r="AH669" s="62"/>
      <c r="AI669" s="62"/>
      <c r="AJ669" s="62"/>
      <c r="AK669" s="62"/>
      <c r="AL669" s="62"/>
      <c r="AM669" s="62"/>
      <c r="AN669" s="62"/>
      <c r="AO669" s="62"/>
      <c r="AP669" s="62"/>
      <c r="AQ669" s="62"/>
      <c r="AR669" s="62"/>
      <c r="AS669" s="62"/>
      <c r="AT669" s="62"/>
      <c r="AU669" s="62"/>
      <c r="AV669" s="62"/>
      <c r="AW669" s="62"/>
      <c r="AX669" s="62"/>
    </row>
    <row r="670" spans="1:50" ht="14.25" customHeight="1" x14ac:dyDescent="0.3">
      <c r="A670" s="58"/>
      <c r="B670" s="58"/>
      <c r="C670" s="58"/>
      <c r="D670" s="58"/>
      <c r="E670" s="58"/>
      <c r="F670" s="58"/>
      <c r="G670" s="59"/>
      <c r="H670" s="60"/>
      <c r="I670" s="60"/>
      <c r="J670" s="59"/>
      <c r="K670" s="61"/>
      <c r="M670" s="62"/>
      <c r="N670" s="62"/>
      <c r="O670" s="62"/>
      <c r="P670" s="62"/>
      <c r="Q670" s="62"/>
      <c r="R670" s="62"/>
      <c r="S670" s="62"/>
      <c r="T670" s="62"/>
      <c r="U670" s="62"/>
      <c r="V670" s="62"/>
      <c r="W670" s="62"/>
      <c r="X670" s="62"/>
      <c r="Y670" s="62"/>
      <c r="Z670" s="62"/>
      <c r="AA670" s="62"/>
      <c r="AB670" s="62"/>
      <c r="AC670" s="62"/>
      <c r="AD670" s="62"/>
      <c r="AE670" s="62"/>
      <c r="AF670" s="62"/>
      <c r="AG670" s="62"/>
      <c r="AH670" s="62"/>
      <c r="AI670" s="62"/>
      <c r="AJ670" s="62"/>
      <c r="AK670" s="62"/>
      <c r="AL670" s="62"/>
      <c r="AM670" s="62"/>
      <c r="AN670" s="62"/>
      <c r="AO670" s="62"/>
      <c r="AP670" s="62"/>
      <c r="AQ670" s="62"/>
      <c r="AR670" s="62"/>
      <c r="AS670" s="62"/>
      <c r="AT670" s="62"/>
      <c r="AU670" s="62"/>
      <c r="AV670" s="62"/>
      <c r="AW670" s="62"/>
      <c r="AX670" s="62"/>
    </row>
    <row r="671" spans="1:50" ht="14.25" customHeight="1" x14ac:dyDescent="0.3">
      <c r="A671" s="58"/>
      <c r="B671" s="58"/>
      <c r="C671" s="58"/>
      <c r="D671" s="58"/>
      <c r="E671" s="58"/>
      <c r="F671" s="58"/>
      <c r="G671" s="59"/>
      <c r="H671" s="60"/>
      <c r="I671" s="60"/>
      <c r="J671" s="59"/>
      <c r="K671" s="61"/>
      <c r="M671" s="62"/>
      <c r="N671" s="62"/>
      <c r="O671" s="62"/>
      <c r="P671" s="62"/>
      <c r="Q671" s="62"/>
      <c r="R671" s="62"/>
      <c r="S671" s="62"/>
      <c r="T671" s="62"/>
      <c r="U671" s="62"/>
      <c r="V671" s="62"/>
      <c r="W671" s="62"/>
      <c r="X671" s="62"/>
      <c r="Y671" s="62"/>
      <c r="Z671" s="62"/>
      <c r="AA671" s="62"/>
      <c r="AB671" s="62"/>
      <c r="AC671" s="62"/>
      <c r="AD671" s="62"/>
      <c r="AE671" s="62"/>
      <c r="AF671" s="62"/>
      <c r="AG671" s="62"/>
      <c r="AH671" s="62"/>
      <c r="AI671" s="62"/>
      <c r="AJ671" s="62"/>
      <c r="AK671" s="62"/>
      <c r="AL671" s="62"/>
      <c r="AM671" s="62"/>
      <c r="AN671" s="62"/>
      <c r="AO671" s="62"/>
      <c r="AP671" s="62"/>
      <c r="AQ671" s="62"/>
      <c r="AR671" s="62"/>
      <c r="AS671" s="62"/>
      <c r="AT671" s="62"/>
      <c r="AU671" s="62"/>
      <c r="AV671" s="62"/>
      <c r="AW671" s="62"/>
      <c r="AX671" s="62"/>
    </row>
    <row r="672" spans="1:50" ht="14.25" customHeight="1" x14ac:dyDescent="0.3">
      <c r="A672" s="58"/>
      <c r="B672" s="58"/>
      <c r="C672" s="58"/>
      <c r="D672" s="58"/>
      <c r="E672" s="58"/>
      <c r="F672" s="58"/>
      <c r="G672" s="59"/>
      <c r="H672" s="60"/>
      <c r="I672" s="60"/>
      <c r="J672" s="59"/>
      <c r="K672" s="61"/>
      <c r="M672" s="62"/>
      <c r="N672" s="62"/>
      <c r="O672" s="62"/>
      <c r="P672" s="62"/>
      <c r="Q672" s="62"/>
      <c r="R672" s="62"/>
      <c r="S672" s="62"/>
      <c r="T672" s="62"/>
      <c r="U672" s="62"/>
      <c r="V672" s="62"/>
      <c r="W672" s="62"/>
      <c r="X672" s="62"/>
      <c r="Y672" s="62"/>
      <c r="Z672" s="62"/>
      <c r="AA672" s="62"/>
      <c r="AB672" s="62"/>
      <c r="AC672" s="62"/>
      <c r="AD672" s="62"/>
      <c r="AE672" s="62"/>
      <c r="AF672" s="62"/>
      <c r="AG672" s="62"/>
      <c r="AH672" s="62"/>
      <c r="AI672" s="62"/>
      <c r="AJ672" s="62"/>
      <c r="AK672" s="62"/>
      <c r="AL672" s="62"/>
      <c r="AM672" s="62"/>
      <c r="AN672" s="62"/>
      <c r="AO672" s="62"/>
      <c r="AP672" s="62"/>
      <c r="AQ672" s="62"/>
      <c r="AR672" s="62"/>
      <c r="AS672" s="62"/>
      <c r="AT672" s="62"/>
      <c r="AU672" s="62"/>
      <c r="AV672" s="62"/>
      <c r="AW672" s="62"/>
      <c r="AX672" s="62"/>
    </row>
    <row r="673" spans="1:50" ht="14.25" customHeight="1" x14ac:dyDescent="0.3">
      <c r="A673" s="58"/>
      <c r="B673" s="58"/>
      <c r="C673" s="58"/>
      <c r="D673" s="58"/>
      <c r="E673" s="58"/>
      <c r="F673" s="58"/>
      <c r="G673" s="59"/>
      <c r="H673" s="60"/>
      <c r="I673" s="60"/>
      <c r="J673" s="59"/>
      <c r="K673" s="61"/>
      <c r="M673" s="62"/>
      <c r="N673" s="62"/>
      <c r="O673" s="62"/>
      <c r="P673" s="62"/>
      <c r="Q673" s="62"/>
      <c r="R673" s="62"/>
      <c r="S673" s="62"/>
      <c r="T673" s="62"/>
      <c r="U673" s="62"/>
      <c r="V673" s="62"/>
      <c r="W673" s="62"/>
      <c r="X673" s="62"/>
      <c r="Y673" s="62"/>
      <c r="Z673" s="62"/>
      <c r="AA673" s="62"/>
      <c r="AB673" s="62"/>
      <c r="AC673" s="62"/>
      <c r="AD673" s="62"/>
      <c r="AE673" s="62"/>
      <c r="AF673" s="62"/>
      <c r="AG673" s="62"/>
      <c r="AH673" s="62"/>
      <c r="AI673" s="62"/>
      <c r="AJ673" s="62"/>
      <c r="AK673" s="62"/>
      <c r="AL673" s="62"/>
      <c r="AM673" s="62"/>
      <c r="AN673" s="62"/>
      <c r="AO673" s="62"/>
      <c r="AP673" s="62"/>
      <c r="AQ673" s="62"/>
      <c r="AR673" s="62"/>
      <c r="AS673" s="62"/>
      <c r="AT673" s="62"/>
      <c r="AU673" s="62"/>
      <c r="AV673" s="62"/>
      <c r="AW673" s="62"/>
      <c r="AX673" s="62"/>
    </row>
    <row r="674" spans="1:50" ht="14.25" customHeight="1" x14ac:dyDescent="0.3">
      <c r="A674" s="58"/>
      <c r="B674" s="58"/>
      <c r="C674" s="58"/>
      <c r="D674" s="58"/>
      <c r="E674" s="58"/>
      <c r="F674" s="58"/>
      <c r="G674" s="59"/>
      <c r="H674" s="60"/>
      <c r="I674" s="60"/>
      <c r="J674" s="59"/>
      <c r="K674" s="61"/>
      <c r="M674" s="62"/>
      <c r="N674" s="62"/>
      <c r="O674" s="62"/>
      <c r="P674" s="62"/>
      <c r="Q674" s="62"/>
      <c r="R674" s="62"/>
      <c r="S674" s="62"/>
      <c r="T674" s="62"/>
      <c r="U674" s="62"/>
      <c r="V674" s="62"/>
      <c r="W674" s="62"/>
      <c r="X674" s="62"/>
      <c r="Y674" s="62"/>
      <c r="Z674" s="62"/>
      <c r="AA674" s="62"/>
      <c r="AB674" s="62"/>
      <c r="AC674" s="62"/>
      <c r="AD674" s="62"/>
      <c r="AE674" s="62"/>
      <c r="AF674" s="62"/>
      <c r="AG674" s="62"/>
      <c r="AH674" s="62"/>
      <c r="AI674" s="62"/>
      <c r="AJ674" s="62"/>
      <c r="AK674" s="62"/>
      <c r="AL674" s="62"/>
      <c r="AM674" s="62"/>
      <c r="AN674" s="62"/>
      <c r="AO674" s="62"/>
      <c r="AP674" s="62"/>
      <c r="AQ674" s="62"/>
      <c r="AR674" s="62"/>
      <c r="AS674" s="62"/>
      <c r="AT674" s="62"/>
      <c r="AU674" s="62"/>
      <c r="AV674" s="62"/>
      <c r="AW674" s="62"/>
      <c r="AX674" s="62"/>
    </row>
    <row r="675" spans="1:50" ht="14.25" customHeight="1" x14ac:dyDescent="0.3">
      <c r="A675" s="58"/>
      <c r="B675" s="58"/>
      <c r="C675" s="58"/>
      <c r="D675" s="58"/>
      <c r="E675" s="58"/>
      <c r="F675" s="58"/>
      <c r="G675" s="59"/>
      <c r="H675" s="60"/>
      <c r="I675" s="60"/>
      <c r="J675" s="59"/>
      <c r="K675" s="61"/>
      <c r="M675" s="62"/>
      <c r="N675" s="62"/>
      <c r="O675" s="62"/>
      <c r="P675" s="62"/>
      <c r="Q675" s="62"/>
      <c r="R675" s="62"/>
      <c r="S675" s="62"/>
      <c r="T675" s="62"/>
      <c r="U675" s="62"/>
      <c r="V675" s="62"/>
      <c r="W675" s="62"/>
      <c r="X675" s="62"/>
      <c r="Y675" s="62"/>
      <c r="Z675" s="62"/>
      <c r="AA675" s="62"/>
      <c r="AB675" s="62"/>
      <c r="AC675" s="62"/>
      <c r="AD675" s="62"/>
      <c r="AE675" s="62"/>
      <c r="AF675" s="62"/>
      <c r="AG675" s="62"/>
      <c r="AH675" s="62"/>
      <c r="AI675" s="62"/>
      <c r="AJ675" s="62"/>
      <c r="AK675" s="62"/>
      <c r="AL675" s="62"/>
      <c r="AM675" s="62"/>
      <c r="AN675" s="62"/>
      <c r="AO675" s="62"/>
      <c r="AP675" s="62"/>
      <c r="AQ675" s="62"/>
      <c r="AR675" s="62"/>
      <c r="AS675" s="62"/>
      <c r="AT675" s="62"/>
      <c r="AU675" s="62"/>
      <c r="AV675" s="62"/>
      <c r="AW675" s="62"/>
      <c r="AX675" s="62"/>
    </row>
    <row r="676" spans="1:50" ht="14.25" customHeight="1" x14ac:dyDescent="0.3">
      <c r="A676" s="58"/>
      <c r="B676" s="58"/>
      <c r="C676" s="58"/>
      <c r="D676" s="58"/>
      <c r="E676" s="58"/>
      <c r="F676" s="58"/>
      <c r="G676" s="59"/>
      <c r="H676" s="60"/>
      <c r="I676" s="60"/>
      <c r="J676" s="59"/>
      <c r="K676" s="61"/>
      <c r="M676" s="62"/>
      <c r="N676" s="62"/>
      <c r="O676" s="62"/>
      <c r="P676" s="62"/>
      <c r="Q676" s="62"/>
      <c r="R676" s="62"/>
      <c r="S676" s="62"/>
      <c r="T676" s="62"/>
      <c r="U676" s="62"/>
      <c r="V676" s="62"/>
      <c r="W676" s="62"/>
      <c r="X676" s="62"/>
      <c r="Y676" s="62"/>
      <c r="Z676" s="62"/>
      <c r="AA676" s="62"/>
      <c r="AB676" s="62"/>
      <c r="AC676" s="62"/>
      <c r="AD676" s="62"/>
      <c r="AE676" s="62"/>
      <c r="AF676" s="62"/>
      <c r="AG676" s="62"/>
      <c r="AH676" s="62"/>
      <c r="AI676" s="62"/>
      <c r="AJ676" s="62"/>
      <c r="AK676" s="62"/>
      <c r="AL676" s="62"/>
      <c r="AM676" s="62"/>
      <c r="AN676" s="62"/>
      <c r="AO676" s="62"/>
      <c r="AP676" s="62"/>
      <c r="AQ676" s="62"/>
      <c r="AR676" s="62"/>
      <c r="AS676" s="62"/>
      <c r="AT676" s="62"/>
      <c r="AU676" s="62"/>
      <c r="AV676" s="62"/>
      <c r="AW676" s="62"/>
      <c r="AX676" s="62"/>
    </row>
    <row r="677" spans="1:50" ht="14.25" customHeight="1" x14ac:dyDescent="0.3">
      <c r="A677" s="58"/>
      <c r="B677" s="58"/>
      <c r="C677" s="58"/>
      <c r="D677" s="58"/>
      <c r="E677" s="58"/>
      <c r="F677" s="58"/>
      <c r="G677" s="59"/>
      <c r="H677" s="60"/>
      <c r="I677" s="60"/>
      <c r="J677" s="59"/>
      <c r="K677" s="61"/>
      <c r="M677" s="62"/>
      <c r="N677" s="62"/>
      <c r="O677" s="62"/>
      <c r="P677" s="62"/>
      <c r="Q677" s="62"/>
      <c r="R677" s="62"/>
      <c r="S677" s="62"/>
      <c r="T677" s="62"/>
      <c r="U677" s="62"/>
      <c r="V677" s="62"/>
      <c r="W677" s="62"/>
      <c r="X677" s="62"/>
      <c r="Y677" s="62"/>
      <c r="Z677" s="62"/>
      <c r="AA677" s="62"/>
      <c r="AB677" s="62"/>
      <c r="AC677" s="62"/>
      <c r="AD677" s="62"/>
      <c r="AE677" s="62"/>
      <c r="AF677" s="62"/>
      <c r="AG677" s="62"/>
      <c r="AH677" s="62"/>
      <c r="AI677" s="62"/>
      <c r="AJ677" s="62"/>
      <c r="AK677" s="62"/>
      <c r="AL677" s="62"/>
      <c r="AM677" s="62"/>
      <c r="AN677" s="62"/>
      <c r="AO677" s="62"/>
      <c r="AP677" s="62"/>
      <c r="AQ677" s="62"/>
      <c r="AR677" s="62"/>
      <c r="AS677" s="62"/>
      <c r="AT677" s="62"/>
      <c r="AU677" s="62"/>
      <c r="AV677" s="62"/>
      <c r="AW677" s="62"/>
      <c r="AX677" s="62"/>
    </row>
    <row r="678" spans="1:50" ht="14.25" customHeight="1" x14ac:dyDescent="0.3">
      <c r="A678" s="58"/>
      <c r="B678" s="58"/>
      <c r="C678" s="58"/>
      <c r="D678" s="58"/>
      <c r="E678" s="58"/>
      <c r="F678" s="58"/>
      <c r="G678" s="59"/>
      <c r="H678" s="60"/>
      <c r="I678" s="60"/>
      <c r="J678" s="59"/>
      <c r="K678" s="61"/>
      <c r="M678" s="62"/>
      <c r="N678" s="62"/>
      <c r="O678" s="62"/>
      <c r="P678" s="62"/>
      <c r="Q678" s="62"/>
      <c r="R678" s="62"/>
      <c r="S678" s="62"/>
      <c r="T678" s="62"/>
      <c r="U678" s="62"/>
      <c r="V678" s="62"/>
      <c r="W678" s="62"/>
      <c r="X678" s="62"/>
      <c r="Y678" s="62"/>
      <c r="Z678" s="62"/>
      <c r="AA678" s="62"/>
      <c r="AB678" s="62"/>
      <c r="AC678" s="62"/>
      <c r="AD678" s="62"/>
      <c r="AE678" s="62"/>
      <c r="AF678" s="62"/>
      <c r="AG678" s="62"/>
      <c r="AH678" s="62"/>
      <c r="AI678" s="62"/>
      <c r="AJ678" s="62"/>
      <c r="AK678" s="62"/>
      <c r="AL678" s="62"/>
      <c r="AM678" s="62"/>
      <c r="AN678" s="62"/>
      <c r="AO678" s="62"/>
      <c r="AP678" s="62"/>
      <c r="AQ678" s="62"/>
      <c r="AR678" s="62"/>
      <c r="AS678" s="62"/>
      <c r="AT678" s="62"/>
      <c r="AU678" s="62"/>
      <c r="AV678" s="62"/>
      <c r="AW678" s="62"/>
      <c r="AX678" s="62"/>
    </row>
    <row r="679" spans="1:50" ht="14.25" customHeight="1" x14ac:dyDescent="0.3">
      <c r="A679" s="58"/>
      <c r="B679" s="58"/>
      <c r="C679" s="58"/>
      <c r="D679" s="58"/>
      <c r="E679" s="58"/>
      <c r="F679" s="58"/>
      <c r="G679" s="59"/>
      <c r="H679" s="60"/>
      <c r="I679" s="60"/>
      <c r="J679" s="59"/>
      <c r="K679" s="61"/>
      <c r="M679" s="62"/>
      <c r="N679" s="62"/>
      <c r="O679" s="62"/>
      <c r="P679" s="62"/>
      <c r="Q679" s="62"/>
      <c r="R679" s="62"/>
      <c r="S679" s="62"/>
      <c r="T679" s="62"/>
      <c r="U679" s="62"/>
      <c r="V679" s="62"/>
      <c r="W679" s="62"/>
      <c r="X679" s="62"/>
      <c r="Y679" s="62"/>
      <c r="Z679" s="62"/>
      <c r="AA679" s="62"/>
      <c r="AB679" s="62"/>
      <c r="AC679" s="62"/>
      <c r="AD679" s="62"/>
      <c r="AE679" s="62"/>
      <c r="AF679" s="62"/>
      <c r="AG679" s="62"/>
      <c r="AH679" s="62"/>
      <c r="AI679" s="62"/>
      <c r="AJ679" s="62"/>
      <c r="AK679" s="62"/>
      <c r="AL679" s="62"/>
      <c r="AM679" s="62"/>
      <c r="AN679" s="62"/>
      <c r="AO679" s="62"/>
      <c r="AP679" s="62"/>
      <c r="AQ679" s="62"/>
      <c r="AR679" s="62"/>
      <c r="AS679" s="62"/>
      <c r="AT679" s="62"/>
      <c r="AU679" s="62"/>
      <c r="AV679" s="62"/>
      <c r="AW679" s="62"/>
      <c r="AX679" s="62"/>
    </row>
    <row r="680" spans="1:50" ht="14.25" customHeight="1" x14ac:dyDescent="0.3">
      <c r="A680" s="58"/>
      <c r="B680" s="58"/>
      <c r="C680" s="58"/>
      <c r="D680" s="58"/>
      <c r="E680" s="58"/>
      <c r="F680" s="58"/>
      <c r="G680" s="59"/>
      <c r="H680" s="60"/>
      <c r="I680" s="60"/>
      <c r="J680" s="59"/>
      <c r="K680" s="61"/>
      <c r="M680" s="62"/>
      <c r="N680" s="62"/>
      <c r="O680" s="62"/>
      <c r="P680" s="62"/>
      <c r="Q680" s="62"/>
      <c r="R680" s="62"/>
      <c r="S680" s="62"/>
      <c r="T680" s="62"/>
      <c r="U680" s="62"/>
      <c r="V680" s="62"/>
      <c r="W680" s="62"/>
      <c r="X680" s="62"/>
      <c r="Y680" s="62"/>
      <c r="Z680" s="62"/>
      <c r="AA680" s="62"/>
      <c r="AB680" s="62"/>
      <c r="AC680" s="62"/>
      <c r="AD680" s="62"/>
      <c r="AE680" s="62"/>
      <c r="AF680" s="62"/>
      <c r="AG680" s="62"/>
      <c r="AH680" s="62"/>
      <c r="AI680" s="62"/>
      <c r="AJ680" s="62"/>
      <c r="AK680" s="62"/>
      <c r="AL680" s="62"/>
      <c r="AM680" s="62"/>
      <c r="AN680" s="62"/>
      <c r="AO680" s="62"/>
      <c r="AP680" s="62"/>
      <c r="AQ680" s="62"/>
      <c r="AR680" s="62"/>
      <c r="AS680" s="62"/>
      <c r="AT680" s="62"/>
      <c r="AU680" s="62"/>
      <c r="AV680" s="62"/>
      <c r="AW680" s="62"/>
      <c r="AX680" s="62"/>
    </row>
    <row r="681" spans="1:50" ht="14.25" customHeight="1" x14ac:dyDescent="0.3">
      <c r="A681" s="58"/>
      <c r="B681" s="58"/>
      <c r="C681" s="58"/>
      <c r="D681" s="58"/>
      <c r="E681" s="58"/>
      <c r="F681" s="58"/>
      <c r="G681" s="59"/>
      <c r="H681" s="60"/>
      <c r="I681" s="60"/>
      <c r="J681" s="59"/>
      <c r="K681" s="61"/>
      <c r="M681" s="62"/>
      <c r="N681" s="62"/>
      <c r="O681" s="62"/>
      <c r="P681" s="62"/>
      <c r="Q681" s="62"/>
      <c r="R681" s="62"/>
      <c r="S681" s="62"/>
      <c r="T681" s="62"/>
      <c r="U681" s="62"/>
      <c r="V681" s="62"/>
      <c r="W681" s="62"/>
      <c r="X681" s="62"/>
      <c r="Y681" s="62"/>
      <c r="Z681" s="62"/>
      <c r="AA681" s="62"/>
      <c r="AB681" s="62"/>
      <c r="AC681" s="62"/>
      <c r="AD681" s="62"/>
      <c r="AE681" s="62"/>
      <c r="AF681" s="62"/>
      <c r="AG681" s="62"/>
      <c r="AH681" s="62"/>
      <c r="AI681" s="62"/>
      <c r="AJ681" s="62"/>
      <c r="AK681" s="62"/>
      <c r="AL681" s="62"/>
      <c r="AM681" s="62"/>
      <c r="AN681" s="62"/>
      <c r="AO681" s="62"/>
      <c r="AP681" s="62"/>
      <c r="AQ681" s="62"/>
      <c r="AR681" s="62"/>
      <c r="AS681" s="62"/>
      <c r="AT681" s="62"/>
      <c r="AU681" s="62"/>
      <c r="AV681" s="62"/>
      <c r="AW681" s="62"/>
      <c r="AX681" s="62"/>
    </row>
    <row r="682" spans="1:50" ht="14.25" customHeight="1" x14ac:dyDescent="0.3">
      <c r="A682" s="58"/>
      <c r="B682" s="58"/>
      <c r="C682" s="58"/>
      <c r="D682" s="58"/>
      <c r="E682" s="58"/>
      <c r="F682" s="58"/>
      <c r="G682" s="59"/>
      <c r="H682" s="60"/>
      <c r="I682" s="60"/>
      <c r="J682" s="59"/>
      <c r="K682" s="61"/>
      <c r="M682" s="62"/>
      <c r="N682" s="62"/>
      <c r="O682" s="62"/>
      <c r="P682" s="62"/>
      <c r="Q682" s="62"/>
      <c r="R682" s="62"/>
      <c r="S682" s="62"/>
      <c r="T682" s="62"/>
      <c r="U682" s="62"/>
      <c r="V682" s="62"/>
      <c r="W682" s="62"/>
      <c r="X682" s="62"/>
      <c r="Y682" s="62"/>
      <c r="Z682" s="62"/>
      <c r="AA682" s="62"/>
      <c r="AB682" s="62"/>
      <c r="AC682" s="62"/>
      <c r="AD682" s="62"/>
      <c r="AE682" s="62"/>
      <c r="AF682" s="62"/>
      <c r="AG682" s="62"/>
      <c r="AH682" s="62"/>
      <c r="AI682" s="62"/>
      <c r="AJ682" s="62"/>
      <c r="AK682" s="62"/>
      <c r="AL682" s="62"/>
      <c r="AM682" s="62"/>
      <c r="AN682" s="62"/>
      <c r="AO682" s="62"/>
      <c r="AP682" s="62"/>
      <c r="AQ682" s="62"/>
      <c r="AR682" s="62"/>
      <c r="AS682" s="62"/>
      <c r="AT682" s="62"/>
      <c r="AU682" s="62"/>
      <c r="AV682" s="62"/>
      <c r="AW682" s="62"/>
      <c r="AX682" s="62"/>
    </row>
    <row r="683" spans="1:50" ht="14.25" customHeight="1" x14ac:dyDescent="0.3">
      <c r="A683" s="58"/>
      <c r="B683" s="58"/>
      <c r="C683" s="58"/>
      <c r="D683" s="58"/>
      <c r="E683" s="58"/>
      <c r="F683" s="58"/>
      <c r="G683" s="59"/>
      <c r="H683" s="60"/>
      <c r="I683" s="60"/>
      <c r="J683" s="59"/>
      <c r="K683" s="61"/>
      <c r="M683" s="62"/>
      <c r="N683" s="62"/>
      <c r="O683" s="62"/>
      <c r="P683" s="62"/>
      <c r="Q683" s="62"/>
      <c r="R683" s="62"/>
      <c r="S683" s="62"/>
      <c r="T683" s="62"/>
      <c r="U683" s="62"/>
      <c r="V683" s="62"/>
      <c r="W683" s="62"/>
      <c r="X683" s="62"/>
      <c r="Y683" s="62"/>
      <c r="Z683" s="62"/>
      <c r="AA683" s="62"/>
      <c r="AB683" s="62"/>
      <c r="AC683" s="62"/>
      <c r="AD683" s="62"/>
      <c r="AE683" s="62"/>
      <c r="AF683" s="62"/>
      <c r="AG683" s="62"/>
      <c r="AH683" s="62"/>
      <c r="AI683" s="62"/>
      <c r="AJ683" s="62"/>
      <c r="AK683" s="62"/>
      <c r="AL683" s="62"/>
      <c r="AM683" s="62"/>
      <c r="AN683" s="62"/>
      <c r="AO683" s="62"/>
      <c r="AP683" s="62"/>
      <c r="AQ683" s="62"/>
      <c r="AR683" s="62"/>
      <c r="AS683" s="62"/>
      <c r="AT683" s="62"/>
      <c r="AU683" s="62"/>
      <c r="AV683" s="62"/>
      <c r="AW683" s="62"/>
      <c r="AX683" s="62"/>
    </row>
    <row r="684" spans="1:50" ht="14.25" customHeight="1" x14ac:dyDescent="0.3">
      <c r="A684" s="58"/>
      <c r="B684" s="58"/>
      <c r="C684" s="58"/>
      <c r="D684" s="58"/>
      <c r="E684" s="58"/>
      <c r="F684" s="58"/>
      <c r="G684" s="59"/>
      <c r="H684" s="60"/>
      <c r="I684" s="60"/>
      <c r="J684" s="59"/>
      <c r="K684" s="61"/>
      <c r="M684" s="62"/>
      <c r="N684" s="62"/>
      <c r="O684" s="62"/>
      <c r="P684" s="62"/>
      <c r="Q684" s="62"/>
      <c r="R684" s="62"/>
      <c r="S684" s="62"/>
      <c r="T684" s="62"/>
      <c r="U684" s="62"/>
      <c r="V684" s="62"/>
      <c r="W684" s="62"/>
      <c r="X684" s="62"/>
      <c r="Y684" s="62"/>
      <c r="Z684" s="62"/>
      <c r="AA684" s="62"/>
      <c r="AB684" s="62"/>
      <c r="AC684" s="62"/>
      <c r="AD684" s="62"/>
      <c r="AE684" s="62"/>
      <c r="AF684" s="62"/>
      <c r="AG684" s="62"/>
      <c r="AH684" s="62"/>
      <c r="AI684" s="62"/>
      <c r="AJ684" s="62"/>
      <c r="AK684" s="62"/>
      <c r="AL684" s="62"/>
      <c r="AM684" s="62"/>
      <c r="AN684" s="62"/>
      <c r="AO684" s="62"/>
      <c r="AP684" s="62"/>
      <c r="AQ684" s="62"/>
      <c r="AR684" s="62"/>
      <c r="AS684" s="62"/>
      <c r="AT684" s="62"/>
      <c r="AU684" s="62"/>
      <c r="AV684" s="62"/>
      <c r="AW684" s="62"/>
      <c r="AX684" s="62"/>
    </row>
    <row r="685" spans="1:50" ht="14.25" customHeight="1" x14ac:dyDescent="0.3">
      <c r="A685" s="58"/>
      <c r="B685" s="58"/>
      <c r="C685" s="58"/>
      <c r="D685" s="58"/>
      <c r="E685" s="58"/>
      <c r="F685" s="58"/>
      <c r="G685" s="59"/>
      <c r="H685" s="60"/>
      <c r="I685" s="60"/>
      <c r="J685" s="59"/>
      <c r="K685" s="61"/>
      <c r="M685" s="62"/>
      <c r="N685" s="62"/>
      <c r="O685" s="62"/>
      <c r="P685" s="62"/>
      <c r="Q685" s="62"/>
      <c r="R685" s="62"/>
      <c r="S685" s="62"/>
      <c r="T685" s="62"/>
      <c r="U685" s="62"/>
      <c r="V685" s="62"/>
      <c r="W685" s="62"/>
      <c r="X685" s="62"/>
      <c r="Y685" s="62"/>
      <c r="Z685" s="62"/>
      <c r="AA685" s="62"/>
      <c r="AB685" s="62"/>
      <c r="AC685" s="62"/>
      <c r="AD685" s="62"/>
      <c r="AE685" s="62"/>
      <c r="AF685" s="62"/>
      <c r="AG685" s="62"/>
      <c r="AH685" s="62"/>
      <c r="AI685" s="62"/>
      <c r="AJ685" s="62"/>
      <c r="AK685" s="62"/>
      <c r="AL685" s="62"/>
      <c r="AM685" s="62"/>
      <c r="AN685" s="62"/>
      <c r="AO685" s="62"/>
      <c r="AP685" s="62"/>
      <c r="AQ685" s="62"/>
      <c r="AR685" s="62"/>
      <c r="AS685" s="62"/>
      <c r="AT685" s="62"/>
      <c r="AU685" s="62"/>
      <c r="AV685" s="62"/>
      <c r="AW685" s="62"/>
      <c r="AX685" s="62"/>
    </row>
    <row r="686" spans="1:50" ht="14.25" customHeight="1" x14ac:dyDescent="0.3">
      <c r="A686" s="58"/>
      <c r="B686" s="58"/>
      <c r="C686" s="58"/>
      <c r="D686" s="58"/>
      <c r="E686" s="58"/>
      <c r="F686" s="58"/>
      <c r="G686" s="59"/>
      <c r="H686" s="60"/>
      <c r="I686" s="60"/>
      <c r="J686" s="59"/>
      <c r="K686" s="61"/>
      <c r="M686" s="62"/>
      <c r="N686" s="62"/>
      <c r="O686" s="62"/>
      <c r="P686" s="62"/>
      <c r="Q686" s="62"/>
      <c r="R686" s="62"/>
      <c r="S686" s="62"/>
      <c r="T686" s="62"/>
      <c r="U686" s="62"/>
      <c r="V686" s="62"/>
      <c r="W686" s="62"/>
      <c r="X686" s="62"/>
      <c r="Y686" s="62"/>
      <c r="Z686" s="62"/>
      <c r="AA686" s="62"/>
      <c r="AB686" s="62"/>
      <c r="AC686" s="62"/>
      <c r="AD686" s="62"/>
      <c r="AE686" s="62"/>
      <c r="AF686" s="62"/>
      <c r="AG686" s="62"/>
      <c r="AH686" s="62"/>
      <c r="AI686" s="62"/>
      <c r="AJ686" s="62"/>
      <c r="AK686" s="62"/>
      <c r="AL686" s="62"/>
      <c r="AM686" s="62"/>
      <c r="AN686" s="62"/>
      <c r="AO686" s="62"/>
      <c r="AP686" s="62"/>
      <c r="AQ686" s="62"/>
      <c r="AR686" s="62"/>
      <c r="AS686" s="62"/>
      <c r="AT686" s="62"/>
      <c r="AU686" s="62"/>
      <c r="AV686" s="62"/>
      <c r="AW686" s="62"/>
      <c r="AX686" s="62"/>
    </row>
    <row r="687" spans="1:50" ht="14.25" customHeight="1" x14ac:dyDescent="0.3">
      <c r="A687" s="58"/>
      <c r="B687" s="58"/>
      <c r="C687" s="58"/>
      <c r="D687" s="58"/>
      <c r="E687" s="58"/>
      <c r="F687" s="58"/>
      <c r="G687" s="59"/>
      <c r="H687" s="60"/>
      <c r="I687" s="60"/>
      <c r="J687" s="59"/>
      <c r="K687" s="61"/>
      <c r="M687" s="62"/>
      <c r="N687" s="62"/>
      <c r="O687" s="62"/>
      <c r="P687" s="62"/>
      <c r="Q687" s="62"/>
      <c r="R687" s="62"/>
      <c r="S687" s="62"/>
      <c r="T687" s="62"/>
      <c r="U687" s="62"/>
      <c r="V687" s="62"/>
      <c r="W687" s="62"/>
      <c r="X687" s="62"/>
      <c r="Y687" s="62"/>
      <c r="Z687" s="62"/>
      <c r="AA687" s="62"/>
      <c r="AB687" s="62"/>
      <c r="AC687" s="62"/>
      <c r="AD687" s="62"/>
      <c r="AE687" s="62"/>
      <c r="AF687" s="62"/>
      <c r="AG687" s="62"/>
      <c r="AH687" s="62"/>
      <c r="AI687" s="62"/>
      <c r="AJ687" s="62"/>
      <c r="AK687" s="62"/>
      <c r="AL687" s="62"/>
      <c r="AM687" s="62"/>
      <c r="AN687" s="62"/>
      <c r="AO687" s="62"/>
      <c r="AP687" s="62"/>
      <c r="AQ687" s="62"/>
      <c r="AR687" s="62"/>
      <c r="AS687" s="62"/>
      <c r="AT687" s="62"/>
      <c r="AU687" s="62"/>
      <c r="AV687" s="62"/>
      <c r="AW687" s="62"/>
      <c r="AX687" s="62"/>
    </row>
    <row r="688" spans="1:50" ht="14.25" customHeight="1" x14ac:dyDescent="0.3">
      <c r="A688" s="58"/>
      <c r="B688" s="58"/>
      <c r="C688" s="58"/>
      <c r="D688" s="58"/>
      <c r="E688" s="58"/>
      <c r="F688" s="58"/>
      <c r="G688" s="59"/>
      <c r="H688" s="60"/>
      <c r="I688" s="60"/>
      <c r="J688" s="59"/>
      <c r="K688" s="61"/>
      <c r="M688" s="62"/>
      <c r="N688" s="62"/>
      <c r="O688" s="62"/>
      <c r="P688" s="62"/>
      <c r="Q688" s="62"/>
      <c r="R688" s="62"/>
      <c r="S688" s="62"/>
      <c r="T688" s="62"/>
      <c r="U688" s="62"/>
      <c r="V688" s="62"/>
      <c r="W688" s="62"/>
      <c r="X688" s="62"/>
      <c r="Y688" s="62"/>
      <c r="Z688" s="62"/>
      <c r="AA688" s="62"/>
      <c r="AB688" s="62"/>
      <c r="AC688" s="62"/>
      <c r="AD688" s="62"/>
      <c r="AE688" s="62"/>
      <c r="AF688" s="62"/>
      <c r="AG688" s="62"/>
      <c r="AH688" s="62"/>
      <c r="AI688" s="62"/>
      <c r="AJ688" s="62"/>
      <c r="AK688" s="62"/>
      <c r="AL688" s="62"/>
      <c r="AM688" s="62"/>
      <c r="AN688" s="62"/>
      <c r="AO688" s="62"/>
      <c r="AP688" s="62"/>
      <c r="AQ688" s="62"/>
      <c r="AR688" s="62"/>
      <c r="AS688" s="62"/>
      <c r="AT688" s="62"/>
      <c r="AU688" s="62"/>
      <c r="AV688" s="62"/>
      <c r="AW688" s="62"/>
      <c r="AX688" s="62"/>
    </row>
    <row r="689" spans="1:50" ht="14.25" customHeight="1" x14ac:dyDescent="0.3">
      <c r="A689" s="58"/>
      <c r="B689" s="58"/>
      <c r="C689" s="58"/>
      <c r="D689" s="58"/>
      <c r="E689" s="58"/>
      <c r="F689" s="58"/>
      <c r="G689" s="59"/>
      <c r="H689" s="60"/>
      <c r="I689" s="60"/>
      <c r="J689" s="59"/>
      <c r="K689" s="61"/>
      <c r="M689" s="62"/>
      <c r="N689" s="62"/>
      <c r="O689" s="62"/>
      <c r="P689" s="62"/>
      <c r="Q689" s="62"/>
      <c r="R689" s="62"/>
      <c r="S689" s="62"/>
      <c r="T689" s="62"/>
      <c r="U689" s="62"/>
      <c r="V689" s="62"/>
      <c r="W689" s="62"/>
      <c r="X689" s="62"/>
      <c r="Y689" s="62"/>
      <c r="Z689" s="62"/>
      <c r="AA689" s="62"/>
      <c r="AB689" s="62"/>
      <c r="AC689" s="62"/>
      <c r="AD689" s="62"/>
      <c r="AE689" s="62"/>
      <c r="AF689" s="62"/>
      <c r="AG689" s="62"/>
      <c r="AH689" s="62"/>
      <c r="AI689" s="62"/>
      <c r="AJ689" s="62"/>
      <c r="AK689" s="62"/>
      <c r="AL689" s="62"/>
      <c r="AM689" s="62"/>
      <c r="AN689" s="62"/>
      <c r="AO689" s="62"/>
      <c r="AP689" s="62"/>
      <c r="AQ689" s="62"/>
      <c r="AR689" s="62"/>
      <c r="AS689" s="62"/>
      <c r="AT689" s="62"/>
      <c r="AU689" s="62"/>
      <c r="AV689" s="62"/>
      <c r="AW689" s="62"/>
      <c r="AX689" s="62"/>
    </row>
    <row r="690" spans="1:50" ht="14.25" customHeight="1" x14ac:dyDescent="0.3">
      <c r="A690" s="58"/>
      <c r="B690" s="58"/>
      <c r="C690" s="58"/>
      <c r="D690" s="58"/>
      <c r="E690" s="58"/>
      <c r="F690" s="58"/>
      <c r="G690" s="59"/>
      <c r="H690" s="60"/>
      <c r="I690" s="60"/>
      <c r="J690" s="59"/>
      <c r="K690" s="61"/>
      <c r="M690" s="62"/>
      <c r="N690" s="62"/>
      <c r="O690" s="62"/>
      <c r="P690" s="62"/>
      <c r="Q690" s="62"/>
      <c r="R690" s="62"/>
      <c r="S690" s="62"/>
      <c r="T690" s="62"/>
      <c r="U690" s="62"/>
      <c r="V690" s="62"/>
      <c r="W690" s="62"/>
      <c r="X690" s="62"/>
      <c r="Y690" s="62"/>
      <c r="Z690" s="62"/>
      <c r="AA690" s="62"/>
      <c r="AB690" s="62"/>
      <c r="AC690" s="62"/>
      <c r="AD690" s="62"/>
      <c r="AE690" s="62"/>
      <c r="AF690" s="62"/>
      <c r="AG690" s="62"/>
      <c r="AH690" s="62"/>
      <c r="AI690" s="62"/>
      <c r="AJ690" s="62"/>
      <c r="AK690" s="62"/>
      <c r="AL690" s="62"/>
      <c r="AM690" s="62"/>
      <c r="AN690" s="62"/>
      <c r="AO690" s="62"/>
      <c r="AP690" s="62"/>
      <c r="AQ690" s="62"/>
      <c r="AR690" s="62"/>
      <c r="AS690" s="62"/>
      <c r="AT690" s="62"/>
      <c r="AU690" s="62"/>
      <c r="AV690" s="62"/>
      <c r="AW690" s="62"/>
      <c r="AX690" s="62"/>
    </row>
    <row r="691" spans="1:50" ht="14.25" customHeight="1" x14ac:dyDescent="0.3">
      <c r="A691" s="58"/>
      <c r="B691" s="58"/>
      <c r="C691" s="58"/>
      <c r="D691" s="58"/>
      <c r="E691" s="58"/>
      <c r="F691" s="58"/>
      <c r="G691" s="59"/>
      <c r="H691" s="60"/>
      <c r="I691" s="60"/>
      <c r="J691" s="59"/>
      <c r="K691" s="61"/>
      <c r="M691" s="62"/>
      <c r="N691" s="62"/>
      <c r="O691" s="62"/>
      <c r="P691" s="62"/>
      <c r="Q691" s="62"/>
      <c r="R691" s="62"/>
      <c r="S691" s="62"/>
      <c r="T691" s="62"/>
      <c r="U691" s="62"/>
      <c r="V691" s="62"/>
      <c r="W691" s="62"/>
      <c r="X691" s="62"/>
      <c r="Y691" s="62"/>
      <c r="Z691" s="62"/>
      <c r="AA691" s="62"/>
      <c r="AB691" s="62"/>
      <c r="AC691" s="62"/>
      <c r="AD691" s="62"/>
      <c r="AE691" s="62"/>
      <c r="AF691" s="62"/>
      <c r="AG691" s="62"/>
      <c r="AH691" s="62"/>
      <c r="AI691" s="62"/>
      <c r="AJ691" s="62"/>
      <c r="AK691" s="62"/>
      <c r="AL691" s="62"/>
      <c r="AM691" s="62"/>
      <c r="AN691" s="62"/>
      <c r="AO691" s="62"/>
      <c r="AP691" s="62"/>
      <c r="AQ691" s="62"/>
      <c r="AR691" s="62"/>
      <c r="AS691" s="62"/>
      <c r="AT691" s="62"/>
      <c r="AU691" s="62"/>
      <c r="AV691" s="62"/>
      <c r="AW691" s="62"/>
      <c r="AX691" s="62"/>
    </row>
    <row r="692" spans="1:50" ht="14.25" customHeight="1" x14ac:dyDescent="0.3">
      <c r="A692" s="58"/>
      <c r="B692" s="58"/>
      <c r="C692" s="58"/>
      <c r="D692" s="58"/>
      <c r="E692" s="58"/>
      <c r="F692" s="58"/>
      <c r="G692" s="59"/>
      <c r="H692" s="60"/>
      <c r="I692" s="60"/>
      <c r="J692" s="59"/>
      <c r="K692" s="61"/>
      <c r="M692" s="62"/>
      <c r="N692" s="62"/>
      <c r="O692" s="62"/>
      <c r="P692" s="62"/>
      <c r="Q692" s="62"/>
      <c r="R692" s="62"/>
      <c r="S692" s="62"/>
      <c r="T692" s="62"/>
      <c r="U692" s="62"/>
      <c r="V692" s="62"/>
      <c r="W692" s="62"/>
      <c r="X692" s="62"/>
      <c r="Y692" s="62"/>
      <c r="Z692" s="62"/>
      <c r="AA692" s="62"/>
      <c r="AB692" s="62"/>
      <c r="AC692" s="62"/>
      <c r="AD692" s="62"/>
      <c r="AE692" s="62"/>
      <c r="AF692" s="62"/>
      <c r="AG692" s="62"/>
      <c r="AH692" s="62"/>
      <c r="AI692" s="62"/>
      <c r="AJ692" s="62"/>
      <c r="AK692" s="62"/>
      <c r="AL692" s="62"/>
      <c r="AM692" s="62"/>
      <c r="AN692" s="62"/>
      <c r="AO692" s="62"/>
      <c r="AP692" s="62"/>
      <c r="AQ692" s="62"/>
      <c r="AR692" s="62"/>
      <c r="AS692" s="62"/>
      <c r="AT692" s="62"/>
      <c r="AU692" s="62"/>
      <c r="AV692" s="62"/>
      <c r="AW692" s="62"/>
      <c r="AX692" s="62"/>
    </row>
    <row r="693" spans="1:50" ht="14.25" customHeight="1" x14ac:dyDescent="0.3">
      <c r="A693" s="58"/>
      <c r="B693" s="58"/>
      <c r="C693" s="58"/>
      <c r="D693" s="58"/>
      <c r="E693" s="58"/>
      <c r="F693" s="58"/>
      <c r="G693" s="59"/>
      <c r="H693" s="60"/>
      <c r="I693" s="60"/>
      <c r="J693" s="59"/>
      <c r="K693" s="61"/>
      <c r="M693" s="62"/>
      <c r="N693" s="62"/>
      <c r="O693" s="62"/>
      <c r="P693" s="62"/>
      <c r="Q693" s="62"/>
      <c r="R693" s="62"/>
      <c r="S693" s="62"/>
      <c r="T693" s="62"/>
      <c r="U693" s="62"/>
      <c r="V693" s="62"/>
      <c r="W693" s="62"/>
      <c r="X693" s="62"/>
      <c r="Y693" s="62"/>
      <c r="Z693" s="62"/>
      <c r="AA693" s="62"/>
      <c r="AB693" s="62"/>
      <c r="AC693" s="62"/>
      <c r="AD693" s="62"/>
      <c r="AE693" s="62"/>
      <c r="AF693" s="62"/>
      <c r="AG693" s="62"/>
      <c r="AH693" s="62"/>
      <c r="AI693" s="62"/>
      <c r="AJ693" s="62"/>
      <c r="AK693" s="62"/>
      <c r="AL693" s="62"/>
      <c r="AM693" s="62"/>
      <c r="AN693" s="62"/>
      <c r="AO693" s="62"/>
      <c r="AP693" s="62"/>
      <c r="AQ693" s="62"/>
      <c r="AR693" s="62"/>
      <c r="AS693" s="62"/>
      <c r="AT693" s="62"/>
      <c r="AU693" s="62"/>
      <c r="AV693" s="62"/>
      <c r="AW693" s="62"/>
      <c r="AX693" s="62"/>
    </row>
    <row r="694" spans="1:50" ht="14.25" customHeight="1" x14ac:dyDescent="0.3">
      <c r="A694" s="58"/>
      <c r="B694" s="58"/>
      <c r="C694" s="58"/>
      <c r="D694" s="58"/>
      <c r="E694" s="58"/>
      <c r="F694" s="58"/>
      <c r="G694" s="59"/>
      <c r="H694" s="60"/>
      <c r="I694" s="60"/>
      <c r="J694" s="59"/>
      <c r="K694" s="61"/>
      <c r="M694" s="62"/>
      <c r="N694" s="62"/>
      <c r="O694" s="62"/>
      <c r="P694" s="62"/>
      <c r="Q694" s="62"/>
      <c r="R694" s="62"/>
      <c r="S694" s="62"/>
      <c r="T694" s="62"/>
      <c r="U694" s="62"/>
      <c r="V694" s="62"/>
      <c r="W694" s="62"/>
      <c r="X694" s="62"/>
      <c r="Y694" s="62"/>
      <c r="Z694" s="62"/>
      <c r="AA694" s="62"/>
      <c r="AB694" s="62"/>
      <c r="AC694" s="62"/>
      <c r="AD694" s="62"/>
      <c r="AE694" s="62"/>
      <c r="AF694" s="62"/>
      <c r="AG694" s="62"/>
      <c r="AH694" s="62"/>
      <c r="AI694" s="62"/>
      <c r="AJ694" s="62"/>
      <c r="AK694" s="62"/>
      <c r="AL694" s="62"/>
      <c r="AM694" s="62"/>
      <c r="AN694" s="62"/>
      <c r="AO694" s="62"/>
      <c r="AP694" s="62"/>
      <c r="AQ694" s="62"/>
      <c r="AR694" s="62"/>
      <c r="AS694" s="62"/>
      <c r="AT694" s="62"/>
      <c r="AU694" s="62"/>
      <c r="AV694" s="62"/>
      <c r="AW694" s="62"/>
      <c r="AX694" s="62"/>
    </row>
    <row r="695" spans="1:50" ht="14.25" customHeight="1" x14ac:dyDescent="0.3">
      <c r="A695" s="58"/>
      <c r="B695" s="58"/>
      <c r="C695" s="58"/>
      <c r="D695" s="58"/>
      <c r="E695" s="58"/>
      <c r="F695" s="58"/>
      <c r="G695" s="59"/>
      <c r="H695" s="60"/>
      <c r="I695" s="60"/>
      <c r="J695" s="59"/>
      <c r="K695" s="61"/>
      <c r="M695" s="62"/>
      <c r="N695" s="62"/>
      <c r="O695" s="62"/>
      <c r="P695" s="62"/>
      <c r="Q695" s="62"/>
      <c r="R695" s="62"/>
      <c r="S695" s="62"/>
      <c r="T695" s="62"/>
      <c r="U695" s="62"/>
      <c r="V695" s="62"/>
      <c r="W695" s="62"/>
      <c r="X695" s="62"/>
      <c r="Y695" s="62"/>
      <c r="Z695" s="62"/>
      <c r="AA695" s="62"/>
      <c r="AB695" s="62"/>
      <c r="AC695" s="62"/>
      <c r="AD695" s="62"/>
      <c r="AE695" s="62"/>
      <c r="AF695" s="62"/>
      <c r="AG695" s="62"/>
      <c r="AH695" s="62"/>
      <c r="AI695" s="62"/>
      <c r="AJ695" s="62"/>
      <c r="AK695" s="62"/>
      <c r="AL695" s="62"/>
      <c r="AM695" s="62"/>
      <c r="AN695" s="62"/>
      <c r="AO695" s="62"/>
      <c r="AP695" s="62"/>
      <c r="AQ695" s="62"/>
      <c r="AR695" s="62"/>
      <c r="AS695" s="62"/>
      <c r="AT695" s="62"/>
      <c r="AU695" s="62"/>
      <c r="AV695" s="62"/>
      <c r="AW695" s="62"/>
      <c r="AX695" s="62"/>
    </row>
    <row r="696" spans="1:50" ht="14.25" customHeight="1" x14ac:dyDescent="0.3">
      <c r="A696" s="58"/>
      <c r="B696" s="58"/>
      <c r="C696" s="58"/>
      <c r="D696" s="58"/>
      <c r="E696" s="58"/>
      <c r="F696" s="58"/>
      <c r="G696" s="59"/>
      <c r="H696" s="60"/>
      <c r="I696" s="60"/>
      <c r="J696" s="59"/>
      <c r="K696" s="61"/>
      <c r="M696" s="62"/>
      <c r="N696" s="62"/>
      <c r="O696" s="62"/>
      <c r="P696" s="62"/>
      <c r="Q696" s="62"/>
      <c r="R696" s="62"/>
      <c r="S696" s="62"/>
      <c r="T696" s="62"/>
      <c r="U696" s="62"/>
      <c r="V696" s="62"/>
      <c r="W696" s="62"/>
      <c r="X696" s="62"/>
      <c r="Y696" s="62"/>
      <c r="Z696" s="62"/>
      <c r="AA696" s="62"/>
      <c r="AB696" s="62"/>
      <c r="AC696" s="62"/>
      <c r="AD696" s="62"/>
      <c r="AE696" s="62"/>
      <c r="AF696" s="62"/>
      <c r="AG696" s="62"/>
      <c r="AH696" s="62"/>
      <c r="AI696" s="62"/>
      <c r="AJ696" s="62"/>
      <c r="AK696" s="62"/>
      <c r="AL696" s="62"/>
      <c r="AM696" s="62"/>
      <c r="AN696" s="62"/>
      <c r="AO696" s="62"/>
      <c r="AP696" s="62"/>
      <c r="AQ696" s="62"/>
      <c r="AR696" s="62"/>
      <c r="AS696" s="62"/>
      <c r="AT696" s="62"/>
      <c r="AU696" s="62"/>
      <c r="AV696" s="62"/>
      <c r="AW696" s="62"/>
      <c r="AX696" s="62"/>
    </row>
    <row r="697" spans="1:50" ht="14.25" customHeight="1" x14ac:dyDescent="0.3">
      <c r="A697" s="58"/>
      <c r="B697" s="58"/>
      <c r="C697" s="58"/>
      <c r="D697" s="58"/>
      <c r="E697" s="58"/>
      <c r="F697" s="58"/>
      <c r="G697" s="59"/>
      <c r="H697" s="60"/>
      <c r="I697" s="60"/>
      <c r="J697" s="59"/>
      <c r="K697" s="61"/>
      <c r="M697" s="62"/>
      <c r="N697" s="62"/>
      <c r="O697" s="62"/>
      <c r="P697" s="62"/>
      <c r="Q697" s="62"/>
      <c r="R697" s="62"/>
      <c r="S697" s="62"/>
      <c r="T697" s="62"/>
      <c r="U697" s="62"/>
      <c r="V697" s="62"/>
      <c r="W697" s="62"/>
      <c r="X697" s="62"/>
      <c r="Y697" s="62"/>
      <c r="Z697" s="62"/>
      <c r="AA697" s="62"/>
      <c r="AB697" s="62"/>
      <c r="AC697" s="62"/>
      <c r="AD697" s="62"/>
      <c r="AE697" s="62"/>
      <c r="AF697" s="62"/>
      <c r="AG697" s="62"/>
      <c r="AH697" s="62"/>
      <c r="AI697" s="62"/>
      <c r="AJ697" s="62"/>
      <c r="AK697" s="62"/>
      <c r="AL697" s="62"/>
      <c r="AM697" s="62"/>
      <c r="AN697" s="62"/>
      <c r="AO697" s="62"/>
      <c r="AP697" s="62"/>
      <c r="AQ697" s="62"/>
      <c r="AR697" s="62"/>
      <c r="AS697" s="62"/>
      <c r="AT697" s="62"/>
      <c r="AU697" s="62"/>
      <c r="AV697" s="62"/>
      <c r="AW697" s="62"/>
      <c r="AX697" s="62"/>
    </row>
    <row r="698" spans="1:50" ht="14.25" customHeight="1" x14ac:dyDescent="0.3">
      <c r="A698" s="58"/>
      <c r="B698" s="58"/>
      <c r="C698" s="58"/>
      <c r="D698" s="58"/>
      <c r="E698" s="58"/>
      <c r="F698" s="58"/>
      <c r="G698" s="59"/>
      <c r="H698" s="60"/>
      <c r="I698" s="60"/>
      <c r="J698" s="59"/>
      <c r="K698" s="61"/>
      <c r="M698" s="62"/>
      <c r="N698" s="62"/>
      <c r="O698" s="62"/>
      <c r="P698" s="62"/>
      <c r="Q698" s="62"/>
      <c r="R698" s="62"/>
      <c r="S698" s="62"/>
      <c r="T698" s="62"/>
      <c r="U698" s="62"/>
      <c r="V698" s="62"/>
      <c r="W698" s="62"/>
      <c r="X698" s="62"/>
      <c r="Y698" s="62"/>
      <c r="Z698" s="62"/>
      <c r="AA698" s="62"/>
      <c r="AB698" s="62"/>
      <c r="AC698" s="62"/>
      <c r="AD698" s="62"/>
      <c r="AE698" s="62"/>
      <c r="AF698" s="62"/>
      <c r="AG698" s="62"/>
      <c r="AH698" s="62"/>
      <c r="AI698" s="62"/>
      <c r="AJ698" s="62"/>
      <c r="AK698" s="62"/>
      <c r="AL698" s="62"/>
      <c r="AM698" s="62"/>
      <c r="AN698" s="62"/>
      <c r="AO698" s="62"/>
      <c r="AP698" s="62"/>
      <c r="AQ698" s="62"/>
      <c r="AR698" s="62"/>
      <c r="AS698" s="62"/>
      <c r="AT698" s="62"/>
      <c r="AU698" s="62"/>
      <c r="AV698" s="62"/>
      <c r="AW698" s="62"/>
      <c r="AX698" s="62"/>
    </row>
    <row r="699" spans="1:50" ht="14.25" customHeight="1" x14ac:dyDescent="0.3">
      <c r="A699" s="58"/>
      <c r="B699" s="58"/>
      <c r="C699" s="58"/>
      <c r="D699" s="58"/>
      <c r="E699" s="58"/>
      <c r="F699" s="58"/>
      <c r="G699" s="59"/>
      <c r="H699" s="60"/>
      <c r="I699" s="60"/>
      <c r="J699" s="59"/>
      <c r="K699" s="61"/>
      <c r="M699" s="62"/>
      <c r="N699" s="62"/>
      <c r="O699" s="62"/>
      <c r="P699" s="62"/>
      <c r="Q699" s="62"/>
      <c r="R699" s="62"/>
      <c r="S699" s="62"/>
      <c r="T699" s="62"/>
      <c r="U699" s="62"/>
      <c r="V699" s="62"/>
      <c r="W699" s="62"/>
      <c r="X699" s="62"/>
      <c r="Y699" s="62"/>
      <c r="Z699" s="62"/>
      <c r="AA699" s="62"/>
      <c r="AB699" s="62"/>
      <c r="AC699" s="62"/>
      <c r="AD699" s="62"/>
      <c r="AE699" s="62"/>
      <c r="AF699" s="62"/>
      <c r="AG699" s="62"/>
      <c r="AH699" s="62"/>
      <c r="AI699" s="62"/>
      <c r="AJ699" s="62"/>
      <c r="AK699" s="62"/>
      <c r="AL699" s="62"/>
      <c r="AM699" s="62"/>
      <c r="AN699" s="62"/>
      <c r="AO699" s="62"/>
      <c r="AP699" s="62"/>
      <c r="AQ699" s="62"/>
      <c r="AR699" s="62"/>
      <c r="AS699" s="62"/>
      <c r="AT699" s="62"/>
      <c r="AU699" s="62"/>
      <c r="AV699" s="62"/>
      <c r="AW699" s="62"/>
      <c r="AX699" s="62"/>
    </row>
    <row r="700" spans="1:50" ht="14.25" customHeight="1" x14ac:dyDescent="0.3">
      <c r="A700" s="58"/>
      <c r="B700" s="58"/>
      <c r="C700" s="58"/>
      <c r="D700" s="58"/>
      <c r="E700" s="58"/>
      <c r="F700" s="58"/>
      <c r="G700" s="59"/>
      <c r="H700" s="60"/>
      <c r="I700" s="60"/>
      <c r="J700" s="59"/>
      <c r="K700" s="61"/>
      <c r="M700" s="62"/>
      <c r="N700" s="62"/>
      <c r="O700" s="62"/>
      <c r="P700" s="62"/>
      <c r="Q700" s="62"/>
      <c r="R700" s="62"/>
      <c r="S700" s="62"/>
      <c r="T700" s="62"/>
      <c r="U700" s="62"/>
      <c r="V700" s="62"/>
      <c r="W700" s="62"/>
      <c r="X700" s="62"/>
      <c r="Y700" s="62"/>
      <c r="Z700" s="62"/>
      <c r="AA700" s="62"/>
      <c r="AB700" s="62"/>
      <c r="AC700" s="62"/>
      <c r="AD700" s="62"/>
      <c r="AE700" s="62"/>
      <c r="AF700" s="62"/>
      <c r="AG700" s="62"/>
      <c r="AH700" s="62"/>
      <c r="AI700" s="62"/>
      <c r="AJ700" s="62"/>
      <c r="AK700" s="62"/>
      <c r="AL700" s="62"/>
      <c r="AM700" s="62"/>
      <c r="AN700" s="62"/>
      <c r="AO700" s="62"/>
      <c r="AP700" s="62"/>
      <c r="AQ700" s="62"/>
      <c r="AR700" s="62"/>
      <c r="AS700" s="62"/>
      <c r="AT700" s="62"/>
      <c r="AU700" s="62"/>
      <c r="AV700" s="62"/>
      <c r="AW700" s="62"/>
      <c r="AX700" s="62"/>
    </row>
    <row r="701" spans="1:50" ht="14.25" customHeight="1" x14ac:dyDescent="0.3">
      <c r="A701" s="58"/>
      <c r="B701" s="58"/>
      <c r="C701" s="58"/>
      <c r="D701" s="58"/>
      <c r="E701" s="58"/>
      <c r="F701" s="58"/>
      <c r="G701" s="59"/>
      <c r="H701" s="60"/>
      <c r="I701" s="60"/>
      <c r="J701" s="59"/>
      <c r="K701" s="61"/>
      <c r="M701" s="62"/>
      <c r="N701" s="62"/>
      <c r="O701" s="62"/>
      <c r="P701" s="62"/>
      <c r="Q701" s="62"/>
      <c r="R701" s="62"/>
      <c r="S701" s="62"/>
      <c r="T701" s="62"/>
      <c r="U701" s="62"/>
      <c r="V701" s="62"/>
      <c r="W701" s="62"/>
      <c r="X701" s="62"/>
      <c r="Y701" s="62"/>
      <c r="Z701" s="62"/>
      <c r="AA701" s="62"/>
      <c r="AB701" s="62"/>
      <c r="AC701" s="62"/>
      <c r="AD701" s="62"/>
      <c r="AE701" s="62"/>
      <c r="AF701" s="62"/>
      <c r="AG701" s="62"/>
      <c r="AH701" s="62"/>
      <c r="AI701" s="62"/>
      <c r="AJ701" s="62"/>
      <c r="AK701" s="62"/>
      <c r="AL701" s="62"/>
      <c r="AM701" s="62"/>
      <c r="AN701" s="62"/>
      <c r="AO701" s="62"/>
      <c r="AP701" s="62"/>
      <c r="AQ701" s="62"/>
      <c r="AR701" s="62"/>
      <c r="AS701" s="62"/>
      <c r="AT701" s="62"/>
      <c r="AU701" s="62"/>
      <c r="AV701" s="62"/>
      <c r="AW701" s="62"/>
      <c r="AX701" s="62"/>
    </row>
    <row r="702" spans="1:50" ht="14.25" customHeight="1" x14ac:dyDescent="0.3">
      <c r="A702" s="58"/>
      <c r="B702" s="58"/>
      <c r="C702" s="58"/>
      <c r="D702" s="58"/>
      <c r="E702" s="58"/>
      <c r="F702" s="58"/>
      <c r="G702" s="59"/>
      <c r="H702" s="60"/>
      <c r="I702" s="60"/>
      <c r="J702" s="59"/>
      <c r="K702" s="61"/>
      <c r="M702" s="62"/>
      <c r="N702" s="62"/>
      <c r="O702" s="62"/>
      <c r="P702" s="62"/>
      <c r="Q702" s="62"/>
      <c r="R702" s="62"/>
      <c r="S702" s="62"/>
      <c r="T702" s="62"/>
      <c r="U702" s="62"/>
      <c r="V702" s="62"/>
      <c r="W702" s="62"/>
      <c r="X702" s="62"/>
      <c r="Y702" s="62"/>
      <c r="Z702" s="62"/>
      <c r="AA702" s="62"/>
      <c r="AB702" s="62"/>
      <c r="AC702" s="62"/>
      <c r="AD702" s="62"/>
      <c r="AE702" s="62"/>
      <c r="AF702" s="62"/>
      <c r="AG702" s="62"/>
      <c r="AH702" s="62"/>
      <c r="AI702" s="62"/>
      <c r="AJ702" s="62"/>
      <c r="AK702" s="62"/>
      <c r="AL702" s="62"/>
      <c r="AM702" s="62"/>
      <c r="AN702" s="62"/>
      <c r="AO702" s="62"/>
      <c r="AP702" s="62"/>
      <c r="AQ702" s="62"/>
      <c r="AR702" s="62"/>
      <c r="AS702" s="62"/>
      <c r="AT702" s="62"/>
      <c r="AU702" s="62"/>
      <c r="AV702" s="62"/>
      <c r="AW702" s="62"/>
      <c r="AX702" s="62"/>
    </row>
    <row r="703" spans="1:50" ht="14.25" customHeight="1" x14ac:dyDescent="0.3">
      <c r="A703" s="58"/>
      <c r="B703" s="58"/>
      <c r="C703" s="58"/>
      <c r="D703" s="58"/>
      <c r="E703" s="58"/>
      <c r="F703" s="58"/>
      <c r="G703" s="59"/>
      <c r="H703" s="60"/>
      <c r="I703" s="60"/>
      <c r="J703" s="59"/>
      <c r="K703" s="61"/>
      <c r="M703" s="62"/>
      <c r="N703" s="62"/>
      <c r="O703" s="62"/>
      <c r="P703" s="62"/>
      <c r="Q703" s="62"/>
      <c r="R703" s="62"/>
      <c r="S703" s="62"/>
      <c r="T703" s="62"/>
      <c r="U703" s="62"/>
      <c r="V703" s="62"/>
      <c r="W703" s="62"/>
      <c r="X703" s="62"/>
      <c r="Y703" s="62"/>
      <c r="Z703" s="62"/>
      <c r="AA703" s="62"/>
      <c r="AB703" s="62"/>
      <c r="AC703" s="62"/>
      <c r="AD703" s="62"/>
      <c r="AE703" s="62"/>
      <c r="AF703" s="62"/>
      <c r="AG703" s="62"/>
      <c r="AH703" s="62"/>
      <c r="AI703" s="62"/>
      <c r="AJ703" s="62"/>
      <c r="AK703" s="62"/>
      <c r="AL703" s="62"/>
      <c r="AM703" s="62"/>
      <c r="AN703" s="62"/>
      <c r="AO703" s="62"/>
      <c r="AP703" s="62"/>
      <c r="AQ703" s="62"/>
      <c r="AR703" s="62"/>
      <c r="AS703" s="62"/>
      <c r="AT703" s="62"/>
      <c r="AU703" s="62"/>
      <c r="AV703" s="62"/>
      <c r="AW703" s="62"/>
      <c r="AX703" s="62"/>
    </row>
    <row r="704" spans="1:50" ht="14.25" customHeight="1" x14ac:dyDescent="0.3">
      <c r="A704" s="58"/>
      <c r="B704" s="58"/>
      <c r="C704" s="58"/>
      <c r="D704" s="58"/>
      <c r="E704" s="58"/>
      <c r="F704" s="58"/>
      <c r="G704" s="59"/>
      <c r="H704" s="60"/>
      <c r="I704" s="60"/>
      <c r="J704" s="59"/>
      <c r="K704" s="61"/>
      <c r="M704" s="62"/>
      <c r="N704" s="62"/>
      <c r="O704" s="62"/>
      <c r="P704" s="62"/>
      <c r="Q704" s="62"/>
      <c r="R704" s="62"/>
      <c r="S704" s="62"/>
      <c r="T704" s="62"/>
      <c r="U704" s="62"/>
      <c r="V704" s="62"/>
      <c r="W704" s="62"/>
      <c r="X704" s="62"/>
      <c r="Y704" s="62"/>
      <c r="Z704" s="62"/>
      <c r="AA704" s="62"/>
      <c r="AB704" s="62"/>
      <c r="AC704" s="62"/>
      <c r="AD704" s="62"/>
      <c r="AE704" s="62"/>
      <c r="AF704" s="62"/>
      <c r="AG704" s="62"/>
      <c r="AH704" s="62"/>
      <c r="AI704" s="62"/>
      <c r="AJ704" s="62"/>
      <c r="AK704" s="62"/>
      <c r="AL704" s="62"/>
      <c r="AM704" s="62"/>
      <c r="AN704" s="62"/>
      <c r="AO704" s="62"/>
      <c r="AP704" s="62"/>
      <c r="AQ704" s="62"/>
      <c r="AR704" s="62"/>
      <c r="AS704" s="62"/>
      <c r="AT704" s="62"/>
      <c r="AU704" s="62"/>
      <c r="AV704" s="62"/>
      <c r="AW704" s="62"/>
      <c r="AX704" s="62"/>
    </row>
    <row r="705" spans="1:50" ht="14.25" customHeight="1" x14ac:dyDescent="0.3">
      <c r="A705" s="58"/>
      <c r="B705" s="58"/>
      <c r="C705" s="58"/>
      <c r="D705" s="58"/>
      <c r="E705" s="58"/>
      <c r="F705" s="58"/>
      <c r="G705" s="59"/>
      <c r="H705" s="60"/>
      <c r="I705" s="60"/>
      <c r="J705" s="59"/>
      <c r="K705" s="61"/>
      <c r="M705" s="62"/>
      <c r="N705" s="62"/>
      <c r="O705" s="62"/>
      <c r="P705" s="62"/>
      <c r="Q705" s="62"/>
      <c r="R705" s="62"/>
      <c r="S705" s="62"/>
      <c r="T705" s="62"/>
      <c r="U705" s="62"/>
      <c r="V705" s="62"/>
      <c r="W705" s="62"/>
      <c r="X705" s="62"/>
      <c r="Y705" s="62"/>
      <c r="Z705" s="62"/>
      <c r="AA705" s="62"/>
      <c r="AB705" s="62"/>
      <c r="AC705" s="62"/>
      <c r="AD705" s="62"/>
      <c r="AE705" s="62"/>
      <c r="AF705" s="62"/>
      <c r="AG705" s="62"/>
      <c r="AH705" s="62"/>
      <c r="AI705" s="62"/>
      <c r="AJ705" s="62"/>
      <c r="AK705" s="62"/>
      <c r="AL705" s="62"/>
      <c r="AM705" s="62"/>
      <c r="AN705" s="62"/>
      <c r="AO705" s="62"/>
      <c r="AP705" s="62"/>
      <c r="AQ705" s="62"/>
      <c r="AR705" s="62"/>
      <c r="AS705" s="62"/>
      <c r="AT705" s="62"/>
      <c r="AU705" s="62"/>
      <c r="AV705" s="62"/>
      <c r="AW705" s="62"/>
      <c r="AX705" s="62"/>
    </row>
    <row r="706" spans="1:50" ht="14.25" customHeight="1" x14ac:dyDescent="0.3">
      <c r="A706" s="58"/>
      <c r="B706" s="58"/>
      <c r="C706" s="58"/>
      <c r="D706" s="58"/>
      <c r="E706" s="58"/>
      <c r="F706" s="58"/>
      <c r="G706" s="59"/>
      <c r="H706" s="60"/>
      <c r="I706" s="60"/>
      <c r="J706" s="59"/>
      <c r="K706" s="61"/>
      <c r="M706" s="62"/>
      <c r="N706" s="62"/>
      <c r="O706" s="62"/>
      <c r="P706" s="62"/>
      <c r="Q706" s="62"/>
      <c r="R706" s="62"/>
      <c r="S706" s="62"/>
      <c r="T706" s="62"/>
      <c r="U706" s="62"/>
      <c r="V706" s="62"/>
      <c r="W706" s="62"/>
      <c r="X706" s="62"/>
      <c r="Y706" s="62"/>
      <c r="Z706" s="62"/>
      <c r="AA706" s="62"/>
      <c r="AB706" s="62"/>
      <c r="AC706" s="62"/>
      <c r="AD706" s="62"/>
      <c r="AE706" s="62"/>
      <c r="AF706" s="62"/>
      <c r="AG706" s="62"/>
      <c r="AH706" s="62"/>
      <c r="AI706" s="62"/>
      <c r="AJ706" s="62"/>
      <c r="AK706" s="62"/>
      <c r="AL706" s="62"/>
      <c r="AM706" s="62"/>
      <c r="AN706" s="62"/>
      <c r="AO706" s="62"/>
      <c r="AP706" s="62"/>
      <c r="AQ706" s="62"/>
      <c r="AR706" s="62"/>
      <c r="AS706" s="62"/>
      <c r="AT706" s="62"/>
      <c r="AU706" s="62"/>
      <c r="AV706" s="62"/>
      <c r="AW706" s="62"/>
      <c r="AX706" s="62"/>
    </row>
    <row r="707" spans="1:50" ht="14.25" customHeight="1" x14ac:dyDescent="0.3">
      <c r="A707" s="58"/>
      <c r="B707" s="58"/>
      <c r="C707" s="58"/>
      <c r="D707" s="58"/>
      <c r="E707" s="58"/>
      <c r="F707" s="58"/>
      <c r="G707" s="59"/>
      <c r="H707" s="60"/>
      <c r="I707" s="60"/>
      <c r="J707" s="59"/>
      <c r="K707" s="61"/>
      <c r="M707" s="62"/>
      <c r="N707" s="62"/>
      <c r="O707" s="62"/>
      <c r="P707" s="62"/>
      <c r="Q707" s="62"/>
      <c r="R707" s="62"/>
      <c r="S707" s="62"/>
      <c r="T707" s="62"/>
      <c r="U707" s="62"/>
      <c r="V707" s="62"/>
      <c r="W707" s="62"/>
      <c r="X707" s="62"/>
      <c r="Y707" s="62"/>
      <c r="Z707" s="62"/>
      <c r="AA707" s="62"/>
      <c r="AB707" s="62"/>
      <c r="AC707" s="62"/>
      <c r="AD707" s="62"/>
      <c r="AE707" s="62"/>
      <c r="AF707" s="62"/>
      <c r="AG707" s="62"/>
      <c r="AH707" s="62"/>
      <c r="AI707" s="62"/>
      <c r="AJ707" s="62"/>
      <c r="AK707" s="62"/>
      <c r="AL707" s="62"/>
      <c r="AM707" s="62"/>
      <c r="AN707" s="62"/>
      <c r="AO707" s="62"/>
      <c r="AP707" s="62"/>
      <c r="AQ707" s="62"/>
      <c r="AR707" s="62"/>
      <c r="AS707" s="62"/>
      <c r="AT707" s="62"/>
      <c r="AU707" s="62"/>
      <c r="AV707" s="62"/>
      <c r="AW707" s="62"/>
      <c r="AX707" s="62"/>
    </row>
    <row r="708" spans="1:50" ht="14.25" customHeight="1" x14ac:dyDescent="0.3">
      <c r="A708" s="58"/>
      <c r="B708" s="58"/>
      <c r="C708" s="58"/>
      <c r="D708" s="58"/>
      <c r="E708" s="58"/>
      <c r="F708" s="58"/>
      <c r="G708" s="59"/>
      <c r="H708" s="60"/>
      <c r="I708" s="60"/>
      <c r="J708" s="59"/>
      <c r="K708" s="61"/>
      <c r="M708" s="62"/>
      <c r="N708" s="62"/>
      <c r="O708" s="62"/>
      <c r="P708" s="62"/>
      <c r="Q708" s="62"/>
      <c r="R708" s="62"/>
      <c r="S708" s="62"/>
      <c r="T708" s="62"/>
      <c r="U708" s="62"/>
      <c r="V708" s="62"/>
      <c r="W708" s="62"/>
      <c r="X708" s="62"/>
      <c r="Y708" s="62"/>
      <c r="Z708" s="62"/>
      <c r="AA708" s="62"/>
      <c r="AB708" s="62"/>
      <c r="AC708" s="62"/>
      <c r="AD708" s="62"/>
      <c r="AE708" s="62"/>
      <c r="AF708" s="62"/>
      <c r="AG708" s="62"/>
      <c r="AH708" s="62"/>
      <c r="AI708" s="62"/>
      <c r="AJ708" s="62"/>
      <c r="AK708" s="62"/>
      <c r="AL708" s="62"/>
      <c r="AM708" s="62"/>
      <c r="AN708" s="62"/>
      <c r="AO708" s="62"/>
      <c r="AP708" s="62"/>
      <c r="AQ708" s="62"/>
      <c r="AR708" s="62"/>
      <c r="AS708" s="62"/>
      <c r="AT708" s="62"/>
      <c r="AU708" s="62"/>
      <c r="AV708" s="62"/>
      <c r="AW708" s="62"/>
      <c r="AX708" s="62"/>
    </row>
    <row r="709" spans="1:50" ht="14.25" customHeight="1" x14ac:dyDescent="0.3">
      <c r="A709" s="58"/>
      <c r="B709" s="58"/>
      <c r="C709" s="58"/>
      <c r="D709" s="58"/>
      <c r="E709" s="58"/>
      <c r="F709" s="58"/>
      <c r="G709" s="59"/>
      <c r="H709" s="60"/>
      <c r="I709" s="60"/>
      <c r="J709" s="59"/>
      <c r="K709" s="61"/>
      <c r="M709" s="62"/>
      <c r="N709" s="62"/>
      <c r="O709" s="62"/>
      <c r="P709" s="62"/>
      <c r="Q709" s="62"/>
      <c r="R709" s="62"/>
      <c r="S709" s="62"/>
      <c r="T709" s="62"/>
      <c r="U709" s="62"/>
      <c r="V709" s="62"/>
      <c r="W709" s="62"/>
      <c r="X709" s="62"/>
      <c r="Y709" s="62"/>
      <c r="Z709" s="62"/>
      <c r="AA709" s="62"/>
      <c r="AB709" s="62"/>
      <c r="AC709" s="62"/>
      <c r="AD709" s="62"/>
      <c r="AE709" s="62"/>
      <c r="AF709" s="62"/>
      <c r="AG709" s="62"/>
      <c r="AH709" s="62"/>
      <c r="AI709" s="62"/>
      <c r="AJ709" s="62"/>
      <c r="AK709" s="62"/>
      <c r="AL709" s="62"/>
      <c r="AM709" s="62"/>
      <c r="AN709" s="62"/>
      <c r="AO709" s="62"/>
      <c r="AP709" s="62"/>
      <c r="AQ709" s="62"/>
      <c r="AR709" s="62"/>
      <c r="AS709" s="62"/>
      <c r="AT709" s="62"/>
      <c r="AU709" s="62"/>
      <c r="AV709" s="62"/>
      <c r="AW709" s="62"/>
      <c r="AX709" s="62"/>
    </row>
    <row r="710" spans="1:50" ht="14.25" customHeight="1" x14ac:dyDescent="0.3">
      <c r="A710" s="58"/>
      <c r="B710" s="58"/>
      <c r="C710" s="58"/>
      <c r="D710" s="58"/>
      <c r="E710" s="58"/>
      <c r="F710" s="58"/>
      <c r="G710" s="59"/>
      <c r="H710" s="60"/>
      <c r="I710" s="60"/>
      <c r="J710" s="59"/>
      <c r="K710" s="61"/>
      <c r="M710" s="62"/>
      <c r="N710" s="62"/>
      <c r="O710" s="62"/>
      <c r="P710" s="62"/>
      <c r="Q710" s="62"/>
      <c r="R710" s="62"/>
      <c r="S710" s="62"/>
      <c r="T710" s="62"/>
      <c r="U710" s="62"/>
      <c r="V710" s="62"/>
      <c r="W710" s="62"/>
      <c r="X710" s="62"/>
      <c r="Y710" s="62"/>
      <c r="Z710" s="62"/>
      <c r="AA710" s="62"/>
      <c r="AB710" s="62"/>
      <c r="AC710" s="62"/>
      <c r="AD710" s="62"/>
      <c r="AE710" s="62"/>
      <c r="AF710" s="62"/>
      <c r="AG710" s="62"/>
      <c r="AH710" s="62"/>
      <c r="AI710" s="62"/>
      <c r="AJ710" s="62"/>
      <c r="AK710" s="62"/>
      <c r="AL710" s="62"/>
      <c r="AM710" s="62"/>
      <c r="AN710" s="62"/>
      <c r="AO710" s="62"/>
      <c r="AP710" s="62"/>
      <c r="AQ710" s="62"/>
      <c r="AR710" s="62"/>
      <c r="AS710" s="62"/>
      <c r="AT710" s="62"/>
      <c r="AU710" s="62"/>
      <c r="AV710" s="62"/>
      <c r="AW710" s="62"/>
      <c r="AX710" s="62"/>
    </row>
    <row r="711" spans="1:50" ht="14.25" customHeight="1" x14ac:dyDescent="0.3">
      <c r="A711" s="58"/>
      <c r="B711" s="58"/>
      <c r="C711" s="58"/>
      <c r="D711" s="58"/>
      <c r="E711" s="58"/>
      <c r="F711" s="58"/>
      <c r="G711" s="59"/>
      <c r="H711" s="60"/>
      <c r="I711" s="60"/>
      <c r="J711" s="59"/>
      <c r="K711" s="61"/>
      <c r="M711" s="62"/>
      <c r="N711" s="62"/>
      <c r="O711" s="62"/>
      <c r="P711" s="62"/>
      <c r="Q711" s="62"/>
      <c r="R711" s="62"/>
      <c r="S711" s="62"/>
      <c r="T711" s="62"/>
      <c r="U711" s="62"/>
      <c r="V711" s="62"/>
      <c r="W711" s="62"/>
      <c r="X711" s="62"/>
      <c r="Y711" s="62"/>
      <c r="Z711" s="62"/>
      <c r="AA711" s="62"/>
      <c r="AB711" s="62"/>
      <c r="AC711" s="62"/>
      <c r="AD711" s="62"/>
      <c r="AE711" s="62"/>
      <c r="AF711" s="62"/>
      <c r="AG711" s="62"/>
      <c r="AH711" s="62"/>
      <c r="AI711" s="62"/>
      <c r="AJ711" s="62"/>
      <c r="AK711" s="62"/>
      <c r="AL711" s="62"/>
      <c r="AM711" s="62"/>
      <c r="AN711" s="62"/>
      <c r="AO711" s="62"/>
      <c r="AP711" s="62"/>
      <c r="AQ711" s="62"/>
      <c r="AR711" s="62"/>
      <c r="AS711" s="62"/>
      <c r="AT711" s="62"/>
      <c r="AU711" s="62"/>
      <c r="AV711" s="62"/>
      <c r="AW711" s="62"/>
      <c r="AX711" s="62"/>
    </row>
    <row r="712" spans="1:50" ht="14.25" customHeight="1" x14ac:dyDescent="0.3">
      <c r="A712" s="58"/>
      <c r="B712" s="58"/>
      <c r="C712" s="58"/>
      <c r="D712" s="58"/>
      <c r="E712" s="58"/>
      <c r="F712" s="58"/>
      <c r="G712" s="59"/>
      <c r="H712" s="60"/>
      <c r="I712" s="60"/>
      <c r="J712" s="59"/>
      <c r="K712" s="61"/>
      <c r="M712" s="62"/>
      <c r="N712" s="62"/>
      <c r="O712" s="62"/>
      <c r="P712" s="62"/>
      <c r="Q712" s="62"/>
      <c r="R712" s="62"/>
      <c r="S712" s="62"/>
      <c r="T712" s="62"/>
      <c r="U712" s="62"/>
      <c r="V712" s="62"/>
      <c r="W712" s="62"/>
      <c r="X712" s="62"/>
      <c r="Y712" s="62"/>
      <c r="Z712" s="62"/>
      <c r="AA712" s="62"/>
      <c r="AB712" s="62"/>
      <c r="AC712" s="62"/>
      <c r="AD712" s="62"/>
      <c r="AE712" s="62"/>
      <c r="AF712" s="62"/>
      <c r="AG712" s="62"/>
      <c r="AH712" s="62"/>
      <c r="AI712" s="62"/>
      <c r="AJ712" s="62"/>
      <c r="AK712" s="62"/>
      <c r="AL712" s="62"/>
      <c r="AM712" s="62"/>
      <c r="AN712" s="62"/>
      <c r="AO712" s="62"/>
      <c r="AP712" s="62"/>
      <c r="AQ712" s="62"/>
      <c r="AR712" s="62"/>
      <c r="AS712" s="62"/>
      <c r="AT712" s="62"/>
      <c r="AU712" s="62"/>
      <c r="AV712" s="62"/>
      <c r="AW712" s="62"/>
      <c r="AX712" s="62"/>
    </row>
    <row r="713" spans="1:50" ht="14.25" customHeight="1" x14ac:dyDescent="0.3">
      <c r="A713" s="58"/>
      <c r="B713" s="58"/>
      <c r="C713" s="58"/>
      <c r="D713" s="58"/>
      <c r="E713" s="58"/>
      <c r="F713" s="58"/>
      <c r="G713" s="59"/>
      <c r="H713" s="60"/>
      <c r="I713" s="60"/>
      <c r="J713" s="59"/>
      <c r="K713" s="61"/>
      <c r="M713" s="62"/>
      <c r="N713" s="62"/>
      <c r="O713" s="62"/>
      <c r="P713" s="62"/>
      <c r="Q713" s="62"/>
      <c r="R713" s="62"/>
      <c r="S713" s="62"/>
      <c r="T713" s="62"/>
      <c r="U713" s="62"/>
      <c r="V713" s="62"/>
      <c r="W713" s="62"/>
      <c r="X713" s="62"/>
      <c r="Y713" s="62"/>
      <c r="Z713" s="62"/>
      <c r="AA713" s="62"/>
      <c r="AB713" s="62"/>
      <c r="AC713" s="62"/>
      <c r="AD713" s="62"/>
      <c r="AE713" s="62"/>
      <c r="AF713" s="62"/>
      <c r="AG713" s="62"/>
      <c r="AH713" s="62"/>
      <c r="AI713" s="62"/>
      <c r="AJ713" s="62"/>
      <c r="AK713" s="62"/>
      <c r="AL713" s="62"/>
      <c r="AM713" s="62"/>
      <c r="AN713" s="62"/>
      <c r="AO713" s="62"/>
      <c r="AP713" s="62"/>
      <c r="AQ713" s="62"/>
      <c r="AR713" s="62"/>
      <c r="AS713" s="62"/>
      <c r="AT713" s="62"/>
      <c r="AU713" s="62"/>
      <c r="AV713" s="62"/>
      <c r="AW713" s="62"/>
      <c r="AX713" s="62"/>
    </row>
    <row r="714" spans="1:50" ht="14.25" customHeight="1" x14ac:dyDescent="0.3">
      <c r="A714" s="58"/>
      <c r="B714" s="58"/>
      <c r="C714" s="58"/>
      <c r="D714" s="58"/>
      <c r="E714" s="58"/>
      <c r="F714" s="58"/>
      <c r="G714" s="59"/>
      <c r="H714" s="60"/>
      <c r="I714" s="60"/>
      <c r="J714" s="59"/>
      <c r="K714" s="61"/>
      <c r="M714" s="62"/>
      <c r="N714" s="62"/>
      <c r="O714" s="62"/>
      <c r="P714" s="62"/>
      <c r="Q714" s="62"/>
      <c r="R714" s="62"/>
      <c r="S714" s="62"/>
      <c r="T714" s="62"/>
      <c r="U714" s="62"/>
      <c r="V714" s="62"/>
      <c r="W714" s="62"/>
      <c r="X714" s="62"/>
      <c r="Y714" s="62"/>
      <c r="Z714" s="62"/>
      <c r="AA714" s="62"/>
      <c r="AB714" s="62"/>
      <c r="AC714" s="62"/>
      <c r="AD714" s="62"/>
      <c r="AE714" s="62"/>
      <c r="AF714" s="62"/>
      <c r="AG714" s="62"/>
      <c r="AH714" s="62"/>
      <c r="AI714" s="62"/>
      <c r="AJ714" s="62"/>
      <c r="AK714" s="62"/>
      <c r="AL714" s="62"/>
      <c r="AM714" s="62"/>
      <c r="AN714" s="62"/>
      <c r="AO714" s="62"/>
      <c r="AP714" s="62"/>
      <c r="AQ714" s="62"/>
      <c r="AR714" s="62"/>
      <c r="AS714" s="62"/>
      <c r="AT714" s="62"/>
      <c r="AU714" s="62"/>
      <c r="AV714" s="62"/>
      <c r="AW714" s="62"/>
      <c r="AX714" s="62"/>
    </row>
    <row r="715" spans="1:50" ht="14.25" customHeight="1" x14ac:dyDescent="0.3">
      <c r="A715" s="58"/>
      <c r="B715" s="58"/>
      <c r="C715" s="58"/>
      <c r="D715" s="58"/>
      <c r="E715" s="58"/>
      <c r="F715" s="58"/>
      <c r="G715" s="59"/>
      <c r="H715" s="60"/>
      <c r="I715" s="60"/>
      <c r="J715" s="59"/>
      <c r="K715" s="61"/>
      <c r="M715" s="62"/>
      <c r="N715" s="62"/>
      <c r="O715" s="62"/>
      <c r="P715" s="62"/>
      <c r="Q715" s="62"/>
      <c r="R715" s="62"/>
      <c r="S715" s="62"/>
      <c r="T715" s="62"/>
      <c r="U715" s="62"/>
      <c r="V715" s="62"/>
      <c r="W715" s="62"/>
      <c r="X715" s="62"/>
      <c r="Y715" s="62"/>
      <c r="Z715" s="62"/>
      <c r="AA715" s="62"/>
      <c r="AB715" s="62"/>
      <c r="AC715" s="62"/>
      <c r="AD715" s="62"/>
      <c r="AE715" s="62"/>
      <c r="AF715" s="62"/>
      <c r="AG715" s="62"/>
      <c r="AH715" s="62"/>
      <c r="AI715" s="62"/>
      <c r="AJ715" s="62"/>
      <c r="AK715" s="62"/>
      <c r="AL715" s="62"/>
      <c r="AM715" s="62"/>
      <c r="AN715" s="62"/>
      <c r="AO715" s="62"/>
      <c r="AP715" s="62"/>
      <c r="AQ715" s="62"/>
      <c r="AR715" s="62"/>
      <c r="AS715" s="62"/>
      <c r="AT715" s="62"/>
      <c r="AU715" s="62"/>
      <c r="AV715" s="62"/>
      <c r="AW715" s="62"/>
      <c r="AX715" s="62"/>
    </row>
    <row r="716" spans="1:50" ht="14.25" customHeight="1" x14ac:dyDescent="0.3">
      <c r="A716" s="58"/>
      <c r="B716" s="58"/>
      <c r="C716" s="58"/>
      <c r="D716" s="58"/>
      <c r="E716" s="58"/>
      <c r="F716" s="58"/>
      <c r="G716" s="59"/>
      <c r="H716" s="60"/>
      <c r="I716" s="60"/>
      <c r="J716" s="59"/>
      <c r="K716" s="61"/>
      <c r="M716" s="62"/>
      <c r="N716" s="62"/>
      <c r="O716" s="62"/>
      <c r="P716" s="62"/>
      <c r="Q716" s="62"/>
      <c r="R716" s="62"/>
      <c r="S716" s="62"/>
      <c r="T716" s="62"/>
      <c r="U716" s="62"/>
      <c r="V716" s="62"/>
      <c r="W716" s="62"/>
      <c r="X716" s="62"/>
      <c r="Y716" s="62"/>
      <c r="Z716" s="62"/>
      <c r="AA716" s="62"/>
      <c r="AB716" s="62"/>
      <c r="AC716" s="62"/>
      <c r="AD716" s="62"/>
      <c r="AE716" s="62"/>
      <c r="AF716" s="62"/>
      <c r="AG716" s="62"/>
      <c r="AH716" s="62"/>
      <c r="AI716" s="62"/>
      <c r="AJ716" s="62"/>
      <c r="AK716" s="62"/>
      <c r="AL716" s="62"/>
      <c r="AM716" s="62"/>
      <c r="AN716" s="62"/>
      <c r="AO716" s="62"/>
      <c r="AP716" s="62"/>
      <c r="AQ716" s="62"/>
      <c r="AR716" s="62"/>
      <c r="AS716" s="62"/>
      <c r="AT716" s="62"/>
      <c r="AU716" s="62"/>
      <c r="AV716" s="62"/>
      <c r="AW716" s="62"/>
      <c r="AX716" s="62"/>
    </row>
    <row r="717" spans="1:50" ht="14.25" customHeight="1" x14ac:dyDescent="0.3">
      <c r="A717" s="58"/>
      <c r="B717" s="58"/>
      <c r="C717" s="58"/>
      <c r="D717" s="58"/>
      <c r="E717" s="58"/>
      <c r="F717" s="58"/>
      <c r="G717" s="59"/>
      <c r="H717" s="60"/>
      <c r="I717" s="60"/>
      <c r="J717" s="59"/>
      <c r="K717" s="61"/>
      <c r="M717" s="62"/>
      <c r="N717" s="62"/>
      <c r="O717" s="62"/>
      <c r="P717" s="62"/>
      <c r="Q717" s="62"/>
      <c r="R717" s="62"/>
      <c r="S717" s="62"/>
      <c r="T717" s="62"/>
      <c r="U717" s="62"/>
      <c r="V717" s="62"/>
      <c r="W717" s="62"/>
      <c r="X717" s="62"/>
      <c r="Y717" s="62"/>
      <c r="Z717" s="62"/>
      <c r="AA717" s="62"/>
      <c r="AB717" s="62"/>
      <c r="AC717" s="62"/>
      <c r="AD717" s="62"/>
      <c r="AE717" s="62"/>
      <c r="AF717" s="62"/>
      <c r="AG717" s="62"/>
      <c r="AH717" s="62"/>
      <c r="AI717" s="62"/>
      <c r="AJ717" s="62"/>
      <c r="AK717" s="62"/>
      <c r="AL717" s="62"/>
      <c r="AM717" s="62"/>
      <c r="AN717" s="62"/>
      <c r="AO717" s="62"/>
      <c r="AP717" s="62"/>
      <c r="AQ717" s="62"/>
      <c r="AR717" s="62"/>
      <c r="AS717" s="62"/>
      <c r="AT717" s="62"/>
      <c r="AU717" s="62"/>
      <c r="AV717" s="62"/>
      <c r="AW717" s="62"/>
      <c r="AX717" s="62"/>
    </row>
    <row r="718" spans="1:50" ht="14.25" customHeight="1" x14ac:dyDescent="0.3">
      <c r="A718" s="58"/>
      <c r="B718" s="58"/>
      <c r="C718" s="58"/>
      <c r="D718" s="58"/>
      <c r="E718" s="58"/>
      <c r="F718" s="58"/>
      <c r="G718" s="59"/>
      <c r="H718" s="60"/>
      <c r="I718" s="60"/>
      <c r="J718" s="59"/>
      <c r="K718" s="61"/>
      <c r="M718" s="62"/>
      <c r="N718" s="62"/>
      <c r="O718" s="62"/>
      <c r="P718" s="62"/>
      <c r="Q718" s="62"/>
      <c r="R718" s="62"/>
      <c r="S718" s="62"/>
      <c r="T718" s="62"/>
      <c r="U718" s="62"/>
      <c r="V718" s="62"/>
      <c r="W718" s="62"/>
      <c r="X718" s="62"/>
      <c r="Y718" s="62"/>
      <c r="Z718" s="62"/>
      <c r="AA718" s="62"/>
      <c r="AB718" s="62"/>
      <c r="AC718" s="62"/>
      <c r="AD718" s="62"/>
      <c r="AE718" s="62"/>
      <c r="AF718" s="62"/>
      <c r="AG718" s="62"/>
      <c r="AH718" s="62"/>
      <c r="AI718" s="62"/>
      <c r="AJ718" s="62"/>
      <c r="AK718" s="62"/>
      <c r="AL718" s="62"/>
      <c r="AM718" s="62"/>
      <c r="AN718" s="62"/>
      <c r="AO718" s="62"/>
      <c r="AP718" s="62"/>
      <c r="AQ718" s="62"/>
      <c r="AR718" s="62"/>
      <c r="AS718" s="62"/>
      <c r="AT718" s="62"/>
      <c r="AU718" s="62"/>
      <c r="AV718" s="62"/>
      <c r="AW718" s="62"/>
      <c r="AX718" s="62"/>
    </row>
    <row r="719" spans="1:50" ht="14.25" customHeight="1" x14ac:dyDescent="0.3">
      <c r="A719" s="58"/>
      <c r="B719" s="58"/>
      <c r="C719" s="58"/>
      <c r="D719" s="58"/>
      <c r="E719" s="58"/>
      <c r="F719" s="58"/>
      <c r="G719" s="59"/>
      <c r="H719" s="60"/>
      <c r="I719" s="60"/>
      <c r="J719" s="59"/>
      <c r="K719" s="61"/>
      <c r="M719" s="62"/>
      <c r="N719" s="62"/>
      <c r="O719" s="62"/>
      <c r="P719" s="62"/>
      <c r="Q719" s="62"/>
      <c r="R719" s="62"/>
      <c r="S719" s="62"/>
      <c r="T719" s="62"/>
      <c r="U719" s="62"/>
      <c r="V719" s="62"/>
      <c r="W719" s="62"/>
      <c r="X719" s="62"/>
      <c r="Y719" s="62"/>
      <c r="Z719" s="62"/>
      <c r="AA719" s="62"/>
      <c r="AB719" s="62"/>
      <c r="AC719" s="62"/>
      <c r="AD719" s="62"/>
      <c r="AE719" s="62"/>
      <c r="AF719" s="62"/>
      <c r="AG719" s="62"/>
      <c r="AH719" s="62"/>
      <c r="AI719" s="62"/>
      <c r="AJ719" s="62"/>
      <c r="AK719" s="62"/>
      <c r="AL719" s="62"/>
      <c r="AM719" s="62"/>
      <c r="AN719" s="62"/>
      <c r="AO719" s="62"/>
      <c r="AP719" s="62"/>
      <c r="AQ719" s="62"/>
      <c r="AR719" s="62"/>
      <c r="AS719" s="62"/>
      <c r="AT719" s="62"/>
      <c r="AU719" s="62"/>
      <c r="AV719" s="62"/>
      <c r="AW719" s="62"/>
      <c r="AX719" s="62"/>
    </row>
    <row r="720" spans="1:50" ht="14.25" customHeight="1" x14ac:dyDescent="0.3">
      <c r="A720" s="58"/>
      <c r="B720" s="58"/>
      <c r="C720" s="58"/>
      <c r="D720" s="58"/>
      <c r="E720" s="58"/>
      <c r="F720" s="58"/>
      <c r="G720" s="59"/>
      <c r="H720" s="60"/>
      <c r="I720" s="60"/>
      <c r="J720" s="59"/>
      <c r="K720" s="61"/>
      <c r="M720" s="62"/>
      <c r="N720" s="62"/>
      <c r="O720" s="62"/>
      <c r="P720" s="62"/>
      <c r="Q720" s="62"/>
      <c r="R720" s="62"/>
      <c r="S720" s="62"/>
      <c r="T720" s="62"/>
      <c r="U720" s="62"/>
      <c r="V720" s="62"/>
      <c r="W720" s="62"/>
      <c r="X720" s="62"/>
      <c r="Y720" s="62"/>
      <c r="Z720" s="62"/>
      <c r="AA720" s="62"/>
      <c r="AB720" s="62"/>
      <c r="AC720" s="62"/>
      <c r="AD720" s="62"/>
      <c r="AE720" s="62"/>
      <c r="AF720" s="62"/>
      <c r="AG720" s="62"/>
      <c r="AH720" s="62"/>
      <c r="AI720" s="62"/>
      <c r="AJ720" s="62"/>
      <c r="AK720" s="62"/>
      <c r="AL720" s="62"/>
      <c r="AM720" s="62"/>
      <c r="AN720" s="62"/>
      <c r="AO720" s="62"/>
      <c r="AP720" s="62"/>
      <c r="AQ720" s="62"/>
      <c r="AR720" s="62"/>
      <c r="AS720" s="62"/>
      <c r="AT720" s="62"/>
      <c r="AU720" s="62"/>
      <c r="AV720" s="62"/>
      <c r="AW720" s="62"/>
      <c r="AX720" s="62"/>
    </row>
    <row r="721" spans="1:50" ht="14.25" customHeight="1" x14ac:dyDescent="0.3">
      <c r="A721" s="58"/>
      <c r="B721" s="58"/>
      <c r="C721" s="58"/>
      <c r="D721" s="58"/>
      <c r="E721" s="58"/>
      <c r="F721" s="58"/>
      <c r="G721" s="59"/>
      <c r="H721" s="60"/>
      <c r="I721" s="60"/>
      <c r="J721" s="59"/>
      <c r="K721" s="61"/>
      <c r="M721" s="62"/>
      <c r="N721" s="62"/>
      <c r="O721" s="62"/>
      <c r="P721" s="62"/>
      <c r="Q721" s="62"/>
      <c r="R721" s="62"/>
      <c r="S721" s="62"/>
      <c r="T721" s="62"/>
      <c r="U721" s="62"/>
      <c r="V721" s="62"/>
      <c r="W721" s="62"/>
      <c r="X721" s="62"/>
      <c r="Y721" s="62"/>
      <c r="Z721" s="62"/>
      <c r="AA721" s="62"/>
      <c r="AB721" s="62"/>
      <c r="AC721" s="62"/>
      <c r="AD721" s="62"/>
      <c r="AE721" s="62"/>
      <c r="AF721" s="62"/>
      <c r="AG721" s="62"/>
      <c r="AH721" s="62"/>
      <c r="AI721" s="62"/>
      <c r="AJ721" s="62"/>
      <c r="AK721" s="62"/>
      <c r="AL721" s="62"/>
      <c r="AM721" s="62"/>
      <c r="AN721" s="62"/>
      <c r="AO721" s="62"/>
      <c r="AP721" s="62"/>
      <c r="AQ721" s="62"/>
      <c r="AR721" s="62"/>
      <c r="AS721" s="62"/>
      <c r="AT721" s="62"/>
      <c r="AU721" s="62"/>
      <c r="AV721" s="62"/>
      <c r="AW721" s="62"/>
      <c r="AX721" s="62"/>
    </row>
    <row r="722" spans="1:50" ht="14.25" customHeight="1" x14ac:dyDescent="0.3">
      <c r="A722" s="58"/>
      <c r="B722" s="58"/>
      <c r="C722" s="58"/>
      <c r="D722" s="58"/>
      <c r="E722" s="58"/>
      <c r="F722" s="58"/>
      <c r="G722" s="59"/>
      <c r="H722" s="60"/>
      <c r="I722" s="60"/>
      <c r="J722" s="59"/>
      <c r="K722" s="61"/>
      <c r="M722" s="62"/>
      <c r="N722" s="62"/>
      <c r="O722" s="62"/>
      <c r="P722" s="62"/>
      <c r="Q722" s="62"/>
      <c r="R722" s="62"/>
      <c r="S722" s="62"/>
      <c r="T722" s="62"/>
      <c r="U722" s="62"/>
      <c r="V722" s="62"/>
      <c r="W722" s="62"/>
      <c r="X722" s="62"/>
      <c r="Y722" s="62"/>
      <c r="Z722" s="62"/>
      <c r="AA722" s="62"/>
      <c r="AB722" s="62"/>
      <c r="AC722" s="62"/>
      <c r="AD722" s="62"/>
      <c r="AE722" s="62"/>
      <c r="AF722" s="62"/>
      <c r="AG722" s="62"/>
      <c r="AH722" s="62"/>
      <c r="AI722" s="62"/>
      <c r="AJ722" s="62"/>
      <c r="AK722" s="62"/>
      <c r="AL722" s="62"/>
      <c r="AM722" s="62"/>
      <c r="AN722" s="62"/>
      <c r="AO722" s="62"/>
      <c r="AP722" s="62"/>
      <c r="AQ722" s="62"/>
      <c r="AR722" s="62"/>
      <c r="AS722" s="62"/>
      <c r="AT722" s="62"/>
      <c r="AU722" s="62"/>
      <c r="AV722" s="62"/>
      <c r="AW722" s="62"/>
      <c r="AX722" s="62"/>
    </row>
    <row r="723" spans="1:50" ht="14.25" customHeight="1" x14ac:dyDescent="0.3">
      <c r="A723" s="58"/>
      <c r="B723" s="58"/>
      <c r="C723" s="58"/>
      <c r="D723" s="58"/>
      <c r="E723" s="58"/>
      <c r="F723" s="58"/>
      <c r="G723" s="59"/>
      <c r="H723" s="60"/>
      <c r="I723" s="60"/>
      <c r="J723" s="59"/>
      <c r="K723" s="61"/>
      <c r="M723" s="62"/>
      <c r="N723" s="62"/>
      <c r="O723" s="62"/>
      <c r="P723" s="62"/>
      <c r="Q723" s="62"/>
      <c r="R723" s="62"/>
      <c r="S723" s="62"/>
      <c r="T723" s="62"/>
      <c r="U723" s="62"/>
      <c r="V723" s="62"/>
      <c r="W723" s="62"/>
      <c r="X723" s="62"/>
      <c r="Y723" s="62"/>
      <c r="Z723" s="62"/>
      <c r="AA723" s="62"/>
      <c r="AB723" s="62"/>
      <c r="AC723" s="62"/>
      <c r="AD723" s="62"/>
      <c r="AE723" s="62"/>
      <c r="AF723" s="62"/>
      <c r="AG723" s="62"/>
      <c r="AH723" s="62"/>
      <c r="AI723" s="62"/>
      <c r="AJ723" s="62"/>
      <c r="AK723" s="62"/>
      <c r="AL723" s="62"/>
      <c r="AM723" s="62"/>
      <c r="AN723" s="62"/>
      <c r="AO723" s="62"/>
      <c r="AP723" s="62"/>
      <c r="AQ723" s="62"/>
      <c r="AR723" s="62"/>
      <c r="AS723" s="62"/>
      <c r="AT723" s="62"/>
      <c r="AU723" s="62"/>
      <c r="AV723" s="62"/>
      <c r="AW723" s="62"/>
      <c r="AX723" s="62"/>
    </row>
    <row r="724" spans="1:50" ht="14.25" customHeight="1" x14ac:dyDescent="0.3">
      <c r="A724" s="58"/>
      <c r="B724" s="58"/>
      <c r="C724" s="58"/>
      <c r="D724" s="58"/>
      <c r="E724" s="58"/>
      <c r="F724" s="58"/>
      <c r="G724" s="59"/>
      <c r="H724" s="60"/>
      <c r="I724" s="60"/>
      <c r="J724" s="59"/>
      <c r="K724" s="61"/>
      <c r="M724" s="62"/>
      <c r="N724" s="62"/>
      <c r="O724" s="62"/>
      <c r="P724" s="62"/>
      <c r="Q724" s="62"/>
      <c r="R724" s="62"/>
      <c r="S724" s="62"/>
      <c r="T724" s="62"/>
      <c r="U724" s="62"/>
      <c r="V724" s="62"/>
      <c r="W724" s="62"/>
      <c r="X724" s="62"/>
      <c r="Y724" s="62"/>
      <c r="Z724" s="62"/>
      <c r="AA724" s="62"/>
      <c r="AB724" s="62"/>
      <c r="AC724" s="62"/>
      <c r="AD724" s="62"/>
      <c r="AE724" s="62"/>
      <c r="AF724" s="62"/>
      <c r="AG724" s="62"/>
      <c r="AH724" s="62"/>
      <c r="AI724" s="62"/>
      <c r="AJ724" s="62"/>
      <c r="AK724" s="62"/>
      <c r="AL724" s="62"/>
      <c r="AM724" s="62"/>
      <c r="AN724" s="62"/>
      <c r="AO724" s="62"/>
      <c r="AP724" s="62"/>
      <c r="AQ724" s="62"/>
      <c r="AR724" s="62"/>
      <c r="AS724" s="62"/>
      <c r="AT724" s="62"/>
      <c r="AU724" s="62"/>
      <c r="AV724" s="62"/>
      <c r="AW724" s="62"/>
      <c r="AX724" s="62"/>
    </row>
    <row r="725" spans="1:50" ht="14.25" customHeight="1" x14ac:dyDescent="0.3">
      <c r="A725" s="58"/>
      <c r="B725" s="58"/>
      <c r="C725" s="58"/>
      <c r="D725" s="58"/>
      <c r="E725" s="58"/>
      <c r="F725" s="58"/>
      <c r="G725" s="59"/>
      <c r="H725" s="60"/>
      <c r="I725" s="60"/>
      <c r="J725" s="59"/>
      <c r="K725" s="61"/>
      <c r="M725" s="62"/>
      <c r="N725" s="62"/>
      <c r="O725" s="62"/>
      <c r="P725" s="62"/>
      <c r="Q725" s="62"/>
      <c r="R725" s="62"/>
      <c r="S725" s="62"/>
      <c r="T725" s="62"/>
      <c r="U725" s="62"/>
      <c r="V725" s="62"/>
      <c r="W725" s="62"/>
      <c r="X725" s="62"/>
      <c r="Y725" s="62"/>
      <c r="Z725" s="62"/>
      <c r="AA725" s="62"/>
      <c r="AB725" s="62"/>
      <c r="AC725" s="62"/>
      <c r="AD725" s="62"/>
      <c r="AE725" s="62"/>
      <c r="AF725" s="62"/>
      <c r="AG725" s="62"/>
      <c r="AH725" s="62"/>
      <c r="AI725" s="62"/>
      <c r="AJ725" s="62"/>
      <c r="AK725" s="62"/>
      <c r="AL725" s="62"/>
      <c r="AM725" s="62"/>
      <c r="AN725" s="62"/>
      <c r="AO725" s="62"/>
      <c r="AP725" s="62"/>
      <c r="AQ725" s="62"/>
      <c r="AR725" s="62"/>
      <c r="AS725" s="62"/>
      <c r="AT725" s="62"/>
      <c r="AU725" s="62"/>
      <c r="AV725" s="62"/>
      <c r="AW725" s="62"/>
      <c r="AX725" s="62"/>
    </row>
    <row r="726" spans="1:50" ht="14.25" customHeight="1" x14ac:dyDescent="0.3">
      <c r="A726" s="58"/>
      <c r="B726" s="58"/>
      <c r="C726" s="58"/>
      <c r="D726" s="58"/>
      <c r="E726" s="58"/>
      <c r="F726" s="58"/>
      <c r="G726" s="59"/>
      <c r="H726" s="60"/>
      <c r="I726" s="60"/>
      <c r="J726" s="59"/>
      <c r="K726" s="61"/>
      <c r="M726" s="62"/>
      <c r="N726" s="62"/>
      <c r="O726" s="62"/>
      <c r="P726" s="62"/>
      <c r="Q726" s="62"/>
      <c r="R726" s="62"/>
      <c r="S726" s="62"/>
      <c r="T726" s="62"/>
      <c r="U726" s="62"/>
      <c r="V726" s="62"/>
      <c r="W726" s="62"/>
      <c r="X726" s="62"/>
      <c r="Y726" s="62"/>
      <c r="Z726" s="62"/>
      <c r="AA726" s="62"/>
      <c r="AB726" s="62"/>
      <c r="AC726" s="62"/>
      <c r="AD726" s="62"/>
      <c r="AE726" s="62"/>
      <c r="AF726" s="62"/>
      <c r="AG726" s="62"/>
      <c r="AH726" s="62"/>
      <c r="AI726" s="62"/>
      <c r="AJ726" s="62"/>
      <c r="AK726" s="62"/>
      <c r="AL726" s="62"/>
      <c r="AM726" s="62"/>
      <c r="AN726" s="62"/>
      <c r="AO726" s="62"/>
      <c r="AP726" s="62"/>
      <c r="AQ726" s="62"/>
      <c r="AR726" s="62"/>
      <c r="AS726" s="62"/>
      <c r="AT726" s="62"/>
      <c r="AU726" s="62"/>
      <c r="AV726" s="62"/>
      <c r="AW726" s="62"/>
      <c r="AX726" s="62"/>
    </row>
    <row r="727" spans="1:50" ht="14.25" customHeight="1" x14ac:dyDescent="0.3">
      <c r="A727" s="58"/>
      <c r="B727" s="58"/>
      <c r="C727" s="58"/>
      <c r="D727" s="58"/>
      <c r="E727" s="58"/>
      <c r="F727" s="58"/>
      <c r="G727" s="59"/>
      <c r="H727" s="60"/>
      <c r="I727" s="60"/>
      <c r="J727" s="59"/>
      <c r="K727" s="61"/>
      <c r="M727" s="62"/>
      <c r="N727" s="62"/>
      <c r="O727" s="62"/>
      <c r="P727" s="62"/>
      <c r="Q727" s="62"/>
      <c r="R727" s="62"/>
      <c r="S727" s="62"/>
      <c r="T727" s="62"/>
      <c r="U727" s="62"/>
      <c r="V727" s="62"/>
      <c r="W727" s="62"/>
      <c r="X727" s="62"/>
      <c r="Y727" s="62"/>
      <c r="Z727" s="62"/>
      <c r="AA727" s="62"/>
      <c r="AB727" s="62"/>
      <c r="AC727" s="62"/>
      <c r="AD727" s="62"/>
      <c r="AE727" s="62"/>
      <c r="AF727" s="62"/>
      <c r="AG727" s="62"/>
      <c r="AH727" s="62"/>
      <c r="AI727" s="62"/>
      <c r="AJ727" s="62"/>
      <c r="AK727" s="62"/>
      <c r="AL727" s="62"/>
      <c r="AM727" s="62"/>
      <c r="AN727" s="62"/>
      <c r="AO727" s="62"/>
      <c r="AP727" s="62"/>
      <c r="AQ727" s="62"/>
      <c r="AR727" s="62"/>
      <c r="AS727" s="62"/>
      <c r="AT727" s="62"/>
      <c r="AU727" s="62"/>
      <c r="AV727" s="62"/>
      <c r="AW727" s="62"/>
      <c r="AX727" s="62"/>
    </row>
    <row r="728" spans="1:50" ht="14.25" customHeight="1" x14ac:dyDescent="0.3">
      <c r="A728" s="58"/>
      <c r="B728" s="58"/>
      <c r="C728" s="58"/>
      <c r="D728" s="58"/>
      <c r="E728" s="58"/>
      <c r="F728" s="58"/>
      <c r="G728" s="59"/>
      <c r="H728" s="60"/>
      <c r="I728" s="60"/>
      <c r="J728" s="59"/>
      <c r="K728" s="61"/>
      <c r="M728" s="62"/>
      <c r="N728" s="62"/>
      <c r="O728" s="62"/>
      <c r="P728" s="62"/>
      <c r="Q728" s="62"/>
      <c r="R728" s="62"/>
      <c r="S728" s="62"/>
      <c r="T728" s="62"/>
      <c r="U728" s="62"/>
      <c r="V728" s="62"/>
      <c r="W728" s="62"/>
      <c r="X728" s="62"/>
      <c r="Y728" s="62"/>
      <c r="Z728" s="62"/>
      <c r="AA728" s="62"/>
      <c r="AB728" s="62"/>
      <c r="AC728" s="62"/>
      <c r="AD728" s="62"/>
      <c r="AE728" s="62"/>
      <c r="AF728" s="62"/>
      <c r="AG728" s="62"/>
      <c r="AH728" s="62"/>
      <c r="AI728" s="62"/>
      <c r="AJ728" s="62"/>
      <c r="AK728" s="62"/>
      <c r="AL728" s="62"/>
      <c r="AM728" s="62"/>
      <c r="AN728" s="62"/>
      <c r="AO728" s="62"/>
      <c r="AP728" s="62"/>
      <c r="AQ728" s="62"/>
      <c r="AR728" s="62"/>
      <c r="AS728" s="62"/>
      <c r="AT728" s="62"/>
      <c r="AU728" s="62"/>
      <c r="AV728" s="62"/>
      <c r="AW728" s="62"/>
      <c r="AX728" s="62"/>
    </row>
    <row r="729" spans="1:50" ht="14.25" customHeight="1" x14ac:dyDescent="0.3">
      <c r="A729" s="58"/>
      <c r="B729" s="58"/>
      <c r="C729" s="58"/>
      <c r="D729" s="58"/>
      <c r="E729" s="58"/>
      <c r="F729" s="58"/>
      <c r="G729" s="59"/>
      <c r="H729" s="60"/>
      <c r="I729" s="60"/>
      <c r="J729" s="59"/>
      <c r="K729" s="61"/>
      <c r="M729" s="62"/>
      <c r="N729" s="62"/>
      <c r="O729" s="62"/>
      <c r="P729" s="62"/>
      <c r="Q729" s="62"/>
      <c r="R729" s="62"/>
      <c r="S729" s="62"/>
      <c r="T729" s="62"/>
      <c r="U729" s="62"/>
      <c r="V729" s="62"/>
      <c r="W729" s="62"/>
      <c r="X729" s="62"/>
      <c r="Y729" s="62"/>
      <c r="Z729" s="62"/>
      <c r="AA729" s="62"/>
      <c r="AB729" s="62"/>
      <c r="AC729" s="62"/>
      <c r="AD729" s="62"/>
      <c r="AE729" s="62"/>
      <c r="AF729" s="62"/>
      <c r="AG729" s="62"/>
      <c r="AH729" s="62"/>
      <c r="AI729" s="62"/>
      <c r="AJ729" s="62"/>
      <c r="AK729" s="62"/>
      <c r="AL729" s="62"/>
      <c r="AM729" s="62"/>
      <c r="AN729" s="62"/>
      <c r="AO729" s="62"/>
      <c r="AP729" s="62"/>
      <c r="AQ729" s="62"/>
      <c r="AR729" s="62"/>
      <c r="AS729" s="62"/>
      <c r="AT729" s="62"/>
      <c r="AU729" s="62"/>
      <c r="AV729" s="62"/>
      <c r="AW729" s="62"/>
      <c r="AX729" s="62"/>
    </row>
    <row r="730" spans="1:50" ht="14.25" customHeight="1" x14ac:dyDescent="0.3">
      <c r="A730" s="58"/>
      <c r="B730" s="58"/>
      <c r="C730" s="58"/>
      <c r="D730" s="58"/>
      <c r="E730" s="58"/>
      <c r="F730" s="58"/>
      <c r="G730" s="59"/>
      <c r="H730" s="60"/>
      <c r="I730" s="60"/>
      <c r="J730" s="59"/>
      <c r="K730" s="61"/>
      <c r="M730" s="62"/>
      <c r="N730" s="62"/>
      <c r="O730" s="62"/>
      <c r="P730" s="62"/>
      <c r="Q730" s="62"/>
      <c r="R730" s="62"/>
      <c r="S730" s="62"/>
      <c r="T730" s="62"/>
      <c r="U730" s="62"/>
      <c r="V730" s="62"/>
      <c r="W730" s="62"/>
      <c r="X730" s="62"/>
      <c r="Y730" s="62"/>
      <c r="Z730" s="62"/>
      <c r="AA730" s="62"/>
      <c r="AB730" s="62"/>
      <c r="AC730" s="62"/>
      <c r="AD730" s="62"/>
      <c r="AE730" s="62"/>
      <c r="AF730" s="62"/>
      <c r="AG730" s="62"/>
      <c r="AH730" s="62"/>
      <c r="AI730" s="62"/>
      <c r="AJ730" s="62"/>
      <c r="AK730" s="62"/>
      <c r="AL730" s="62"/>
      <c r="AM730" s="62"/>
      <c r="AN730" s="62"/>
      <c r="AO730" s="62"/>
      <c r="AP730" s="62"/>
      <c r="AQ730" s="62"/>
      <c r="AR730" s="62"/>
      <c r="AS730" s="62"/>
      <c r="AT730" s="62"/>
      <c r="AU730" s="62"/>
      <c r="AV730" s="62"/>
      <c r="AW730" s="62"/>
      <c r="AX730" s="62"/>
    </row>
    <row r="731" spans="1:50" ht="14.25" customHeight="1" x14ac:dyDescent="0.3">
      <c r="A731" s="58"/>
      <c r="B731" s="58"/>
      <c r="C731" s="58"/>
      <c r="D731" s="58"/>
      <c r="E731" s="58"/>
      <c r="F731" s="58"/>
      <c r="G731" s="59"/>
      <c r="H731" s="60"/>
      <c r="I731" s="60"/>
      <c r="J731" s="59"/>
      <c r="K731" s="61"/>
      <c r="M731" s="62"/>
      <c r="N731" s="62"/>
      <c r="O731" s="62"/>
      <c r="P731" s="62"/>
      <c r="Q731" s="62"/>
      <c r="R731" s="62"/>
      <c r="S731" s="62"/>
      <c r="T731" s="62"/>
      <c r="U731" s="62"/>
      <c r="V731" s="62"/>
      <c r="W731" s="62"/>
      <c r="X731" s="62"/>
      <c r="Y731" s="62"/>
      <c r="Z731" s="62"/>
      <c r="AA731" s="62"/>
      <c r="AB731" s="62"/>
      <c r="AC731" s="62"/>
      <c r="AD731" s="62"/>
      <c r="AE731" s="62"/>
      <c r="AF731" s="62"/>
      <c r="AG731" s="62"/>
      <c r="AH731" s="62"/>
      <c r="AI731" s="62"/>
      <c r="AJ731" s="62"/>
      <c r="AK731" s="62"/>
      <c r="AL731" s="62"/>
      <c r="AM731" s="62"/>
      <c r="AN731" s="62"/>
      <c r="AO731" s="62"/>
      <c r="AP731" s="62"/>
      <c r="AQ731" s="62"/>
      <c r="AR731" s="62"/>
      <c r="AS731" s="62"/>
      <c r="AT731" s="62"/>
      <c r="AU731" s="62"/>
      <c r="AV731" s="62"/>
      <c r="AW731" s="62"/>
      <c r="AX731" s="62"/>
    </row>
    <row r="732" spans="1:50" ht="14.25" customHeight="1" x14ac:dyDescent="0.3">
      <c r="A732" s="58"/>
      <c r="B732" s="58"/>
      <c r="C732" s="58"/>
      <c r="D732" s="58"/>
      <c r="E732" s="58"/>
      <c r="F732" s="58"/>
      <c r="G732" s="59"/>
      <c r="H732" s="60"/>
      <c r="I732" s="60"/>
      <c r="J732" s="59"/>
      <c r="K732" s="61"/>
      <c r="M732" s="62"/>
      <c r="N732" s="62"/>
      <c r="O732" s="62"/>
      <c r="P732" s="62"/>
      <c r="Q732" s="62"/>
      <c r="R732" s="62"/>
      <c r="S732" s="62"/>
      <c r="T732" s="62"/>
      <c r="U732" s="62"/>
      <c r="V732" s="62"/>
      <c r="W732" s="62"/>
      <c r="X732" s="62"/>
      <c r="Y732" s="62"/>
      <c r="Z732" s="62"/>
      <c r="AA732" s="62"/>
      <c r="AB732" s="62"/>
      <c r="AC732" s="62"/>
      <c r="AD732" s="62"/>
      <c r="AE732" s="62"/>
      <c r="AF732" s="62"/>
      <c r="AG732" s="62"/>
      <c r="AH732" s="62"/>
      <c r="AI732" s="62"/>
      <c r="AJ732" s="62"/>
      <c r="AK732" s="62"/>
      <c r="AL732" s="62"/>
      <c r="AM732" s="62"/>
      <c r="AN732" s="62"/>
      <c r="AO732" s="62"/>
      <c r="AP732" s="62"/>
      <c r="AQ732" s="62"/>
      <c r="AR732" s="62"/>
      <c r="AS732" s="62"/>
      <c r="AT732" s="62"/>
      <c r="AU732" s="62"/>
      <c r="AV732" s="62"/>
      <c r="AW732" s="62"/>
      <c r="AX732" s="62"/>
    </row>
    <row r="733" spans="1:50" ht="14.25" customHeight="1" x14ac:dyDescent="0.3">
      <c r="A733" s="58"/>
      <c r="B733" s="58"/>
      <c r="C733" s="58"/>
      <c r="D733" s="58"/>
      <c r="E733" s="58"/>
      <c r="F733" s="58"/>
      <c r="G733" s="59"/>
      <c r="H733" s="60"/>
      <c r="I733" s="60"/>
      <c r="J733" s="59"/>
      <c r="K733" s="61"/>
      <c r="M733" s="62"/>
      <c r="N733" s="62"/>
      <c r="O733" s="62"/>
      <c r="P733" s="62"/>
      <c r="Q733" s="62"/>
      <c r="R733" s="62"/>
      <c r="S733" s="62"/>
      <c r="T733" s="62"/>
      <c r="U733" s="62"/>
      <c r="V733" s="62"/>
      <c r="W733" s="62"/>
      <c r="X733" s="62"/>
      <c r="Y733" s="62"/>
      <c r="Z733" s="62"/>
      <c r="AA733" s="62"/>
      <c r="AB733" s="62"/>
      <c r="AC733" s="62"/>
      <c r="AD733" s="62"/>
      <c r="AE733" s="62"/>
      <c r="AF733" s="62"/>
      <c r="AG733" s="62"/>
      <c r="AH733" s="62"/>
      <c r="AI733" s="62"/>
      <c r="AJ733" s="62"/>
      <c r="AK733" s="62"/>
      <c r="AL733" s="62"/>
      <c r="AM733" s="62"/>
      <c r="AN733" s="62"/>
      <c r="AO733" s="62"/>
      <c r="AP733" s="62"/>
      <c r="AQ733" s="62"/>
      <c r="AR733" s="62"/>
      <c r="AS733" s="62"/>
      <c r="AT733" s="62"/>
      <c r="AU733" s="62"/>
      <c r="AV733" s="62"/>
      <c r="AW733" s="62"/>
      <c r="AX733" s="62"/>
    </row>
    <row r="734" spans="1:50" ht="14.25" customHeight="1" x14ac:dyDescent="0.3">
      <c r="A734" s="58"/>
      <c r="B734" s="58"/>
      <c r="C734" s="58"/>
      <c r="D734" s="58"/>
      <c r="E734" s="58"/>
      <c r="F734" s="58"/>
      <c r="G734" s="59"/>
      <c r="H734" s="60"/>
      <c r="I734" s="60"/>
      <c r="J734" s="59"/>
      <c r="K734" s="61"/>
      <c r="M734" s="62"/>
      <c r="N734" s="62"/>
      <c r="O734" s="62"/>
      <c r="P734" s="62"/>
      <c r="Q734" s="62"/>
      <c r="R734" s="62"/>
      <c r="S734" s="62"/>
      <c r="T734" s="62"/>
      <c r="U734" s="62"/>
      <c r="V734" s="62"/>
      <c r="W734" s="62"/>
      <c r="X734" s="62"/>
      <c r="Y734" s="62"/>
      <c r="Z734" s="62"/>
      <c r="AA734" s="62"/>
      <c r="AB734" s="62"/>
      <c r="AC734" s="62"/>
      <c r="AD734" s="62"/>
      <c r="AE734" s="62"/>
      <c r="AF734" s="62"/>
      <c r="AG734" s="62"/>
      <c r="AH734" s="62"/>
      <c r="AI734" s="62"/>
      <c r="AJ734" s="62"/>
      <c r="AK734" s="62"/>
      <c r="AL734" s="62"/>
      <c r="AM734" s="62"/>
      <c r="AN734" s="62"/>
      <c r="AO734" s="62"/>
      <c r="AP734" s="62"/>
      <c r="AQ734" s="62"/>
      <c r="AR734" s="62"/>
      <c r="AS734" s="62"/>
      <c r="AT734" s="62"/>
      <c r="AU734" s="62"/>
      <c r="AV734" s="62"/>
      <c r="AW734" s="62"/>
      <c r="AX734" s="62"/>
    </row>
    <row r="735" spans="1:50" ht="14.25" customHeight="1" x14ac:dyDescent="0.3">
      <c r="A735" s="58"/>
      <c r="B735" s="58"/>
      <c r="C735" s="58"/>
      <c r="D735" s="58"/>
      <c r="E735" s="58"/>
      <c r="F735" s="58"/>
      <c r="G735" s="59"/>
      <c r="H735" s="60"/>
      <c r="I735" s="60"/>
      <c r="J735" s="59"/>
      <c r="K735" s="61"/>
      <c r="M735" s="62"/>
      <c r="N735" s="62"/>
      <c r="O735" s="62"/>
      <c r="P735" s="62"/>
      <c r="Q735" s="62"/>
      <c r="R735" s="62"/>
      <c r="S735" s="62"/>
      <c r="T735" s="62"/>
      <c r="U735" s="62"/>
      <c r="V735" s="62"/>
      <c r="W735" s="62"/>
      <c r="X735" s="62"/>
      <c r="Y735" s="62"/>
      <c r="Z735" s="62"/>
      <c r="AA735" s="62"/>
      <c r="AB735" s="62"/>
      <c r="AC735" s="62"/>
      <c r="AD735" s="62"/>
      <c r="AE735" s="62"/>
      <c r="AF735" s="62"/>
      <c r="AG735" s="62"/>
      <c r="AH735" s="62"/>
      <c r="AI735" s="62"/>
      <c r="AJ735" s="62"/>
      <c r="AK735" s="62"/>
      <c r="AL735" s="62"/>
      <c r="AM735" s="62"/>
      <c r="AN735" s="62"/>
      <c r="AO735" s="62"/>
      <c r="AP735" s="62"/>
      <c r="AQ735" s="62"/>
      <c r="AR735" s="62"/>
      <c r="AS735" s="62"/>
      <c r="AT735" s="62"/>
      <c r="AU735" s="62"/>
      <c r="AV735" s="62"/>
      <c r="AW735" s="62"/>
      <c r="AX735" s="62"/>
    </row>
    <row r="736" spans="1:50" ht="14.25" customHeight="1" x14ac:dyDescent="0.3">
      <c r="A736" s="58"/>
      <c r="B736" s="58"/>
      <c r="C736" s="58"/>
      <c r="D736" s="58"/>
      <c r="E736" s="58"/>
      <c r="F736" s="58"/>
      <c r="G736" s="59"/>
      <c r="H736" s="60"/>
      <c r="I736" s="60"/>
      <c r="J736" s="59"/>
      <c r="K736" s="61"/>
      <c r="M736" s="62"/>
      <c r="N736" s="62"/>
      <c r="O736" s="62"/>
      <c r="P736" s="62"/>
      <c r="Q736" s="62"/>
      <c r="R736" s="62"/>
      <c r="S736" s="62"/>
      <c r="T736" s="62"/>
      <c r="U736" s="62"/>
      <c r="V736" s="62"/>
      <c r="W736" s="62"/>
      <c r="X736" s="62"/>
      <c r="Y736" s="62"/>
      <c r="Z736" s="62"/>
      <c r="AA736" s="62"/>
      <c r="AB736" s="62"/>
      <c r="AC736" s="62"/>
      <c r="AD736" s="62"/>
      <c r="AE736" s="62"/>
      <c r="AF736" s="62"/>
      <c r="AG736" s="62"/>
      <c r="AH736" s="62"/>
      <c r="AI736" s="62"/>
      <c r="AJ736" s="62"/>
      <c r="AK736" s="62"/>
      <c r="AL736" s="62"/>
      <c r="AM736" s="62"/>
      <c r="AN736" s="62"/>
      <c r="AO736" s="62"/>
      <c r="AP736" s="62"/>
      <c r="AQ736" s="62"/>
      <c r="AR736" s="62"/>
      <c r="AS736" s="62"/>
      <c r="AT736" s="62"/>
      <c r="AU736" s="62"/>
      <c r="AV736" s="62"/>
      <c r="AW736" s="62"/>
      <c r="AX736" s="62"/>
    </row>
    <row r="737" spans="1:50" ht="14.25" customHeight="1" x14ac:dyDescent="0.3">
      <c r="A737" s="58"/>
      <c r="B737" s="58"/>
      <c r="C737" s="58"/>
      <c r="D737" s="58"/>
      <c r="E737" s="58"/>
      <c r="F737" s="58"/>
      <c r="G737" s="59"/>
      <c r="H737" s="60"/>
      <c r="I737" s="60"/>
      <c r="J737" s="59"/>
      <c r="K737" s="61"/>
      <c r="M737" s="62"/>
      <c r="N737" s="62"/>
      <c r="O737" s="62"/>
      <c r="P737" s="62"/>
      <c r="Q737" s="62"/>
      <c r="R737" s="62"/>
      <c r="S737" s="62"/>
      <c r="T737" s="62"/>
      <c r="U737" s="62"/>
      <c r="V737" s="62"/>
      <c r="W737" s="62"/>
      <c r="X737" s="62"/>
      <c r="Y737" s="62"/>
      <c r="Z737" s="62"/>
      <c r="AA737" s="62"/>
      <c r="AB737" s="62"/>
      <c r="AC737" s="62"/>
      <c r="AD737" s="62"/>
      <c r="AE737" s="62"/>
      <c r="AF737" s="62"/>
      <c r="AG737" s="62"/>
      <c r="AH737" s="62"/>
      <c r="AI737" s="62"/>
      <c r="AJ737" s="62"/>
      <c r="AK737" s="62"/>
      <c r="AL737" s="62"/>
      <c r="AM737" s="62"/>
      <c r="AN737" s="62"/>
      <c r="AO737" s="62"/>
      <c r="AP737" s="62"/>
      <c r="AQ737" s="62"/>
      <c r="AR737" s="62"/>
      <c r="AS737" s="62"/>
      <c r="AT737" s="62"/>
      <c r="AU737" s="62"/>
      <c r="AV737" s="62"/>
      <c r="AW737" s="62"/>
      <c r="AX737" s="62"/>
    </row>
    <row r="738" spans="1:50" ht="14.25" customHeight="1" x14ac:dyDescent="0.3">
      <c r="A738" s="58"/>
      <c r="B738" s="58"/>
      <c r="C738" s="58"/>
      <c r="D738" s="58"/>
      <c r="E738" s="58"/>
      <c r="F738" s="58"/>
      <c r="G738" s="59"/>
      <c r="H738" s="60"/>
      <c r="I738" s="60"/>
      <c r="J738" s="59"/>
      <c r="K738" s="61"/>
      <c r="M738" s="62"/>
      <c r="N738" s="62"/>
      <c r="O738" s="62"/>
      <c r="P738" s="62"/>
      <c r="Q738" s="62"/>
      <c r="R738" s="62"/>
      <c r="S738" s="62"/>
      <c r="T738" s="62"/>
      <c r="U738" s="62"/>
      <c r="V738" s="62"/>
      <c r="W738" s="62"/>
      <c r="X738" s="62"/>
      <c r="Y738" s="62"/>
      <c r="Z738" s="62"/>
      <c r="AA738" s="62"/>
      <c r="AB738" s="62"/>
      <c r="AC738" s="62"/>
      <c r="AD738" s="62"/>
      <c r="AE738" s="62"/>
      <c r="AF738" s="62"/>
      <c r="AG738" s="62"/>
      <c r="AH738" s="62"/>
      <c r="AI738" s="62"/>
      <c r="AJ738" s="62"/>
      <c r="AK738" s="62"/>
      <c r="AL738" s="62"/>
      <c r="AM738" s="62"/>
      <c r="AN738" s="62"/>
      <c r="AO738" s="62"/>
      <c r="AP738" s="62"/>
      <c r="AQ738" s="62"/>
      <c r="AR738" s="62"/>
      <c r="AS738" s="62"/>
      <c r="AT738" s="62"/>
      <c r="AU738" s="62"/>
      <c r="AV738" s="62"/>
      <c r="AW738" s="62"/>
      <c r="AX738" s="62"/>
    </row>
    <row r="739" spans="1:50" ht="14.25" customHeight="1" x14ac:dyDescent="0.3">
      <c r="A739" s="58"/>
      <c r="B739" s="58"/>
      <c r="C739" s="58"/>
      <c r="D739" s="58"/>
      <c r="E739" s="58"/>
      <c r="F739" s="58"/>
      <c r="G739" s="59"/>
      <c r="H739" s="60"/>
      <c r="I739" s="60"/>
      <c r="J739" s="59"/>
      <c r="K739" s="61"/>
      <c r="M739" s="62"/>
      <c r="N739" s="62"/>
      <c r="O739" s="62"/>
      <c r="P739" s="62"/>
      <c r="Q739" s="62"/>
      <c r="R739" s="62"/>
      <c r="S739" s="62"/>
      <c r="T739" s="62"/>
      <c r="U739" s="62"/>
      <c r="V739" s="62"/>
      <c r="W739" s="62"/>
      <c r="X739" s="62"/>
      <c r="Y739" s="62"/>
      <c r="Z739" s="62"/>
      <c r="AA739" s="62"/>
      <c r="AB739" s="62"/>
      <c r="AC739" s="62"/>
      <c r="AD739" s="62"/>
      <c r="AE739" s="62"/>
      <c r="AF739" s="62"/>
      <c r="AG739" s="62"/>
      <c r="AH739" s="62"/>
      <c r="AI739" s="62"/>
      <c r="AJ739" s="62"/>
      <c r="AK739" s="62"/>
      <c r="AL739" s="62"/>
      <c r="AM739" s="62"/>
      <c r="AN739" s="62"/>
      <c r="AO739" s="62"/>
      <c r="AP739" s="62"/>
      <c r="AQ739" s="62"/>
      <c r="AR739" s="62"/>
      <c r="AS739" s="62"/>
      <c r="AT739" s="62"/>
      <c r="AU739" s="62"/>
      <c r="AV739" s="62"/>
      <c r="AW739" s="62"/>
      <c r="AX739" s="62"/>
    </row>
    <row r="740" spans="1:50" ht="14.25" customHeight="1" x14ac:dyDescent="0.3">
      <c r="A740" s="58"/>
      <c r="B740" s="58"/>
      <c r="C740" s="58"/>
      <c r="D740" s="58"/>
      <c r="E740" s="58"/>
      <c r="F740" s="58"/>
      <c r="G740" s="59"/>
      <c r="H740" s="60"/>
      <c r="I740" s="60"/>
      <c r="J740" s="59"/>
      <c r="K740" s="61"/>
      <c r="M740" s="62"/>
      <c r="N740" s="62"/>
      <c r="O740" s="62"/>
      <c r="P740" s="62"/>
      <c r="Q740" s="62"/>
      <c r="R740" s="62"/>
      <c r="S740" s="62"/>
      <c r="T740" s="62"/>
      <c r="U740" s="62"/>
      <c r="V740" s="62"/>
      <c r="W740" s="62"/>
      <c r="X740" s="62"/>
      <c r="Y740" s="62"/>
      <c r="Z740" s="62"/>
      <c r="AA740" s="62"/>
      <c r="AB740" s="62"/>
      <c r="AC740" s="62"/>
      <c r="AD740" s="62"/>
      <c r="AE740" s="62"/>
      <c r="AF740" s="62"/>
      <c r="AG740" s="62"/>
      <c r="AH740" s="62"/>
      <c r="AI740" s="62"/>
      <c r="AJ740" s="62"/>
      <c r="AK740" s="62"/>
      <c r="AL740" s="62"/>
      <c r="AM740" s="62"/>
      <c r="AN740" s="62"/>
      <c r="AO740" s="62"/>
      <c r="AP740" s="62"/>
      <c r="AQ740" s="62"/>
      <c r="AR740" s="62"/>
      <c r="AS740" s="62"/>
      <c r="AT740" s="62"/>
      <c r="AU740" s="62"/>
      <c r="AV740" s="62"/>
      <c r="AW740" s="62"/>
      <c r="AX740" s="62"/>
    </row>
    <row r="741" spans="1:50" ht="14.25" customHeight="1" x14ac:dyDescent="0.3">
      <c r="A741" s="58"/>
      <c r="B741" s="58"/>
      <c r="C741" s="58"/>
      <c r="D741" s="58"/>
      <c r="E741" s="58"/>
      <c r="F741" s="58"/>
      <c r="G741" s="59"/>
      <c r="H741" s="60"/>
      <c r="I741" s="60"/>
      <c r="J741" s="59"/>
      <c r="K741" s="61"/>
      <c r="M741" s="62"/>
      <c r="N741" s="62"/>
      <c r="O741" s="62"/>
      <c r="P741" s="62"/>
      <c r="Q741" s="62"/>
      <c r="R741" s="62"/>
      <c r="S741" s="62"/>
      <c r="T741" s="62"/>
      <c r="U741" s="62"/>
      <c r="V741" s="62"/>
      <c r="W741" s="62"/>
      <c r="X741" s="62"/>
      <c r="Y741" s="62"/>
      <c r="Z741" s="62"/>
      <c r="AA741" s="62"/>
      <c r="AB741" s="62"/>
      <c r="AC741" s="62"/>
      <c r="AD741" s="62"/>
      <c r="AE741" s="62"/>
      <c r="AF741" s="62"/>
      <c r="AG741" s="62"/>
      <c r="AH741" s="62"/>
      <c r="AI741" s="62"/>
      <c r="AJ741" s="62"/>
      <c r="AK741" s="62"/>
      <c r="AL741" s="62"/>
      <c r="AM741" s="62"/>
      <c r="AN741" s="62"/>
      <c r="AO741" s="62"/>
      <c r="AP741" s="62"/>
      <c r="AQ741" s="62"/>
      <c r="AR741" s="62"/>
      <c r="AS741" s="62"/>
      <c r="AT741" s="62"/>
      <c r="AU741" s="62"/>
      <c r="AV741" s="62"/>
      <c r="AW741" s="62"/>
      <c r="AX741" s="62"/>
    </row>
    <row r="742" spans="1:50" ht="14.25" customHeight="1" x14ac:dyDescent="0.3">
      <c r="A742" s="58"/>
      <c r="B742" s="58"/>
      <c r="C742" s="58"/>
      <c r="D742" s="58"/>
      <c r="E742" s="58"/>
      <c r="F742" s="58"/>
      <c r="G742" s="59"/>
      <c r="H742" s="60"/>
      <c r="I742" s="60"/>
      <c r="J742" s="59"/>
      <c r="K742" s="61"/>
      <c r="M742" s="62"/>
      <c r="N742" s="62"/>
      <c r="O742" s="62"/>
      <c r="P742" s="62"/>
      <c r="Q742" s="62"/>
      <c r="R742" s="62"/>
      <c r="S742" s="62"/>
      <c r="T742" s="62"/>
      <c r="U742" s="62"/>
      <c r="V742" s="62"/>
      <c r="W742" s="62"/>
      <c r="X742" s="62"/>
      <c r="Y742" s="62"/>
      <c r="Z742" s="62"/>
      <c r="AA742" s="62"/>
      <c r="AB742" s="62"/>
      <c r="AC742" s="62"/>
      <c r="AD742" s="62"/>
      <c r="AE742" s="62"/>
      <c r="AF742" s="62"/>
      <c r="AG742" s="62"/>
      <c r="AH742" s="62"/>
      <c r="AI742" s="62"/>
      <c r="AJ742" s="62"/>
      <c r="AK742" s="62"/>
      <c r="AL742" s="62"/>
      <c r="AM742" s="62"/>
      <c r="AN742" s="62"/>
      <c r="AO742" s="62"/>
      <c r="AP742" s="62"/>
      <c r="AQ742" s="62"/>
      <c r="AR742" s="62"/>
      <c r="AS742" s="62"/>
      <c r="AT742" s="62"/>
      <c r="AU742" s="62"/>
      <c r="AV742" s="62"/>
      <c r="AW742" s="62"/>
      <c r="AX742" s="62"/>
    </row>
    <row r="743" spans="1:50" ht="14.25" customHeight="1" x14ac:dyDescent="0.3">
      <c r="A743" s="58"/>
      <c r="B743" s="58"/>
      <c r="C743" s="58"/>
      <c r="D743" s="58"/>
      <c r="E743" s="58"/>
      <c r="F743" s="58"/>
      <c r="G743" s="59"/>
      <c r="H743" s="60"/>
      <c r="I743" s="60"/>
      <c r="J743" s="59"/>
      <c r="K743" s="61"/>
      <c r="M743" s="62"/>
      <c r="N743" s="62"/>
      <c r="O743" s="62"/>
      <c r="P743" s="62"/>
      <c r="Q743" s="62"/>
      <c r="R743" s="62"/>
      <c r="S743" s="62"/>
      <c r="T743" s="62"/>
      <c r="U743" s="62"/>
      <c r="V743" s="62"/>
      <c r="W743" s="62"/>
      <c r="X743" s="62"/>
      <c r="Y743" s="62"/>
      <c r="Z743" s="62"/>
      <c r="AA743" s="62"/>
      <c r="AB743" s="62"/>
      <c r="AC743" s="62"/>
      <c r="AD743" s="62"/>
      <c r="AE743" s="62"/>
      <c r="AF743" s="62"/>
      <c r="AG743" s="62"/>
      <c r="AH743" s="62"/>
      <c r="AI743" s="62"/>
      <c r="AJ743" s="62"/>
      <c r="AK743" s="62"/>
      <c r="AL743" s="62"/>
      <c r="AM743" s="62"/>
      <c r="AN743" s="62"/>
      <c r="AO743" s="62"/>
      <c r="AP743" s="62"/>
      <c r="AQ743" s="62"/>
      <c r="AR743" s="62"/>
      <c r="AS743" s="62"/>
      <c r="AT743" s="62"/>
      <c r="AU743" s="62"/>
      <c r="AV743" s="62"/>
      <c r="AW743" s="62"/>
      <c r="AX743" s="62"/>
    </row>
    <row r="744" spans="1:50" ht="14.25" customHeight="1" x14ac:dyDescent="0.3">
      <c r="A744" s="58"/>
      <c r="B744" s="58"/>
      <c r="C744" s="58"/>
      <c r="D744" s="58"/>
      <c r="E744" s="58"/>
      <c r="F744" s="58"/>
      <c r="G744" s="59"/>
      <c r="H744" s="60"/>
      <c r="I744" s="60"/>
      <c r="J744" s="59"/>
      <c r="K744" s="61"/>
      <c r="M744" s="62"/>
      <c r="N744" s="62"/>
      <c r="O744" s="62"/>
      <c r="P744" s="62"/>
      <c r="Q744" s="62"/>
      <c r="R744" s="62"/>
      <c r="S744" s="62"/>
      <c r="T744" s="62"/>
      <c r="U744" s="62"/>
      <c r="V744" s="62"/>
      <c r="W744" s="62"/>
      <c r="X744" s="62"/>
      <c r="Y744" s="62"/>
      <c r="Z744" s="62"/>
      <c r="AA744" s="62"/>
      <c r="AB744" s="62"/>
      <c r="AC744" s="62"/>
      <c r="AD744" s="62"/>
      <c r="AE744" s="62"/>
      <c r="AF744" s="62"/>
      <c r="AG744" s="62"/>
      <c r="AH744" s="62"/>
      <c r="AI744" s="62"/>
      <c r="AJ744" s="62"/>
      <c r="AK744" s="62"/>
      <c r="AL744" s="62"/>
      <c r="AM744" s="62"/>
      <c r="AN744" s="62"/>
      <c r="AO744" s="62"/>
      <c r="AP744" s="62"/>
      <c r="AQ744" s="62"/>
      <c r="AR744" s="62"/>
      <c r="AS744" s="62"/>
      <c r="AT744" s="62"/>
      <c r="AU744" s="62"/>
      <c r="AV744" s="62"/>
      <c r="AW744" s="62"/>
      <c r="AX744" s="62"/>
    </row>
    <row r="745" spans="1:50" ht="14.25" customHeight="1" x14ac:dyDescent="0.3">
      <c r="A745" s="58"/>
      <c r="B745" s="58"/>
      <c r="C745" s="58"/>
      <c r="D745" s="58"/>
      <c r="E745" s="58"/>
      <c r="F745" s="58"/>
      <c r="G745" s="59"/>
      <c r="H745" s="60"/>
      <c r="I745" s="60"/>
      <c r="J745" s="59"/>
      <c r="K745" s="61"/>
      <c r="M745" s="62"/>
      <c r="N745" s="62"/>
      <c r="O745" s="62"/>
      <c r="P745" s="62"/>
      <c r="Q745" s="62"/>
      <c r="R745" s="62"/>
      <c r="S745" s="62"/>
      <c r="T745" s="62"/>
      <c r="U745" s="62"/>
      <c r="V745" s="62"/>
      <c r="W745" s="62"/>
      <c r="X745" s="62"/>
      <c r="Y745" s="62"/>
      <c r="Z745" s="62"/>
      <c r="AA745" s="62"/>
      <c r="AB745" s="62"/>
      <c r="AC745" s="62"/>
      <c r="AD745" s="62"/>
      <c r="AE745" s="62"/>
      <c r="AF745" s="62"/>
      <c r="AG745" s="62"/>
      <c r="AH745" s="62"/>
      <c r="AI745" s="62"/>
      <c r="AJ745" s="62"/>
      <c r="AK745" s="62"/>
      <c r="AL745" s="62"/>
      <c r="AM745" s="62"/>
      <c r="AN745" s="62"/>
      <c r="AO745" s="62"/>
      <c r="AP745" s="62"/>
      <c r="AQ745" s="62"/>
      <c r="AR745" s="62"/>
      <c r="AS745" s="62"/>
      <c r="AT745" s="62"/>
      <c r="AU745" s="62"/>
      <c r="AV745" s="62"/>
      <c r="AW745" s="62"/>
      <c r="AX745" s="62"/>
    </row>
    <row r="746" spans="1:50" ht="14.25" customHeight="1" x14ac:dyDescent="0.3">
      <c r="A746" s="58"/>
      <c r="B746" s="58"/>
      <c r="C746" s="58"/>
      <c r="D746" s="58"/>
      <c r="E746" s="58"/>
      <c r="F746" s="58"/>
      <c r="G746" s="59"/>
      <c r="H746" s="60"/>
      <c r="I746" s="60"/>
      <c r="J746" s="59"/>
      <c r="K746" s="61"/>
      <c r="M746" s="62"/>
      <c r="N746" s="62"/>
      <c r="O746" s="62"/>
      <c r="P746" s="62"/>
      <c r="Q746" s="62"/>
      <c r="R746" s="62"/>
      <c r="S746" s="62"/>
      <c r="T746" s="62"/>
      <c r="U746" s="62"/>
      <c r="V746" s="62"/>
      <c r="W746" s="62"/>
      <c r="X746" s="62"/>
      <c r="Y746" s="62"/>
      <c r="Z746" s="62"/>
      <c r="AA746" s="62"/>
      <c r="AB746" s="62"/>
      <c r="AC746" s="62"/>
      <c r="AD746" s="62"/>
      <c r="AE746" s="62"/>
      <c r="AF746" s="62"/>
      <c r="AG746" s="62"/>
      <c r="AH746" s="62"/>
      <c r="AI746" s="62"/>
      <c r="AJ746" s="62"/>
      <c r="AK746" s="62"/>
      <c r="AL746" s="62"/>
      <c r="AM746" s="62"/>
      <c r="AN746" s="62"/>
      <c r="AO746" s="62"/>
      <c r="AP746" s="62"/>
      <c r="AQ746" s="62"/>
      <c r="AR746" s="62"/>
      <c r="AS746" s="62"/>
      <c r="AT746" s="62"/>
      <c r="AU746" s="62"/>
      <c r="AV746" s="62"/>
      <c r="AW746" s="62"/>
      <c r="AX746" s="62"/>
    </row>
    <row r="747" spans="1:50" ht="14.25" customHeight="1" x14ac:dyDescent="0.3">
      <c r="A747" s="58"/>
      <c r="B747" s="58"/>
      <c r="C747" s="58"/>
      <c r="D747" s="58"/>
      <c r="E747" s="58"/>
      <c r="F747" s="58"/>
      <c r="G747" s="59"/>
      <c r="H747" s="60"/>
      <c r="I747" s="60"/>
      <c r="J747" s="59"/>
      <c r="K747" s="61"/>
      <c r="M747" s="62"/>
      <c r="N747" s="62"/>
      <c r="O747" s="62"/>
      <c r="P747" s="62"/>
      <c r="Q747" s="62"/>
      <c r="R747" s="62"/>
      <c r="S747" s="62"/>
      <c r="T747" s="62"/>
      <c r="U747" s="62"/>
      <c r="V747" s="62"/>
      <c r="W747" s="62"/>
      <c r="X747" s="62"/>
      <c r="Y747" s="62"/>
      <c r="Z747" s="62"/>
      <c r="AA747" s="62"/>
      <c r="AB747" s="62"/>
      <c r="AC747" s="62"/>
      <c r="AD747" s="62"/>
      <c r="AE747" s="62"/>
      <c r="AF747" s="62"/>
      <c r="AG747" s="62"/>
      <c r="AH747" s="62"/>
      <c r="AI747" s="62"/>
      <c r="AJ747" s="62"/>
      <c r="AK747" s="62"/>
      <c r="AL747" s="62"/>
      <c r="AM747" s="62"/>
      <c r="AN747" s="62"/>
      <c r="AO747" s="62"/>
      <c r="AP747" s="62"/>
      <c r="AQ747" s="62"/>
      <c r="AR747" s="62"/>
      <c r="AS747" s="62"/>
      <c r="AT747" s="62"/>
      <c r="AU747" s="62"/>
      <c r="AV747" s="62"/>
      <c r="AW747" s="62"/>
      <c r="AX747" s="62"/>
    </row>
    <row r="748" spans="1:50" ht="14.25" customHeight="1" x14ac:dyDescent="0.3">
      <c r="A748" s="58"/>
      <c r="B748" s="58"/>
      <c r="C748" s="58"/>
      <c r="D748" s="58"/>
      <c r="E748" s="58"/>
      <c r="F748" s="58"/>
      <c r="G748" s="59"/>
      <c r="H748" s="60"/>
      <c r="I748" s="60"/>
      <c r="J748" s="59"/>
      <c r="K748" s="61"/>
      <c r="M748" s="62"/>
      <c r="N748" s="62"/>
      <c r="O748" s="62"/>
      <c r="P748" s="62"/>
      <c r="Q748" s="62"/>
      <c r="R748" s="62"/>
      <c r="S748" s="62"/>
      <c r="T748" s="62"/>
      <c r="U748" s="62"/>
      <c r="V748" s="62"/>
      <c r="W748" s="62"/>
      <c r="X748" s="62"/>
      <c r="Y748" s="62"/>
      <c r="Z748" s="62"/>
      <c r="AA748" s="62"/>
      <c r="AB748" s="62"/>
      <c r="AC748" s="62"/>
      <c r="AD748" s="62"/>
      <c r="AE748" s="62"/>
      <c r="AF748" s="62"/>
      <c r="AG748" s="62"/>
      <c r="AH748" s="62"/>
      <c r="AI748" s="62"/>
      <c r="AJ748" s="62"/>
      <c r="AK748" s="62"/>
      <c r="AL748" s="62"/>
      <c r="AM748" s="62"/>
      <c r="AN748" s="62"/>
      <c r="AO748" s="62"/>
      <c r="AP748" s="62"/>
      <c r="AQ748" s="62"/>
      <c r="AR748" s="62"/>
      <c r="AS748" s="62"/>
      <c r="AT748" s="62"/>
      <c r="AU748" s="62"/>
      <c r="AV748" s="62"/>
      <c r="AW748" s="62"/>
      <c r="AX748" s="62"/>
    </row>
    <row r="749" spans="1:50" ht="14.25" customHeight="1" x14ac:dyDescent="0.3">
      <c r="A749" s="58"/>
      <c r="B749" s="58"/>
      <c r="C749" s="58"/>
      <c r="D749" s="58"/>
      <c r="E749" s="58"/>
      <c r="F749" s="58"/>
      <c r="G749" s="59"/>
      <c r="H749" s="60"/>
      <c r="I749" s="60"/>
      <c r="J749" s="59"/>
      <c r="K749" s="61"/>
      <c r="M749" s="62"/>
      <c r="N749" s="62"/>
      <c r="O749" s="62"/>
      <c r="P749" s="62"/>
      <c r="Q749" s="62"/>
      <c r="R749" s="62"/>
      <c r="S749" s="62"/>
      <c r="T749" s="62"/>
      <c r="U749" s="62"/>
      <c r="V749" s="62"/>
      <c r="W749" s="62"/>
      <c r="X749" s="62"/>
      <c r="Y749" s="62"/>
      <c r="Z749" s="62"/>
      <c r="AA749" s="62"/>
      <c r="AB749" s="62"/>
      <c r="AC749" s="62"/>
      <c r="AD749" s="62"/>
      <c r="AE749" s="62"/>
      <c r="AF749" s="62"/>
      <c r="AG749" s="62"/>
      <c r="AH749" s="62"/>
      <c r="AI749" s="62"/>
      <c r="AJ749" s="62"/>
      <c r="AK749" s="62"/>
      <c r="AL749" s="62"/>
      <c r="AM749" s="62"/>
      <c r="AN749" s="62"/>
      <c r="AO749" s="62"/>
      <c r="AP749" s="62"/>
      <c r="AQ749" s="62"/>
      <c r="AR749" s="62"/>
      <c r="AS749" s="62"/>
      <c r="AT749" s="62"/>
      <c r="AU749" s="62"/>
      <c r="AV749" s="62"/>
      <c r="AW749" s="62"/>
      <c r="AX749" s="62"/>
    </row>
    <row r="750" spans="1:50" ht="14.25" customHeight="1" x14ac:dyDescent="0.3">
      <c r="A750" s="58"/>
      <c r="B750" s="58"/>
      <c r="C750" s="58"/>
      <c r="D750" s="58"/>
      <c r="E750" s="58"/>
      <c r="F750" s="58"/>
      <c r="G750" s="59"/>
      <c r="H750" s="60"/>
      <c r="I750" s="60"/>
      <c r="J750" s="59"/>
      <c r="K750" s="61"/>
      <c r="M750" s="62"/>
      <c r="N750" s="62"/>
      <c r="O750" s="62"/>
      <c r="P750" s="62"/>
      <c r="Q750" s="62"/>
      <c r="R750" s="62"/>
      <c r="S750" s="62"/>
      <c r="T750" s="62"/>
      <c r="U750" s="62"/>
      <c r="V750" s="62"/>
      <c r="W750" s="62"/>
      <c r="X750" s="62"/>
      <c r="Y750" s="62"/>
      <c r="Z750" s="62"/>
      <c r="AA750" s="62"/>
      <c r="AB750" s="62"/>
      <c r="AC750" s="62"/>
      <c r="AD750" s="62"/>
      <c r="AE750" s="62"/>
      <c r="AF750" s="62"/>
      <c r="AG750" s="62"/>
      <c r="AH750" s="62"/>
      <c r="AI750" s="62"/>
      <c r="AJ750" s="62"/>
      <c r="AK750" s="62"/>
      <c r="AL750" s="62"/>
      <c r="AM750" s="62"/>
      <c r="AN750" s="62"/>
      <c r="AO750" s="62"/>
      <c r="AP750" s="62"/>
      <c r="AQ750" s="62"/>
      <c r="AR750" s="62"/>
      <c r="AS750" s="62"/>
      <c r="AT750" s="62"/>
      <c r="AU750" s="62"/>
      <c r="AV750" s="62"/>
      <c r="AW750" s="62"/>
      <c r="AX750" s="62"/>
    </row>
    <row r="751" spans="1:50" ht="14.25" customHeight="1" x14ac:dyDescent="0.3">
      <c r="A751" s="58"/>
      <c r="B751" s="58"/>
      <c r="C751" s="58"/>
      <c r="D751" s="58"/>
      <c r="E751" s="58"/>
      <c r="F751" s="58"/>
      <c r="G751" s="59"/>
      <c r="H751" s="60"/>
      <c r="I751" s="60"/>
      <c r="J751" s="59"/>
      <c r="K751" s="61"/>
      <c r="M751" s="62"/>
      <c r="N751" s="62"/>
      <c r="O751" s="62"/>
      <c r="P751" s="62"/>
      <c r="Q751" s="62"/>
      <c r="R751" s="62"/>
      <c r="S751" s="62"/>
      <c r="T751" s="62"/>
      <c r="U751" s="62"/>
      <c r="V751" s="62"/>
      <c r="W751" s="62"/>
      <c r="X751" s="62"/>
      <c r="Y751" s="62"/>
      <c r="Z751" s="62"/>
      <c r="AA751" s="62"/>
      <c r="AB751" s="62"/>
      <c r="AC751" s="62"/>
      <c r="AD751" s="62"/>
      <c r="AE751" s="62"/>
      <c r="AF751" s="62"/>
      <c r="AG751" s="62"/>
      <c r="AH751" s="62"/>
      <c r="AI751" s="62"/>
      <c r="AJ751" s="62"/>
      <c r="AK751" s="62"/>
      <c r="AL751" s="62"/>
      <c r="AM751" s="62"/>
      <c r="AN751" s="62"/>
      <c r="AO751" s="62"/>
      <c r="AP751" s="62"/>
      <c r="AQ751" s="62"/>
      <c r="AR751" s="62"/>
      <c r="AS751" s="62"/>
      <c r="AT751" s="62"/>
      <c r="AU751" s="62"/>
      <c r="AV751" s="62"/>
      <c r="AW751" s="62"/>
      <c r="AX751" s="62"/>
    </row>
    <row r="752" spans="1:50" ht="14.25" customHeight="1" x14ac:dyDescent="0.3">
      <c r="A752" s="58"/>
      <c r="B752" s="58"/>
      <c r="C752" s="58"/>
      <c r="D752" s="58"/>
      <c r="E752" s="58"/>
      <c r="F752" s="58"/>
      <c r="G752" s="59"/>
      <c r="H752" s="60"/>
      <c r="I752" s="60"/>
      <c r="J752" s="59"/>
      <c r="K752" s="61"/>
      <c r="M752" s="62"/>
      <c r="N752" s="62"/>
      <c r="O752" s="62"/>
      <c r="P752" s="62"/>
      <c r="Q752" s="62"/>
      <c r="R752" s="62"/>
      <c r="S752" s="62"/>
      <c r="T752" s="62"/>
      <c r="U752" s="62"/>
      <c r="V752" s="62"/>
      <c r="W752" s="62"/>
      <c r="X752" s="62"/>
      <c r="Y752" s="62"/>
      <c r="Z752" s="62"/>
      <c r="AA752" s="62"/>
      <c r="AB752" s="62"/>
      <c r="AC752" s="62"/>
      <c r="AD752" s="62"/>
      <c r="AE752" s="62"/>
      <c r="AF752" s="62"/>
      <c r="AG752" s="62"/>
      <c r="AH752" s="62"/>
      <c r="AI752" s="62"/>
      <c r="AJ752" s="62"/>
      <c r="AK752" s="62"/>
      <c r="AL752" s="62"/>
      <c r="AM752" s="62"/>
      <c r="AN752" s="62"/>
      <c r="AO752" s="62"/>
      <c r="AP752" s="62"/>
      <c r="AQ752" s="62"/>
      <c r="AR752" s="62"/>
      <c r="AS752" s="62"/>
      <c r="AT752" s="62"/>
      <c r="AU752" s="62"/>
      <c r="AV752" s="62"/>
      <c r="AW752" s="62"/>
      <c r="AX752" s="62"/>
    </row>
    <row r="753" spans="1:50" ht="14.25" customHeight="1" x14ac:dyDescent="0.3">
      <c r="A753" s="58"/>
      <c r="B753" s="58"/>
      <c r="C753" s="58"/>
      <c r="D753" s="58"/>
      <c r="E753" s="58"/>
      <c r="F753" s="58"/>
      <c r="G753" s="59"/>
      <c r="H753" s="60"/>
      <c r="I753" s="60"/>
      <c r="J753" s="59"/>
      <c r="K753" s="61"/>
      <c r="M753" s="62"/>
      <c r="N753" s="62"/>
      <c r="O753" s="62"/>
      <c r="P753" s="62"/>
      <c r="Q753" s="62"/>
      <c r="R753" s="62"/>
      <c r="S753" s="62"/>
      <c r="T753" s="62"/>
      <c r="U753" s="62"/>
      <c r="V753" s="62"/>
      <c r="W753" s="62"/>
      <c r="X753" s="62"/>
      <c r="Y753" s="62"/>
      <c r="Z753" s="62"/>
      <c r="AA753" s="62"/>
      <c r="AB753" s="62"/>
      <c r="AC753" s="62"/>
      <c r="AD753" s="62"/>
      <c r="AE753" s="62"/>
      <c r="AF753" s="62"/>
      <c r="AG753" s="62"/>
      <c r="AH753" s="62"/>
      <c r="AI753" s="62"/>
      <c r="AJ753" s="62"/>
      <c r="AK753" s="62"/>
      <c r="AL753" s="62"/>
      <c r="AM753" s="62"/>
      <c r="AN753" s="62"/>
      <c r="AO753" s="62"/>
      <c r="AP753" s="62"/>
      <c r="AQ753" s="62"/>
      <c r="AR753" s="62"/>
      <c r="AS753" s="62"/>
      <c r="AT753" s="62"/>
      <c r="AU753" s="62"/>
      <c r="AV753" s="62"/>
      <c r="AW753" s="62"/>
      <c r="AX753" s="62"/>
    </row>
    <row r="754" spans="1:50" ht="14.25" customHeight="1" x14ac:dyDescent="0.3">
      <c r="A754" s="58"/>
      <c r="B754" s="58"/>
      <c r="C754" s="58"/>
      <c r="D754" s="58"/>
      <c r="E754" s="58"/>
      <c r="F754" s="58"/>
      <c r="G754" s="59"/>
      <c r="H754" s="60"/>
      <c r="I754" s="60"/>
      <c r="J754" s="59"/>
      <c r="K754" s="61"/>
      <c r="M754" s="62"/>
      <c r="N754" s="62"/>
      <c r="O754" s="62"/>
      <c r="P754" s="62"/>
      <c r="Q754" s="62"/>
      <c r="R754" s="62"/>
      <c r="S754" s="62"/>
      <c r="T754" s="62"/>
      <c r="U754" s="62"/>
      <c r="V754" s="62"/>
      <c r="W754" s="62"/>
      <c r="X754" s="62"/>
      <c r="Y754" s="62"/>
      <c r="Z754" s="62"/>
      <c r="AA754" s="62"/>
      <c r="AB754" s="62"/>
      <c r="AC754" s="62"/>
      <c r="AD754" s="62"/>
      <c r="AE754" s="62"/>
      <c r="AF754" s="62"/>
      <c r="AG754" s="62"/>
      <c r="AH754" s="62"/>
      <c r="AI754" s="62"/>
      <c r="AJ754" s="62"/>
      <c r="AK754" s="62"/>
      <c r="AL754" s="62"/>
      <c r="AM754" s="62"/>
      <c r="AN754" s="62"/>
      <c r="AO754" s="62"/>
      <c r="AP754" s="62"/>
      <c r="AQ754" s="62"/>
      <c r="AR754" s="62"/>
      <c r="AS754" s="62"/>
      <c r="AT754" s="62"/>
      <c r="AU754" s="62"/>
      <c r="AV754" s="62"/>
      <c r="AW754" s="62"/>
      <c r="AX754" s="62"/>
    </row>
    <row r="755" spans="1:50" ht="14.25" customHeight="1" x14ac:dyDescent="0.3">
      <c r="A755" s="58"/>
      <c r="B755" s="58"/>
      <c r="C755" s="58"/>
      <c r="D755" s="58"/>
      <c r="E755" s="58"/>
      <c r="F755" s="58"/>
      <c r="G755" s="59"/>
      <c r="H755" s="60"/>
      <c r="I755" s="60"/>
      <c r="J755" s="59"/>
      <c r="K755" s="61"/>
      <c r="M755" s="62"/>
      <c r="N755" s="62"/>
      <c r="O755" s="62"/>
      <c r="P755" s="62"/>
      <c r="Q755" s="62"/>
      <c r="R755" s="62"/>
      <c r="S755" s="62"/>
      <c r="T755" s="62"/>
      <c r="U755" s="62"/>
      <c r="V755" s="62"/>
      <c r="W755" s="62"/>
      <c r="X755" s="62"/>
      <c r="Y755" s="62"/>
      <c r="Z755" s="62"/>
      <c r="AA755" s="62"/>
      <c r="AB755" s="62"/>
      <c r="AC755" s="62"/>
      <c r="AD755" s="62"/>
      <c r="AE755" s="62"/>
      <c r="AF755" s="62"/>
      <c r="AG755" s="62"/>
      <c r="AH755" s="62"/>
      <c r="AI755" s="62"/>
      <c r="AJ755" s="62"/>
      <c r="AK755" s="62"/>
      <c r="AL755" s="62"/>
      <c r="AM755" s="62"/>
      <c r="AN755" s="62"/>
      <c r="AO755" s="62"/>
      <c r="AP755" s="62"/>
      <c r="AQ755" s="62"/>
      <c r="AR755" s="62"/>
      <c r="AS755" s="62"/>
      <c r="AT755" s="62"/>
      <c r="AU755" s="62"/>
      <c r="AV755" s="62"/>
      <c r="AW755" s="62"/>
      <c r="AX755" s="62"/>
    </row>
    <row r="756" spans="1:50" ht="14.25" customHeight="1" x14ac:dyDescent="0.3">
      <c r="A756" s="58"/>
      <c r="B756" s="58"/>
      <c r="C756" s="58"/>
      <c r="D756" s="58"/>
      <c r="E756" s="58"/>
      <c r="F756" s="58"/>
      <c r="G756" s="59"/>
      <c r="H756" s="60"/>
      <c r="I756" s="60"/>
      <c r="J756" s="59"/>
      <c r="K756" s="61"/>
      <c r="M756" s="62"/>
      <c r="N756" s="62"/>
      <c r="O756" s="62"/>
      <c r="P756" s="62"/>
      <c r="Q756" s="62"/>
      <c r="R756" s="62"/>
      <c r="S756" s="62"/>
      <c r="T756" s="62"/>
      <c r="U756" s="62"/>
      <c r="V756" s="62"/>
      <c r="W756" s="62"/>
      <c r="X756" s="62"/>
      <c r="Y756" s="62"/>
      <c r="Z756" s="62"/>
      <c r="AA756" s="62"/>
      <c r="AB756" s="62"/>
      <c r="AC756" s="62"/>
      <c r="AD756" s="62"/>
      <c r="AE756" s="62"/>
      <c r="AF756" s="62"/>
      <c r="AG756" s="62"/>
      <c r="AH756" s="62"/>
      <c r="AI756" s="62"/>
      <c r="AJ756" s="62"/>
      <c r="AK756" s="62"/>
      <c r="AL756" s="62"/>
      <c r="AM756" s="62"/>
      <c r="AN756" s="62"/>
      <c r="AO756" s="62"/>
      <c r="AP756" s="62"/>
      <c r="AQ756" s="62"/>
      <c r="AR756" s="62"/>
      <c r="AS756" s="62"/>
      <c r="AT756" s="62"/>
      <c r="AU756" s="62"/>
      <c r="AV756" s="62"/>
      <c r="AW756" s="62"/>
      <c r="AX756" s="62"/>
    </row>
    <row r="757" spans="1:50" ht="14.25" customHeight="1" x14ac:dyDescent="0.3">
      <c r="A757" s="58"/>
      <c r="B757" s="58"/>
      <c r="C757" s="58"/>
      <c r="D757" s="58"/>
      <c r="E757" s="58"/>
      <c r="F757" s="58"/>
      <c r="G757" s="59"/>
      <c r="H757" s="60"/>
      <c r="I757" s="60"/>
      <c r="J757" s="59"/>
      <c r="K757" s="61"/>
      <c r="M757" s="62"/>
      <c r="N757" s="62"/>
      <c r="O757" s="62"/>
      <c r="P757" s="62"/>
      <c r="Q757" s="62"/>
      <c r="R757" s="62"/>
      <c r="S757" s="62"/>
      <c r="T757" s="62"/>
      <c r="U757" s="62"/>
      <c r="V757" s="62"/>
      <c r="W757" s="62"/>
      <c r="X757" s="62"/>
      <c r="Y757" s="62"/>
      <c r="Z757" s="62"/>
      <c r="AA757" s="62"/>
      <c r="AB757" s="62"/>
      <c r="AC757" s="62"/>
      <c r="AD757" s="62"/>
      <c r="AE757" s="62"/>
      <c r="AF757" s="62"/>
      <c r="AG757" s="62"/>
      <c r="AH757" s="62"/>
      <c r="AI757" s="62"/>
      <c r="AJ757" s="62"/>
      <c r="AK757" s="62"/>
      <c r="AL757" s="62"/>
      <c r="AM757" s="62"/>
      <c r="AN757" s="62"/>
      <c r="AO757" s="62"/>
      <c r="AP757" s="62"/>
      <c r="AQ757" s="62"/>
      <c r="AR757" s="62"/>
      <c r="AS757" s="62"/>
      <c r="AT757" s="62"/>
      <c r="AU757" s="62"/>
      <c r="AV757" s="62"/>
      <c r="AW757" s="62"/>
      <c r="AX757" s="62"/>
    </row>
    <row r="758" spans="1:50" ht="14.25" customHeight="1" x14ac:dyDescent="0.3">
      <c r="A758" s="58"/>
      <c r="B758" s="58"/>
      <c r="C758" s="58"/>
      <c r="D758" s="58"/>
      <c r="E758" s="58"/>
      <c r="F758" s="58"/>
      <c r="G758" s="59"/>
      <c r="H758" s="60"/>
      <c r="I758" s="60"/>
      <c r="J758" s="59"/>
      <c r="K758" s="61"/>
      <c r="M758" s="62"/>
      <c r="N758" s="62"/>
      <c r="O758" s="62"/>
      <c r="P758" s="62"/>
      <c r="Q758" s="62"/>
      <c r="R758" s="62"/>
      <c r="S758" s="62"/>
      <c r="T758" s="62"/>
      <c r="U758" s="62"/>
      <c r="V758" s="62"/>
      <c r="W758" s="62"/>
      <c r="X758" s="62"/>
      <c r="Y758" s="62"/>
      <c r="Z758" s="62"/>
      <c r="AA758" s="62"/>
      <c r="AB758" s="62"/>
      <c r="AC758" s="62"/>
      <c r="AD758" s="62"/>
      <c r="AE758" s="62"/>
      <c r="AF758" s="62"/>
      <c r="AG758" s="62"/>
      <c r="AH758" s="62"/>
      <c r="AI758" s="62"/>
      <c r="AJ758" s="62"/>
      <c r="AK758" s="62"/>
      <c r="AL758" s="62"/>
      <c r="AM758" s="62"/>
      <c r="AN758" s="62"/>
      <c r="AO758" s="62"/>
      <c r="AP758" s="62"/>
      <c r="AQ758" s="62"/>
      <c r="AR758" s="62"/>
      <c r="AS758" s="62"/>
      <c r="AT758" s="62"/>
      <c r="AU758" s="62"/>
      <c r="AV758" s="62"/>
      <c r="AW758" s="62"/>
      <c r="AX758" s="62"/>
    </row>
    <row r="759" spans="1:50" ht="14.25" customHeight="1" x14ac:dyDescent="0.3">
      <c r="A759" s="58"/>
      <c r="B759" s="58"/>
      <c r="C759" s="58"/>
      <c r="D759" s="58"/>
      <c r="E759" s="58"/>
      <c r="F759" s="58"/>
      <c r="G759" s="59"/>
      <c r="H759" s="60"/>
      <c r="I759" s="60"/>
      <c r="J759" s="59"/>
      <c r="K759" s="61"/>
      <c r="M759" s="62"/>
      <c r="N759" s="62"/>
      <c r="O759" s="62"/>
      <c r="P759" s="62"/>
      <c r="Q759" s="62"/>
      <c r="R759" s="62"/>
      <c r="S759" s="62"/>
      <c r="T759" s="62"/>
      <c r="U759" s="62"/>
      <c r="V759" s="62"/>
      <c r="W759" s="62"/>
      <c r="X759" s="62"/>
      <c r="Y759" s="62"/>
      <c r="Z759" s="62"/>
      <c r="AA759" s="62"/>
      <c r="AB759" s="62"/>
      <c r="AC759" s="62"/>
      <c r="AD759" s="62"/>
      <c r="AE759" s="62"/>
      <c r="AF759" s="62"/>
      <c r="AG759" s="62"/>
      <c r="AH759" s="62"/>
      <c r="AI759" s="62"/>
      <c r="AJ759" s="62"/>
      <c r="AK759" s="62"/>
      <c r="AL759" s="62"/>
      <c r="AM759" s="62"/>
      <c r="AN759" s="62"/>
      <c r="AO759" s="62"/>
      <c r="AP759" s="62"/>
      <c r="AQ759" s="62"/>
      <c r="AR759" s="62"/>
      <c r="AS759" s="62"/>
      <c r="AT759" s="62"/>
      <c r="AU759" s="62"/>
      <c r="AV759" s="62"/>
      <c r="AW759" s="62"/>
      <c r="AX759" s="62"/>
    </row>
    <row r="760" spans="1:50" ht="14.25" customHeight="1" x14ac:dyDescent="0.3">
      <c r="A760" s="58"/>
      <c r="B760" s="58"/>
      <c r="C760" s="58"/>
      <c r="D760" s="58"/>
      <c r="E760" s="58"/>
      <c r="F760" s="58"/>
      <c r="G760" s="59"/>
      <c r="H760" s="60"/>
      <c r="I760" s="60"/>
      <c r="J760" s="59"/>
      <c r="K760" s="61"/>
      <c r="M760" s="62"/>
      <c r="N760" s="62"/>
      <c r="O760" s="62"/>
      <c r="P760" s="62"/>
      <c r="Q760" s="62"/>
      <c r="R760" s="62"/>
      <c r="S760" s="62"/>
      <c r="T760" s="62"/>
      <c r="U760" s="62"/>
      <c r="V760" s="62"/>
      <c r="W760" s="62"/>
      <c r="X760" s="62"/>
      <c r="Y760" s="62"/>
      <c r="Z760" s="62"/>
      <c r="AA760" s="62"/>
      <c r="AB760" s="62"/>
      <c r="AC760" s="62"/>
      <c r="AD760" s="62"/>
      <c r="AE760" s="62"/>
      <c r="AF760" s="62"/>
      <c r="AG760" s="62"/>
      <c r="AH760" s="62"/>
      <c r="AI760" s="62"/>
      <c r="AJ760" s="62"/>
      <c r="AK760" s="62"/>
      <c r="AL760" s="62"/>
      <c r="AM760" s="62"/>
      <c r="AN760" s="62"/>
      <c r="AO760" s="62"/>
      <c r="AP760" s="62"/>
      <c r="AQ760" s="62"/>
      <c r="AR760" s="62"/>
      <c r="AS760" s="62"/>
      <c r="AT760" s="62"/>
      <c r="AU760" s="62"/>
      <c r="AV760" s="62"/>
      <c r="AW760" s="62"/>
      <c r="AX760" s="62"/>
    </row>
    <row r="761" spans="1:50" ht="14.25" customHeight="1" x14ac:dyDescent="0.3">
      <c r="A761" s="58"/>
      <c r="B761" s="58"/>
      <c r="C761" s="58"/>
      <c r="D761" s="58"/>
      <c r="E761" s="58"/>
      <c r="F761" s="58"/>
      <c r="G761" s="59"/>
      <c r="H761" s="60"/>
      <c r="I761" s="60"/>
      <c r="J761" s="59"/>
      <c r="K761" s="61"/>
      <c r="M761" s="62"/>
      <c r="N761" s="62"/>
      <c r="O761" s="62"/>
      <c r="P761" s="62"/>
      <c r="Q761" s="62"/>
      <c r="R761" s="62"/>
      <c r="S761" s="62"/>
      <c r="T761" s="62"/>
      <c r="U761" s="62"/>
      <c r="V761" s="62"/>
      <c r="W761" s="62"/>
      <c r="X761" s="62"/>
      <c r="Y761" s="62"/>
      <c r="Z761" s="62"/>
      <c r="AA761" s="62"/>
      <c r="AB761" s="62"/>
      <c r="AC761" s="62"/>
      <c r="AD761" s="62"/>
      <c r="AE761" s="62"/>
      <c r="AF761" s="62"/>
      <c r="AG761" s="62"/>
      <c r="AH761" s="62"/>
      <c r="AI761" s="62"/>
      <c r="AJ761" s="62"/>
      <c r="AK761" s="62"/>
      <c r="AL761" s="62"/>
      <c r="AM761" s="62"/>
      <c r="AN761" s="62"/>
      <c r="AO761" s="62"/>
      <c r="AP761" s="62"/>
      <c r="AQ761" s="62"/>
      <c r="AR761" s="62"/>
      <c r="AS761" s="62"/>
      <c r="AT761" s="62"/>
      <c r="AU761" s="62"/>
      <c r="AV761" s="62"/>
      <c r="AW761" s="62"/>
      <c r="AX761" s="62"/>
    </row>
    <row r="762" spans="1:50" ht="14.25" customHeight="1" x14ac:dyDescent="0.3">
      <c r="A762" s="58"/>
      <c r="B762" s="58"/>
      <c r="C762" s="58"/>
      <c r="D762" s="58"/>
      <c r="E762" s="58"/>
      <c r="F762" s="58"/>
      <c r="G762" s="59"/>
      <c r="H762" s="60"/>
      <c r="I762" s="60"/>
      <c r="J762" s="59"/>
      <c r="K762" s="61"/>
      <c r="M762" s="62"/>
      <c r="N762" s="62"/>
      <c r="O762" s="62"/>
      <c r="P762" s="62"/>
      <c r="Q762" s="62"/>
      <c r="R762" s="62"/>
      <c r="S762" s="62"/>
      <c r="T762" s="62"/>
      <c r="U762" s="62"/>
      <c r="V762" s="62"/>
      <c r="W762" s="62"/>
      <c r="X762" s="62"/>
      <c r="Y762" s="62"/>
      <c r="Z762" s="62"/>
      <c r="AA762" s="62"/>
      <c r="AB762" s="62"/>
      <c r="AC762" s="62"/>
      <c r="AD762" s="62"/>
      <c r="AE762" s="62"/>
      <c r="AF762" s="62"/>
      <c r="AG762" s="62"/>
      <c r="AH762" s="62"/>
      <c r="AI762" s="62"/>
      <c r="AJ762" s="62"/>
      <c r="AK762" s="62"/>
      <c r="AL762" s="62"/>
      <c r="AM762" s="62"/>
      <c r="AN762" s="62"/>
      <c r="AO762" s="62"/>
      <c r="AP762" s="62"/>
      <c r="AQ762" s="62"/>
      <c r="AR762" s="62"/>
      <c r="AS762" s="62"/>
      <c r="AT762" s="62"/>
      <c r="AU762" s="62"/>
      <c r="AV762" s="62"/>
      <c r="AW762" s="62"/>
      <c r="AX762" s="62"/>
    </row>
    <row r="763" spans="1:50" ht="14.25" customHeight="1" x14ac:dyDescent="0.3">
      <c r="A763" s="58"/>
      <c r="B763" s="58"/>
      <c r="C763" s="58"/>
      <c r="D763" s="58"/>
      <c r="E763" s="58"/>
      <c r="F763" s="58"/>
      <c r="G763" s="59"/>
      <c r="H763" s="60"/>
      <c r="I763" s="60"/>
      <c r="J763" s="59"/>
      <c r="K763" s="61"/>
      <c r="M763" s="62"/>
      <c r="N763" s="62"/>
      <c r="O763" s="62"/>
      <c r="P763" s="62"/>
      <c r="Q763" s="62"/>
      <c r="R763" s="62"/>
      <c r="S763" s="62"/>
      <c r="T763" s="62"/>
      <c r="U763" s="62"/>
      <c r="V763" s="62"/>
      <c r="W763" s="62"/>
      <c r="X763" s="62"/>
      <c r="Y763" s="62"/>
      <c r="Z763" s="62"/>
      <c r="AA763" s="62"/>
      <c r="AB763" s="62"/>
      <c r="AC763" s="62"/>
      <c r="AD763" s="62"/>
      <c r="AE763" s="62"/>
      <c r="AF763" s="62"/>
      <c r="AG763" s="62"/>
      <c r="AH763" s="62"/>
      <c r="AI763" s="62"/>
      <c r="AJ763" s="62"/>
      <c r="AK763" s="62"/>
      <c r="AL763" s="62"/>
      <c r="AM763" s="62"/>
      <c r="AN763" s="62"/>
      <c r="AO763" s="62"/>
      <c r="AP763" s="62"/>
      <c r="AQ763" s="62"/>
      <c r="AR763" s="62"/>
      <c r="AS763" s="62"/>
      <c r="AT763" s="62"/>
      <c r="AU763" s="62"/>
      <c r="AV763" s="62"/>
      <c r="AW763" s="62"/>
      <c r="AX763" s="62"/>
    </row>
    <row r="764" spans="1:50" ht="14.25" customHeight="1" x14ac:dyDescent="0.3">
      <c r="A764" s="58"/>
      <c r="B764" s="58"/>
      <c r="C764" s="58"/>
      <c r="D764" s="58"/>
      <c r="E764" s="58"/>
      <c r="F764" s="58"/>
      <c r="G764" s="59"/>
      <c r="H764" s="60"/>
      <c r="I764" s="60"/>
      <c r="J764" s="59"/>
      <c r="K764" s="61"/>
      <c r="M764" s="62"/>
      <c r="N764" s="62"/>
      <c r="O764" s="62"/>
      <c r="P764" s="62"/>
      <c r="Q764" s="62"/>
      <c r="R764" s="62"/>
      <c r="S764" s="62"/>
      <c r="T764" s="62"/>
      <c r="U764" s="62"/>
      <c r="V764" s="62"/>
      <c r="W764" s="62"/>
      <c r="X764" s="62"/>
      <c r="Y764" s="62"/>
      <c r="Z764" s="62"/>
      <c r="AA764" s="62"/>
      <c r="AB764" s="62"/>
      <c r="AC764" s="62"/>
      <c r="AD764" s="62"/>
      <c r="AE764" s="62"/>
      <c r="AF764" s="62"/>
      <c r="AG764" s="62"/>
      <c r="AH764" s="62"/>
      <c r="AI764" s="62"/>
      <c r="AJ764" s="62"/>
      <c r="AK764" s="62"/>
      <c r="AL764" s="62"/>
      <c r="AM764" s="62"/>
      <c r="AN764" s="62"/>
      <c r="AO764" s="62"/>
      <c r="AP764" s="62"/>
      <c r="AQ764" s="62"/>
      <c r="AR764" s="62"/>
      <c r="AS764" s="62"/>
      <c r="AT764" s="62"/>
      <c r="AU764" s="62"/>
      <c r="AV764" s="62"/>
      <c r="AW764" s="62"/>
      <c r="AX764" s="62"/>
    </row>
    <row r="765" spans="1:50" ht="14.25" customHeight="1" x14ac:dyDescent="0.3">
      <c r="A765" s="58"/>
      <c r="B765" s="58"/>
      <c r="C765" s="58"/>
      <c r="D765" s="58"/>
      <c r="E765" s="58"/>
      <c r="F765" s="58"/>
      <c r="G765" s="59"/>
      <c r="H765" s="60"/>
      <c r="I765" s="60"/>
      <c r="J765" s="59"/>
      <c r="K765" s="61"/>
      <c r="M765" s="62"/>
      <c r="N765" s="62"/>
      <c r="O765" s="62"/>
      <c r="P765" s="62"/>
      <c r="Q765" s="62"/>
      <c r="R765" s="62"/>
      <c r="S765" s="62"/>
      <c r="T765" s="62"/>
      <c r="U765" s="62"/>
      <c r="V765" s="62"/>
      <c r="W765" s="62"/>
      <c r="X765" s="62"/>
      <c r="Y765" s="62"/>
      <c r="Z765" s="62"/>
      <c r="AA765" s="62"/>
      <c r="AB765" s="62"/>
      <c r="AC765" s="62"/>
      <c r="AD765" s="62"/>
      <c r="AE765" s="62"/>
      <c r="AF765" s="62"/>
      <c r="AG765" s="62"/>
      <c r="AH765" s="62"/>
      <c r="AI765" s="62"/>
      <c r="AJ765" s="62"/>
      <c r="AK765" s="62"/>
      <c r="AL765" s="62"/>
      <c r="AM765" s="62"/>
      <c r="AN765" s="62"/>
      <c r="AO765" s="62"/>
      <c r="AP765" s="62"/>
      <c r="AQ765" s="62"/>
      <c r="AR765" s="62"/>
      <c r="AS765" s="62"/>
      <c r="AT765" s="62"/>
      <c r="AU765" s="62"/>
      <c r="AV765" s="62"/>
      <c r="AW765" s="62"/>
      <c r="AX765" s="62"/>
    </row>
    <row r="766" spans="1:50" ht="14.25" customHeight="1" x14ac:dyDescent="0.3">
      <c r="A766" s="58"/>
      <c r="B766" s="58"/>
      <c r="C766" s="58"/>
      <c r="D766" s="58"/>
      <c r="E766" s="58"/>
      <c r="F766" s="58"/>
      <c r="G766" s="59"/>
      <c r="H766" s="60"/>
      <c r="I766" s="60"/>
      <c r="J766" s="59"/>
      <c r="K766" s="61"/>
      <c r="M766" s="62"/>
      <c r="N766" s="62"/>
      <c r="O766" s="62"/>
      <c r="P766" s="62"/>
      <c r="Q766" s="62"/>
      <c r="R766" s="62"/>
      <c r="S766" s="62"/>
      <c r="T766" s="62"/>
      <c r="U766" s="62"/>
      <c r="V766" s="62"/>
      <c r="W766" s="62"/>
      <c r="X766" s="62"/>
      <c r="Y766" s="62"/>
      <c r="Z766" s="62"/>
      <c r="AA766" s="62"/>
      <c r="AB766" s="62"/>
      <c r="AC766" s="62"/>
      <c r="AD766" s="62"/>
      <c r="AE766" s="62"/>
      <c r="AF766" s="62"/>
      <c r="AG766" s="62"/>
      <c r="AH766" s="62"/>
      <c r="AI766" s="62"/>
      <c r="AJ766" s="62"/>
      <c r="AK766" s="62"/>
      <c r="AL766" s="62"/>
      <c r="AM766" s="62"/>
      <c r="AN766" s="62"/>
      <c r="AO766" s="62"/>
      <c r="AP766" s="62"/>
      <c r="AQ766" s="62"/>
      <c r="AR766" s="62"/>
      <c r="AS766" s="62"/>
      <c r="AT766" s="62"/>
      <c r="AU766" s="62"/>
      <c r="AV766" s="62"/>
      <c r="AW766" s="62"/>
      <c r="AX766" s="62"/>
    </row>
    <row r="767" spans="1:50" ht="14.25" customHeight="1" x14ac:dyDescent="0.3">
      <c r="A767" s="58"/>
      <c r="B767" s="58"/>
      <c r="C767" s="58"/>
      <c r="D767" s="58"/>
      <c r="E767" s="58"/>
      <c r="F767" s="58"/>
      <c r="G767" s="59"/>
      <c r="H767" s="60"/>
      <c r="I767" s="60"/>
      <c r="J767" s="59"/>
      <c r="K767" s="61"/>
      <c r="M767" s="62"/>
      <c r="N767" s="62"/>
      <c r="O767" s="62"/>
      <c r="P767" s="62"/>
      <c r="Q767" s="62"/>
      <c r="R767" s="62"/>
      <c r="S767" s="62"/>
      <c r="T767" s="62"/>
      <c r="U767" s="62"/>
      <c r="V767" s="62"/>
      <c r="W767" s="62"/>
      <c r="X767" s="62"/>
      <c r="Y767" s="62"/>
      <c r="Z767" s="62"/>
      <c r="AA767" s="62"/>
      <c r="AB767" s="62"/>
      <c r="AC767" s="62"/>
      <c r="AD767" s="62"/>
      <c r="AE767" s="62"/>
      <c r="AF767" s="62"/>
      <c r="AG767" s="62"/>
      <c r="AH767" s="62"/>
      <c r="AI767" s="62"/>
      <c r="AJ767" s="62"/>
      <c r="AK767" s="62"/>
      <c r="AL767" s="62"/>
      <c r="AM767" s="62"/>
      <c r="AN767" s="62"/>
      <c r="AO767" s="62"/>
      <c r="AP767" s="62"/>
      <c r="AQ767" s="62"/>
      <c r="AR767" s="62"/>
      <c r="AS767" s="62"/>
      <c r="AT767" s="62"/>
      <c r="AU767" s="62"/>
      <c r="AV767" s="62"/>
      <c r="AW767" s="62"/>
      <c r="AX767" s="62"/>
    </row>
    <row r="768" spans="1:50" ht="14.25" customHeight="1" x14ac:dyDescent="0.3">
      <c r="A768" s="58"/>
      <c r="B768" s="58"/>
      <c r="C768" s="58"/>
      <c r="D768" s="58"/>
      <c r="E768" s="58"/>
      <c r="F768" s="58"/>
      <c r="G768" s="59"/>
      <c r="H768" s="60"/>
      <c r="I768" s="60"/>
      <c r="J768" s="59"/>
      <c r="K768" s="61"/>
      <c r="M768" s="62"/>
      <c r="N768" s="62"/>
      <c r="O768" s="62"/>
      <c r="P768" s="62"/>
      <c r="Q768" s="62"/>
      <c r="R768" s="62"/>
      <c r="S768" s="62"/>
      <c r="T768" s="62"/>
      <c r="U768" s="62"/>
      <c r="V768" s="62"/>
      <c r="W768" s="62"/>
      <c r="X768" s="62"/>
      <c r="Y768" s="62"/>
      <c r="Z768" s="62"/>
      <c r="AA768" s="62"/>
      <c r="AB768" s="62"/>
      <c r="AC768" s="62"/>
      <c r="AD768" s="62"/>
      <c r="AE768" s="62"/>
      <c r="AF768" s="62"/>
      <c r="AG768" s="62"/>
      <c r="AH768" s="62"/>
      <c r="AI768" s="62"/>
      <c r="AJ768" s="62"/>
      <c r="AK768" s="62"/>
      <c r="AL768" s="62"/>
      <c r="AM768" s="62"/>
      <c r="AN768" s="62"/>
      <c r="AO768" s="62"/>
      <c r="AP768" s="62"/>
      <c r="AQ768" s="62"/>
      <c r="AR768" s="62"/>
      <c r="AS768" s="62"/>
      <c r="AT768" s="62"/>
      <c r="AU768" s="62"/>
      <c r="AV768" s="62"/>
      <c r="AW768" s="62"/>
      <c r="AX768" s="62"/>
    </row>
    <row r="769" spans="1:50" ht="14.25" customHeight="1" x14ac:dyDescent="0.3">
      <c r="A769" s="58"/>
      <c r="B769" s="58"/>
      <c r="C769" s="58"/>
      <c r="D769" s="58"/>
      <c r="E769" s="58"/>
      <c r="F769" s="58"/>
      <c r="G769" s="59"/>
      <c r="H769" s="60"/>
      <c r="I769" s="60"/>
      <c r="J769" s="59"/>
      <c r="K769" s="61"/>
      <c r="M769" s="62"/>
      <c r="N769" s="62"/>
      <c r="O769" s="62"/>
      <c r="P769" s="62"/>
      <c r="Q769" s="62"/>
      <c r="R769" s="62"/>
      <c r="S769" s="62"/>
      <c r="T769" s="62"/>
      <c r="U769" s="62"/>
      <c r="V769" s="62"/>
      <c r="W769" s="62"/>
      <c r="X769" s="62"/>
      <c r="Y769" s="62"/>
      <c r="Z769" s="62"/>
      <c r="AA769" s="62"/>
      <c r="AB769" s="62"/>
      <c r="AC769" s="62"/>
      <c r="AD769" s="62"/>
      <c r="AE769" s="62"/>
      <c r="AF769" s="62"/>
      <c r="AG769" s="62"/>
      <c r="AH769" s="62"/>
      <c r="AI769" s="62"/>
      <c r="AJ769" s="62"/>
      <c r="AK769" s="62"/>
      <c r="AL769" s="62"/>
      <c r="AM769" s="62"/>
      <c r="AN769" s="62"/>
      <c r="AO769" s="62"/>
      <c r="AP769" s="62"/>
      <c r="AQ769" s="62"/>
      <c r="AR769" s="62"/>
      <c r="AS769" s="62"/>
      <c r="AT769" s="62"/>
      <c r="AU769" s="62"/>
      <c r="AV769" s="62"/>
      <c r="AW769" s="62"/>
      <c r="AX769" s="62"/>
    </row>
    <row r="770" spans="1:50" ht="14.25" customHeight="1" x14ac:dyDescent="0.3">
      <c r="A770" s="58"/>
      <c r="B770" s="58"/>
      <c r="C770" s="58"/>
      <c r="D770" s="58"/>
      <c r="E770" s="58"/>
      <c r="F770" s="58"/>
      <c r="G770" s="59"/>
      <c r="H770" s="60"/>
      <c r="I770" s="60"/>
      <c r="J770" s="59"/>
      <c r="K770" s="61"/>
      <c r="M770" s="62"/>
      <c r="N770" s="62"/>
      <c r="O770" s="62"/>
      <c r="P770" s="62"/>
      <c r="Q770" s="62"/>
      <c r="R770" s="62"/>
      <c r="S770" s="62"/>
      <c r="T770" s="62"/>
      <c r="U770" s="62"/>
      <c r="V770" s="62"/>
      <c r="W770" s="62"/>
      <c r="X770" s="62"/>
      <c r="Y770" s="62"/>
      <c r="Z770" s="62"/>
      <c r="AA770" s="62"/>
      <c r="AB770" s="62"/>
      <c r="AC770" s="62"/>
      <c r="AD770" s="62"/>
      <c r="AE770" s="62"/>
      <c r="AF770" s="62"/>
      <c r="AG770" s="62"/>
      <c r="AH770" s="62"/>
      <c r="AI770" s="62"/>
      <c r="AJ770" s="62"/>
      <c r="AK770" s="62"/>
      <c r="AL770" s="62"/>
      <c r="AM770" s="62"/>
      <c r="AN770" s="62"/>
      <c r="AO770" s="62"/>
      <c r="AP770" s="62"/>
      <c r="AQ770" s="62"/>
      <c r="AR770" s="62"/>
      <c r="AS770" s="62"/>
      <c r="AT770" s="62"/>
      <c r="AU770" s="62"/>
      <c r="AV770" s="62"/>
      <c r="AW770" s="62"/>
      <c r="AX770" s="62"/>
    </row>
    <row r="771" spans="1:50" ht="14.25" customHeight="1" x14ac:dyDescent="0.3">
      <c r="A771" s="58"/>
      <c r="B771" s="58"/>
      <c r="C771" s="58"/>
      <c r="D771" s="58"/>
      <c r="E771" s="58"/>
      <c r="F771" s="58"/>
      <c r="G771" s="59"/>
      <c r="H771" s="60"/>
      <c r="I771" s="60"/>
      <c r="J771" s="59"/>
      <c r="K771" s="61"/>
      <c r="M771" s="62"/>
      <c r="N771" s="62"/>
      <c r="O771" s="62"/>
      <c r="P771" s="62"/>
      <c r="Q771" s="62"/>
      <c r="R771" s="62"/>
      <c r="S771" s="62"/>
      <c r="T771" s="62"/>
      <c r="U771" s="62"/>
      <c r="V771" s="62"/>
      <c r="W771" s="62"/>
      <c r="X771" s="62"/>
      <c r="Y771" s="62"/>
      <c r="Z771" s="62"/>
      <c r="AA771" s="62"/>
      <c r="AB771" s="62"/>
      <c r="AC771" s="62"/>
      <c r="AD771" s="62"/>
      <c r="AE771" s="62"/>
      <c r="AF771" s="62"/>
      <c r="AG771" s="62"/>
      <c r="AH771" s="62"/>
      <c r="AI771" s="62"/>
      <c r="AJ771" s="62"/>
      <c r="AK771" s="62"/>
      <c r="AL771" s="62"/>
      <c r="AM771" s="62"/>
      <c r="AN771" s="62"/>
      <c r="AO771" s="62"/>
      <c r="AP771" s="62"/>
      <c r="AQ771" s="62"/>
      <c r="AR771" s="62"/>
      <c r="AS771" s="62"/>
      <c r="AT771" s="62"/>
      <c r="AU771" s="62"/>
      <c r="AV771" s="62"/>
      <c r="AW771" s="62"/>
      <c r="AX771" s="62"/>
    </row>
    <row r="772" spans="1:50" ht="14.25" customHeight="1" x14ac:dyDescent="0.3">
      <c r="A772" s="58"/>
      <c r="B772" s="58"/>
      <c r="C772" s="58"/>
      <c r="D772" s="58"/>
      <c r="E772" s="58"/>
      <c r="F772" s="58"/>
      <c r="G772" s="59"/>
      <c r="H772" s="60"/>
      <c r="I772" s="60"/>
      <c r="J772" s="59"/>
      <c r="K772" s="61"/>
      <c r="M772" s="62"/>
      <c r="N772" s="62"/>
      <c r="O772" s="62"/>
      <c r="P772" s="62"/>
      <c r="Q772" s="62"/>
      <c r="R772" s="62"/>
      <c r="S772" s="62"/>
      <c r="T772" s="62"/>
      <c r="U772" s="62"/>
      <c r="V772" s="62"/>
      <c r="W772" s="62"/>
      <c r="X772" s="62"/>
      <c r="Y772" s="62"/>
      <c r="Z772" s="62"/>
      <c r="AA772" s="62"/>
      <c r="AB772" s="62"/>
      <c r="AC772" s="62"/>
      <c r="AD772" s="62"/>
      <c r="AE772" s="62"/>
      <c r="AF772" s="62"/>
      <c r="AG772" s="62"/>
      <c r="AH772" s="62"/>
      <c r="AI772" s="62"/>
      <c r="AJ772" s="62"/>
      <c r="AK772" s="62"/>
      <c r="AL772" s="62"/>
      <c r="AM772" s="62"/>
      <c r="AN772" s="62"/>
      <c r="AO772" s="62"/>
      <c r="AP772" s="62"/>
      <c r="AQ772" s="62"/>
      <c r="AR772" s="62"/>
      <c r="AS772" s="62"/>
      <c r="AT772" s="62"/>
      <c r="AU772" s="62"/>
      <c r="AV772" s="62"/>
      <c r="AW772" s="62"/>
      <c r="AX772" s="62"/>
    </row>
    <row r="773" spans="1:50" ht="14.25" customHeight="1" x14ac:dyDescent="0.3">
      <c r="A773" s="58"/>
      <c r="B773" s="58"/>
      <c r="C773" s="58"/>
      <c r="D773" s="58"/>
      <c r="E773" s="58"/>
      <c r="F773" s="58"/>
      <c r="G773" s="59"/>
      <c r="H773" s="60"/>
      <c r="I773" s="60"/>
      <c r="J773" s="59"/>
      <c r="K773" s="61"/>
      <c r="M773" s="62"/>
      <c r="N773" s="62"/>
      <c r="O773" s="62"/>
      <c r="P773" s="62"/>
      <c r="Q773" s="62"/>
      <c r="R773" s="62"/>
      <c r="S773" s="62"/>
      <c r="T773" s="62"/>
      <c r="U773" s="62"/>
      <c r="V773" s="62"/>
      <c r="W773" s="62"/>
      <c r="X773" s="62"/>
      <c r="Y773" s="62"/>
      <c r="Z773" s="62"/>
      <c r="AA773" s="62"/>
      <c r="AB773" s="62"/>
      <c r="AC773" s="62"/>
      <c r="AD773" s="62"/>
      <c r="AE773" s="62"/>
      <c r="AF773" s="62"/>
      <c r="AG773" s="62"/>
      <c r="AH773" s="62"/>
      <c r="AI773" s="62"/>
      <c r="AJ773" s="62"/>
      <c r="AK773" s="62"/>
      <c r="AL773" s="62"/>
      <c r="AM773" s="62"/>
      <c r="AN773" s="62"/>
      <c r="AO773" s="62"/>
      <c r="AP773" s="62"/>
      <c r="AQ773" s="62"/>
      <c r="AR773" s="62"/>
      <c r="AS773" s="62"/>
      <c r="AT773" s="62"/>
      <c r="AU773" s="62"/>
      <c r="AV773" s="62"/>
      <c r="AW773" s="62"/>
      <c r="AX773" s="62"/>
    </row>
    <row r="774" spans="1:50" ht="14.25" customHeight="1" x14ac:dyDescent="0.3">
      <c r="A774" s="58"/>
      <c r="B774" s="58"/>
      <c r="C774" s="58"/>
      <c r="D774" s="58"/>
      <c r="E774" s="58"/>
      <c r="F774" s="58"/>
      <c r="G774" s="59"/>
      <c r="H774" s="60"/>
      <c r="I774" s="60"/>
      <c r="J774" s="59"/>
      <c r="K774" s="61"/>
      <c r="M774" s="62"/>
      <c r="N774" s="62"/>
      <c r="O774" s="62"/>
      <c r="P774" s="62"/>
      <c r="Q774" s="62"/>
      <c r="R774" s="62"/>
      <c r="S774" s="62"/>
      <c r="T774" s="62"/>
      <c r="U774" s="62"/>
      <c r="V774" s="62"/>
      <c r="W774" s="62"/>
      <c r="X774" s="62"/>
      <c r="Y774" s="62"/>
      <c r="Z774" s="62"/>
      <c r="AA774" s="62"/>
      <c r="AB774" s="62"/>
      <c r="AC774" s="62"/>
      <c r="AD774" s="62"/>
      <c r="AE774" s="62"/>
      <c r="AF774" s="62"/>
      <c r="AG774" s="62"/>
      <c r="AH774" s="62"/>
      <c r="AI774" s="62"/>
      <c r="AJ774" s="62"/>
      <c r="AK774" s="62"/>
      <c r="AL774" s="62"/>
      <c r="AM774" s="62"/>
      <c r="AN774" s="62"/>
      <c r="AO774" s="62"/>
      <c r="AP774" s="62"/>
      <c r="AQ774" s="62"/>
      <c r="AR774" s="62"/>
      <c r="AS774" s="62"/>
      <c r="AT774" s="62"/>
      <c r="AU774" s="62"/>
      <c r="AV774" s="62"/>
      <c r="AW774" s="62"/>
      <c r="AX774" s="62"/>
    </row>
    <row r="775" spans="1:50" ht="14.25" customHeight="1" x14ac:dyDescent="0.3">
      <c r="A775" s="58"/>
      <c r="B775" s="58"/>
      <c r="C775" s="58"/>
      <c r="D775" s="58"/>
      <c r="E775" s="58"/>
      <c r="F775" s="58"/>
      <c r="G775" s="59"/>
      <c r="H775" s="60"/>
      <c r="I775" s="60"/>
      <c r="J775" s="59"/>
      <c r="K775" s="61"/>
      <c r="M775" s="62"/>
      <c r="N775" s="62"/>
      <c r="O775" s="62"/>
      <c r="P775" s="62"/>
      <c r="Q775" s="62"/>
      <c r="R775" s="62"/>
      <c r="S775" s="62"/>
      <c r="T775" s="62"/>
      <c r="U775" s="62"/>
      <c r="V775" s="62"/>
      <c r="W775" s="62"/>
      <c r="X775" s="62"/>
      <c r="Y775" s="62"/>
      <c r="Z775" s="62"/>
      <c r="AA775" s="62"/>
      <c r="AB775" s="62"/>
      <c r="AC775" s="62"/>
      <c r="AD775" s="62"/>
      <c r="AE775" s="62"/>
      <c r="AF775" s="62"/>
      <c r="AG775" s="62"/>
      <c r="AH775" s="62"/>
      <c r="AI775" s="62"/>
      <c r="AJ775" s="62"/>
      <c r="AK775" s="62"/>
      <c r="AL775" s="62"/>
      <c r="AM775" s="62"/>
      <c r="AN775" s="62"/>
      <c r="AO775" s="62"/>
      <c r="AP775" s="62"/>
      <c r="AQ775" s="62"/>
      <c r="AR775" s="62"/>
      <c r="AS775" s="62"/>
      <c r="AT775" s="62"/>
      <c r="AU775" s="62"/>
      <c r="AV775" s="62"/>
      <c r="AW775" s="62"/>
      <c r="AX775" s="62"/>
    </row>
    <row r="776" spans="1:50" ht="14.25" customHeight="1" x14ac:dyDescent="0.3">
      <c r="A776" s="58"/>
      <c r="B776" s="58"/>
      <c r="C776" s="58"/>
      <c r="D776" s="58"/>
      <c r="E776" s="58"/>
      <c r="F776" s="58"/>
      <c r="G776" s="59"/>
      <c r="H776" s="60"/>
      <c r="I776" s="60"/>
      <c r="J776" s="59"/>
      <c r="K776" s="61"/>
      <c r="M776" s="62"/>
      <c r="N776" s="62"/>
      <c r="O776" s="62"/>
      <c r="P776" s="62"/>
      <c r="Q776" s="62"/>
      <c r="R776" s="62"/>
      <c r="S776" s="62"/>
      <c r="T776" s="62"/>
      <c r="U776" s="62"/>
      <c r="V776" s="62"/>
      <c r="W776" s="62"/>
      <c r="X776" s="62"/>
      <c r="Y776" s="62"/>
      <c r="Z776" s="62"/>
      <c r="AA776" s="62"/>
      <c r="AB776" s="62"/>
      <c r="AC776" s="62"/>
      <c r="AD776" s="62"/>
      <c r="AE776" s="62"/>
      <c r="AF776" s="62"/>
      <c r="AG776" s="62"/>
      <c r="AH776" s="62"/>
      <c r="AI776" s="62"/>
      <c r="AJ776" s="62"/>
      <c r="AK776" s="62"/>
      <c r="AL776" s="62"/>
      <c r="AM776" s="62"/>
      <c r="AN776" s="62"/>
      <c r="AO776" s="62"/>
      <c r="AP776" s="62"/>
      <c r="AQ776" s="62"/>
      <c r="AR776" s="62"/>
      <c r="AS776" s="62"/>
      <c r="AT776" s="62"/>
      <c r="AU776" s="62"/>
      <c r="AV776" s="62"/>
      <c r="AW776" s="62"/>
      <c r="AX776" s="62"/>
    </row>
    <row r="777" spans="1:50" ht="14.25" customHeight="1" x14ac:dyDescent="0.3">
      <c r="A777" s="58"/>
      <c r="B777" s="58"/>
      <c r="C777" s="58"/>
      <c r="D777" s="58"/>
      <c r="E777" s="58"/>
      <c r="F777" s="58"/>
      <c r="G777" s="59"/>
      <c r="H777" s="60"/>
      <c r="I777" s="60"/>
      <c r="J777" s="59"/>
      <c r="K777" s="61"/>
      <c r="M777" s="62"/>
      <c r="N777" s="62"/>
      <c r="O777" s="62"/>
      <c r="P777" s="62"/>
      <c r="Q777" s="62"/>
      <c r="R777" s="62"/>
      <c r="S777" s="62"/>
      <c r="T777" s="62"/>
      <c r="U777" s="62"/>
      <c r="V777" s="62"/>
      <c r="W777" s="62"/>
      <c r="X777" s="62"/>
      <c r="Y777" s="62"/>
      <c r="Z777" s="62"/>
      <c r="AA777" s="62"/>
      <c r="AB777" s="62"/>
      <c r="AC777" s="62"/>
      <c r="AD777" s="62"/>
      <c r="AE777" s="62"/>
      <c r="AF777" s="62"/>
      <c r="AG777" s="62"/>
      <c r="AH777" s="62"/>
      <c r="AI777" s="62"/>
      <c r="AJ777" s="62"/>
      <c r="AK777" s="62"/>
      <c r="AL777" s="62"/>
      <c r="AM777" s="62"/>
      <c r="AN777" s="62"/>
      <c r="AO777" s="62"/>
      <c r="AP777" s="62"/>
      <c r="AQ777" s="62"/>
      <c r="AR777" s="62"/>
      <c r="AS777" s="62"/>
      <c r="AT777" s="62"/>
      <c r="AU777" s="62"/>
      <c r="AV777" s="62"/>
      <c r="AW777" s="62"/>
      <c r="AX777" s="62"/>
    </row>
    <row r="778" spans="1:50" ht="14.25" customHeight="1" x14ac:dyDescent="0.3">
      <c r="A778" s="58"/>
      <c r="B778" s="58"/>
      <c r="C778" s="58"/>
      <c r="D778" s="58"/>
      <c r="E778" s="58"/>
      <c r="F778" s="58"/>
      <c r="G778" s="59"/>
      <c r="H778" s="60"/>
      <c r="I778" s="60"/>
      <c r="J778" s="59"/>
      <c r="K778" s="61"/>
      <c r="M778" s="62"/>
      <c r="N778" s="62"/>
      <c r="O778" s="62"/>
      <c r="P778" s="62"/>
      <c r="Q778" s="62"/>
      <c r="R778" s="62"/>
      <c r="S778" s="62"/>
      <c r="T778" s="62"/>
      <c r="U778" s="62"/>
      <c r="V778" s="62"/>
      <c r="W778" s="62"/>
      <c r="X778" s="62"/>
      <c r="Y778" s="62"/>
      <c r="Z778" s="62"/>
      <c r="AA778" s="62"/>
      <c r="AB778" s="62"/>
      <c r="AC778" s="62"/>
      <c r="AD778" s="62"/>
      <c r="AE778" s="62"/>
      <c r="AF778" s="62"/>
      <c r="AG778" s="62"/>
      <c r="AH778" s="62"/>
      <c r="AI778" s="62"/>
      <c r="AJ778" s="62"/>
      <c r="AK778" s="62"/>
      <c r="AL778" s="62"/>
      <c r="AM778" s="62"/>
      <c r="AN778" s="62"/>
      <c r="AO778" s="62"/>
      <c r="AP778" s="62"/>
      <c r="AQ778" s="62"/>
      <c r="AR778" s="62"/>
      <c r="AS778" s="62"/>
      <c r="AT778" s="62"/>
      <c r="AU778" s="62"/>
      <c r="AV778" s="62"/>
      <c r="AW778" s="62"/>
      <c r="AX778" s="62"/>
    </row>
    <row r="779" spans="1:50" ht="14.25" customHeight="1" x14ac:dyDescent="0.3">
      <c r="A779" s="58"/>
      <c r="B779" s="58"/>
      <c r="C779" s="58"/>
      <c r="D779" s="58"/>
      <c r="E779" s="58"/>
      <c r="F779" s="58"/>
      <c r="G779" s="59"/>
      <c r="H779" s="60"/>
      <c r="I779" s="60"/>
      <c r="J779" s="59"/>
      <c r="K779" s="61"/>
      <c r="M779" s="62"/>
      <c r="N779" s="62"/>
      <c r="O779" s="62"/>
      <c r="P779" s="62"/>
      <c r="Q779" s="62"/>
      <c r="R779" s="62"/>
      <c r="S779" s="62"/>
      <c r="T779" s="62"/>
      <c r="U779" s="62"/>
      <c r="V779" s="62"/>
      <c r="W779" s="62"/>
      <c r="X779" s="62"/>
      <c r="Y779" s="62"/>
      <c r="Z779" s="62"/>
      <c r="AA779" s="62"/>
      <c r="AB779" s="62"/>
      <c r="AC779" s="62"/>
      <c r="AD779" s="62"/>
      <c r="AE779" s="62"/>
      <c r="AF779" s="62"/>
      <c r="AG779" s="62"/>
      <c r="AH779" s="62"/>
      <c r="AI779" s="62"/>
      <c r="AJ779" s="62"/>
      <c r="AK779" s="62"/>
      <c r="AL779" s="62"/>
      <c r="AM779" s="62"/>
      <c r="AN779" s="62"/>
      <c r="AO779" s="62"/>
      <c r="AP779" s="62"/>
      <c r="AQ779" s="62"/>
      <c r="AR779" s="62"/>
      <c r="AS779" s="62"/>
      <c r="AT779" s="62"/>
      <c r="AU779" s="62"/>
      <c r="AV779" s="62"/>
      <c r="AW779" s="62"/>
      <c r="AX779" s="62"/>
    </row>
    <row r="780" spans="1:50" ht="14.25" customHeight="1" x14ac:dyDescent="0.3">
      <c r="A780" s="58"/>
      <c r="B780" s="58"/>
      <c r="C780" s="58"/>
      <c r="D780" s="58"/>
      <c r="E780" s="58"/>
      <c r="F780" s="58"/>
      <c r="G780" s="59"/>
      <c r="H780" s="60"/>
      <c r="I780" s="60"/>
      <c r="J780" s="59"/>
      <c r="K780" s="61"/>
      <c r="M780" s="62"/>
      <c r="N780" s="62"/>
      <c r="O780" s="62"/>
      <c r="P780" s="62"/>
      <c r="Q780" s="62"/>
      <c r="R780" s="62"/>
      <c r="S780" s="62"/>
      <c r="T780" s="62"/>
      <c r="U780" s="62"/>
      <c r="V780" s="62"/>
      <c r="W780" s="62"/>
      <c r="X780" s="62"/>
      <c r="Y780" s="62"/>
      <c r="Z780" s="62"/>
      <c r="AA780" s="62"/>
      <c r="AB780" s="62"/>
      <c r="AC780" s="62"/>
      <c r="AD780" s="62"/>
      <c r="AE780" s="62"/>
      <c r="AF780" s="62"/>
      <c r="AG780" s="62"/>
      <c r="AH780" s="62"/>
      <c r="AI780" s="62"/>
      <c r="AJ780" s="62"/>
      <c r="AK780" s="62"/>
      <c r="AL780" s="62"/>
      <c r="AM780" s="62"/>
      <c r="AN780" s="62"/>
      <c r="AO780" s="62"/>
      <c r="AP780" s="62"/>
      <c r="AQ780" s="62"/>
      <c r="AR780" s="62"/>
      <c r="AS780" s="62"/>
      <c r="AT780" s="62"/>
      <c r="AU780" s="62"/>
      <c r="AV780" s="62"/>
      <c r="AW780" s="62"/>
      <c r="AX780" s="62"/>
    </row>
    <row r="781" spans="1:50" ht="14.25" customHeight="1" x14ac:dyDescent="0.3">
      <c r="A781" s="58"/>
      <c r="B781" s="58"/>
      <c r="C781" s="58"/>
      <c r="D781" s="58"/>
      <c r="E781" s="58"/>
      <c r="F781" s="58"/>
      <c r="G781" s="59"/>
      <c r="H781" s="60"/>
      <c r="I781" s="60"/>
      <c r="J781" s="59"/>
      <c r="K781" s="61"/>
      <c r="M781" s="62"/>
      <c r="N781" s="62"/>
      <c r="O781" s="62"/>
      <c r="P781" s="62"/>
      <c r="Q781" s="62"/>
      <c r="R781" s="62"/>
      <c r="S781" s="62"/>
      <c r="T781" s="62"/>
      <c r="U781" s="62"/>
      <c r="V781" s="62"/>
      <c r="W781" s="62"/>
      <c r="X781" s="62"/>
      <c r="Y781" s="62"/>
      <c r="Z781" s="62"/>
      <c r="AA781" s="62"/>
      <c r="AB781" s="62"/>
      <c r="AC781" s="62"/>
      <c r="AD781" s="62"/>
      <c r="AE781" s="62"/>
      <c r="AF781" s="62"/>
      <c r="AG781" s="62"/>
      <c r="AH781" s="62"/>
      <c r="AI781" s="62"/>
      <c r="AJ781" s="62"/>
      <c r="AK781" s="62"/>
      <c r="AL781" s="62"/>
      <c r="AM781" s="62"/>
      <c r="AN781" s="62"/>
      <c r="AO781" s="62"/>
      <c r="AP781" s="62"/>
      <c r="AQ781" s="62"/>
      <c r="AR781" s="62"/>
      <c r="AS781" s="62"/>
      <c r="AT781" s="62"/>
      <c r="AU781" s="62"/>
      <c r="AV781" s="62"/>
      <c r="AW781" s="62"/>
      <c r="AX781" s="62"/>
    </row>
    <row r="782" spans="1:50" ht="14.25" customHeight="1" x14ac:dyDescent="0.3">
      <c r="A782" s="58"/>
      <c r="B782" s="58"/>
      <c r="C782" s="58"/>
      <c r="D782" s="58"/>
      <c r="E782" s="58"/>
      <c r="F782" s="58"/>
      <c r="G782" s="59"/>
      <c r="H782" s="60"/>
      <c r="I782" s="60"/>
      <c r="J782" s="59"/>
      <c r="K782" s="61"/>
      <c r="M782" s="62"/>
      <c r="N782" s="62"/>
      <c r="O782" s="62"/>
      <c r="P782" s="62"/>
      <c r="Q782" s="62"/>
      <c r="R782" s="62"/>
      <c r="S782" s="62"/>
      <c r="T782" s="62"/>
      <c r="U782" s="62"/>
      <c r="V782" s="62"/>
      <c r="W782" s="62"/>
      <c r="X782" s="62"/>
      <c r="Y782" s="62"/>
      <c r="Z782" s="62"/>
      <c r="AA782" s="62"/>
      <c r="AB782" s="62"/>
      <c r="AC782" s="62"/>
      <c r="AD782" s="62"/>
      <c r="AE782" s="62"/>
      <c r="AF782" s="62"/>
      <c r="AG782" s="62"/>
      <c r="AH782" s="62"/>
      <c r="AI782" s="62"/>
      <c r="AJ782" s="62"/>
      <c r="AK782" s="62"/>
      <c r="AL782" s="62"/>
      <c r="AM782" s="62"/>
      <c r="AN782" s="62"/>
      <c r="AO782" s="62"/>
      <c r="AP782" s="62"/>
      <c r="AQ782" s="62"/>
      <c r="AR782" s="62"/>
      <c r="AS782" s="62"/>
      <c r="AT782" s="62"/>
      <c r="AU782" s="62"/>
      <c r="AV782" s="62"/>
      <c r="AW782" s="62"/>
      <c r="AX782" s="62"/>
    </row>
    <row r="783" spans="1:50" ht="14.25" customHeight="1" x14ac:dyDescent="0.3">
      <c r="A783" s="58"/>
      <c r="B783" s="58"/>
      <c r="C783" s="58"/>
      <c r="D783" s="58"/>
      <c r="E783" s="58"/>
      <c r="F783" s="58"/>
      <c r="G783" s="59"/>
      <c r="H783" s="60"/>
      <c r="I783" s="60"/>
      <c r="J783" s="59"/>
      <c r="K783" s="61"/>
      <c r="M783" s="62"/>
      <c r="N783" s="62"/>
      <c r="O783" s="62"/>
      <c r="P783" s="62"/>
      <c r="Q783" s="62"/>
      <c r="R783" s="62"/>
      <c r="S783" s="62"/>
      <c r="T783" s="62"/>
      <c r="U783" s="62"/>
      <c r="V783" s="62"/>
      <c r="W783" s="62"/>
      <c r="X783" s="62"/>
      <c r="Y783" s="62"/>
      <c r="Z783" s="62"/>
      <c r="AA783" s="62"/>
      <c r="AB783" s="62"/>
      <c r="AC783" s="62"/>
      <c r="AD783" s="62"/>
      <c r="AE783" s="62"/>
      <c r="AF783" s="62"/>
      <c r="AG783" s="62"/>
      <c r="AH783" s="62"/>
      <c r="AI783" s="62"/>
      <c r="AJ783" s="62"/>
      <c r="AK783" s="62"/>
      <c r="AL783" s="62"/>
      <c r="AM783" s="62"/>
      <c r="AN783" s="62"/>
      <c r="AO783" s="62"/>
      <c r="AP783" s="62"/>
      <c r="AQ783" s="62"/>
      <c r="AR783" s="62"/>
      <c r="AS783" s="62"/>
      <c r="AT783" s="62"/>
      <c r="AU783" s="62"/>
      <c r="AV783" s="62"/>
      <c r="AW783" s="62"/>
      <c r="AX783" s="62"/>
    </row>
    <row r="784" spans="1:50" ht="14.25" customHeight="1" x14ac:dyDescent="0.3">
      <c r="A784" s="58"/>
      <c r="B784" s="58"/>
      <c r="C784" s="58"/>
      <c r="D784" s="58"/>
      <c r="E784" s="58"/>
      <c r="F784" s="58"/>
      <c r="G784" s="59"/>
      <c r="H784" s="60"/>
      <c r="I784" s="60"/>
      <c r="J784" s="59"/>
      <c r="K784" s="61"/>
      <c r="M784" s="62"/>
      <c r="N784" s="62"/>
      <c r="O784" s="62"/>
      <c r="P784" s="62"/>
      <c r="Q784" s="62"/>
      <c r="R784" s="62"/>
      <c r="S784" s="62"/>
      <c r="T784" s="62"/>
      <c r="U784" s="62"/>
      <c r="V784" s="62"/>
      <c r="W784" s="62"/>
      <c r="X784" s="62"/>
      <c r="Y784" s="62"/>
      <c r="Z784" s="62"/>
      <c r="AA784" s="62"/>
      <c r="AB784" s="62"/>
      <c r="AC784" s="62"/>
      <c r="AD784" s="62"/>
      <c r="AE784" s="62"/>
      <c r="AF784" s="62"/>
      <c r="AG784" s="62"/>
      <c r="AH784" s="62"/>
      <c r="AI784" s="62"/>
      <c r="AJ784" s="62"/>
      <c r="AK784" s="62"/>
      <c r="AL784" s="62"/>
      <c r="AM784" s="62"/>
      <c r="AN784" s="62"/>
      <c r="AO784" s="62"/>
      <c r="AP784" s="62"/>
      <c r="AQ784" s="62"/>
      <c r="AR784" s="62"/>
      <c r="AS784" s="62"/>
      <c r="AT784" s="62"/>
      <c r="AU784" s="62"/>
      <c r="AV784" s="62"/>
      <c r="AW784" s="62"/>
      <c r="AX784" s="62"/>
    </row>
    <row r="785" spans="1:50" ht="14.25" customHeight="1" x14ac:dyDescent="0.3">
      <c r="A785" s="58"/>
      <c r="B785" s="58"/>
      <c r="C785" s="58"/>
      <c r="D785" s="58"/>
      <c r="E785" s="58"/>
      <c r="F785" s="58"/>
      <c r="G785" s="59"/>
      <c r="H785" s="60"/>
      <c r="I785" s="60"/>
      <c r="J785" s="59"/>
      <c r="K785" s="61"/>
      <c r="M785" s="62"/>
      <c r="N785" s="62"/>
      <c r="O785" s="62"/>
      <c r="P785" s="62"/>
      <c r="Q785" s="62"/>
      <c r="R785" s="62"/>
      <c r="S785" s="62"/>
      <c r="T785" s="62"/>
      <c r="U785" s="62"/>
      <c r="V785" s="62"/>
      <c r="W785" s="62"/>
      <c r="X785" s="62"/>
      <c r="Y785" s="62"/>
      <c r="Z785" s="62"/>
      <c r="AA785" s="62"/>
      <c r="AB785" s="62"/>
      <c r="AC785" s="62"/>
      <c r="AD785" s="62"/>
      <c r="AE785" s="62"/>
      <c r="AF785" s="62"/>
      <c r="AG785" s="62"/>
      <c r="AH785" s="62"/>
      <c r="AI785" s="62"/>
      <c r="AJ785" s="62"/>
      <c r="AK785" s="62"/>
      <c r="AL785" s="62"/>
      <c r="AM785" s="62"/>
      <c r="AN785" s="62"/>
      <c r="AO785" s="62"/>
      <c r="AP785" s="62"/>
      <c r="AQ785" s="62"/>
      <c r="AR785" s="62"/>
      <c r="AS785" s="62"/>
      <c r="AT785" s="62"/>
      <c r="AU785" s="62"/>
      <c r="AV785" s="62"/>
      <c r="AW785" s="62"/>
      <c r="AX785" s="62"/>
    </row>
    <row r="786" spans="1:50" ht="14.25" customHeight="1" x14ac:dyDescent="0.3">
      <c r="A786" s="58"/>
      <c r="B786" s="58"/>
      <c r="C786" s="58"/>
      <c r="D786" s="58"/>
      <c r="E786" s="58"/>
      <c r="F786" s="58"/>
      <c r="G786" s="59"/>
      <c r="H786" s="60"/>
      <c r="I786" s="60"/>
      <c r="J786" s="59"/>
      <c r="K786" s="61"/>
      <c r="M786" s="62"/>
      <c r="N786" s="62"/>
      <c r="O786" s="62"/>
      <c r="P786" s="62"/>
      <c r="Q786" s="62"/>
      <c r="R786" s="62"/>
      <c r="S786" s="62"/>
      <c r="T786" s="62"/>
      <c r="U786" s="62"/>
      <c r="V786" s="62"/>
      <c r="W786" s="62"/>
      <c r="X786" s="62"/>
      <c r="Y786" s="62"/>
      <c r="Z786" s="62"/>
      <c r="AA786" s="62"/>
      <c r="AB786" s="62"/>
      <c r="AC786" s="62"/>
      <c r="AD786" s="62"/>
      <c r="AE786" s="62"/>
      <c r="AF786" s="62"/>
      <c r="AG786" s="62"/>
      <c r="AH786" s="62"/>
      <c r="AI786" s="62"/>
      <c r="AJ786" s="62"/>
      <c r="AK786" s="62"/>
      <c r="AL786" s="62"/>
      <c r="AM786" s="62"/>
      <c r="AN786" s="62"/>
      <c r="AO786" s="62"/>
      <c r="AP786" s="62"/>
      <c r="AQ786" s="62"/>
      <c r="AR786" s="62"/>
      <c r="AS786" s="62"/>
      <c r="AT786" s="62"/>
      <c r="AU786" s="62"/>
      <c r="AV786" s="62"/>
      <c r="AW786" s="62"/>
      <c r="AX786" s="62"/>
    </row>
    <row r="787" spans="1:50" ht="14.25" customHeight="1" x14ac:dyDescent="0.3">
      <c r="A787" s="58"/>
      <c r="B787" s="58"/>
      <c r="C787" s="58"/>
      <c r="D787" s="58"/>
      <c r="E787" s="58"/>
      <c r="F787" s="58"/>
      <c r="G787" s="59"/>
      <c r="H787" s="60"/>
      <c r="I787" s="60"/>
      <c r="J787" s="59"/>
      <c r="K787" s="61"/>
      <c r="M787" s="62"/>
      <c r="N787" s="62"/>
      <c r="O787" s="62"/>
      <c r="P787" s="62"/>
      <c r="Q787" s="62"/>
      <c r="R787" s="62"/>
      <c r="S787" s="62"/>
      <c r="T787" s="62"/>
      <c r="U787" s="62"/>
      <c r="V787" s="62"/>
      <c r="W787" s="62"/>
      <c r="X787" s="62"/>
      <c r="Y787" s="62"/>
      <c r="Z787" s="62"/>
      <c r="AA787" s="62"/>
      <c r="AB787" s="62"/>
      <c r="AC787" s="62"/>
      <c r="AD787" s="62"/>
      <c r="AE787" s="62"/>
      <c r="AF787" s="62"/>
      <c r="AG787" s="62"/>
      <c r="AH787" s="62"/>
      <c r="AI787" s="62"/>
      <c r="AJ787" s="62"/>
      <c r="AK787" s="62"/>
      <c r="AL787" s="62"/>
      <c r="AM787" s="62"/>
      <c r="AN787" s="62"/>
      <c r="AO787" s="62"/>
      <c r="AP787" s="62"/>
      <c r="AQ787" s="62"/>
      <c r="AR787" s="62"/>
      <c r="AS787" s="62"/>
      <c r="AT787" s="62"/>
      <c r="AU787" s="62"/>
      <c r="AV787" s="62"/>
      <c r="AW787" s="62"/>
      <c r="AX787" s="62"/>
    </row>
    <row r="788" spans="1:50" ht="14.25" customHeight="1" x14ac:dyDescent="0.3">
      <c r="A788" s="58"/>
      <c r="B788" s="58"/>
      <c r="C788" s="58"/>
      <c r="D788" s="58"/>
      <c r="E788" s="58"/>
      <c r="F788" s="58"/>
      <c r="G788" s="59"/>
      <c r="H788" s="60"/>
      <c r="I788" s="60"/>
      <c r="J788" s="59"/>
      <c r="K788" s="61"/>
      <c r="M788" s="62"/>
      <c r="N788" s="62"/>
      <c r="O788" s="62"/>
      <c r="P788" s="62"/>
      <c r="Q788" s="62"/>
      <c r="R788" s="62"/>
      <c r="S788" s="62"/>
      <c r="T788" s="62"/>
      <c r="U788" s="62"/>
      <c r="V788" s="62"/>
      <c r="W788" s="62"/>
      <c r="X788" s="62"/>
      <c r="Y788" s="62"/>
      <c r="Z788" s="62"/>
      <c r="AA788" s="62"/>
      <c r="AB788" s="62"/>
      <c r="AC788" s="62"/>
      <c r="AD788" s="62"/>
      <c r="AE788" s="62"/>
      <c r="AF788" s="62"/>
      <c r="AG788" s="62"/>
      <c r="AH788" s="62"/>
      <c r="AI788" s="62"/>
      <c r="AJ788" s="62"/>
      <c r="AK788" s="62"/>
      <c r="AL788" s="62"/>
      <c r="AM788" s="62"/>
      <c r="AN788" s="62"/>
      <c r="AO788" s="62"/>
      <c r="AP788" s="62"/>
      <c r="AQ788" s="62"/>
      <c r="AR788" s="62"/>
      <c r="AS788" s="62"/>
      <c r="AT788" s="62"/>
      <c r="AU788" s="62"/>
      <c r="AV788" s="62"/>
      <c r="AW788" s="62"/>
      <c r="AX788" s="62"/>
    </row>
    <row r="789" spans="1:50" ht="14.25" customHeight="1" x14ac:dyDescent="0.3">
      <c r="A789" s="58"/>
      <c r="B789" s="58"/>
      <c r="C789" s="58"/>
      <c r="D789" s="58"/>
      <c r="E789" s="58"/>
      <c r="F789" s="58"/>
      <c r="G789" s="59"/>
      <c r="H789" s="60"/>
      <c r="I789" s="60"/>
      <c r="J789" s="59"/>
      <c r="K789" s="61"/>
      <c r="M789" s="62"/>
      <c r="N789" s="62"/>
      <c r="O789" s="62"/>
      <c r="P789" s="62"/>
      <c r="Q789" s="62"/>
      <c r="R789" s="62"/>
      <c r="S789" s="62"/>
      <c r="T789" s="62"/>
      <c r="U789" s="62"/>
      <c r="V789" s="62"/>
      <c r="W789" s="62"/>
      <c r="X789" s="62"/>
      <c r="Y789" s="62"/>
      <c r="Z789" s="62"/>
      <c r="AA789" s="62"/>
      <c r="AB789" s="62"/>
      <c r="AC789" s="62"/>
      <c r="AD789" s="62"/>
      <c r="AE789" s="62"/>
      <c r="AF789" s="62"/>
      <c r="AG789" s="62"/>
      <c r="AH789" s="62"/>
      <c r="AI789" s="62"/>
      <c r="AJ789" s="62"/>
      <c r="AK789" s="62"/>
      <c r="AL789" s="62"/>
      <c r="AM789" s="62"/>
      <c r="AN789" s="62"/>
      <c r="AO789" s="62"/>
      <c r="AP789" s="62"/>
      <c r="AQ789" s="62"/>
      <c r="AR789" s="62"/>
      <c r="AS789" s="62"/>
      <c r="AT789" s="62"/>
      <c r="AU789" s="62"/>
      <c r="AV789" s="62"/>
      <c r="AW789" s="62"/>
      <c r="AX789" s="62"/>
    </row>
    <row r="790" spans="1:50" ht="14.25" customHeight="1" x14ac:dyDescent="0.3">
      <c r="A790" s="58"/>
      <c r="B790" s="58"/>
      <c r="C790" s="58"/>
      <c r="D790" s="58"/>
      <c r="E790" s="58"/>
      <c r="F790" s="58"/>
      <c r="G790" s="59"/>
      <c r="H790" s="60"/>
      <c r="I790" s="60"/>
      <c r="J790" s="59"/>
      <c r="K790" s="61"/>
      <c r="M790" s="62"/>
      <c r="N790" s="62"/>
      <c r="O790" s="62"/>
      <c r="P790" s="62"/>
      <c r="Q790" s="62"/>
      <c r="R790" s="62"/>
      <c r="S790" s="62"/>
      <c r="T790" s="62"/>
      <c r="U790" s="62"/>
      <c r="V790" s="62"/>
      <c r="W790" s="62"/>
      <c r="X790" s="62"/>
      <c r="Y790" s="62"/>
      <c r="Z790" s="62"/>
      <c r="AA790" s="62"/>
      <c r="AB790" s="62"/>
      <c r="AC790" s="62"/>
      <c r="AD790" s="62"/>
      <c r="AE790" s="62"/>
      <c r="AF790" s="62"/>
      <c r="AG790" s="62"/>
      <c r="AH790" s="62"/>
      <c r="AI790" s="62"/>
      <c r="AJ790" s="62"/>
      <c r="AK790" s="62"/>
      <c r="AL790" s="62"/>
      <c r="AM790" s="62"/>
      <c r="AN790" s="62"/>
      <c r="AO790" s="62"/>
      <c r="AP790" s="62"/>
      <c r="AQ790" s="62"/>
      <c r="AR790" s="62"/>
      <c r="AS790" s="62"/>
      <c r="AT790" s="62"/>
      <c r="AU790" s="62"/>
      <c r="AV790" s="62"/>
      <c r="AW790" s="62"/>
      <c r="AX790" s="62"/>
    </row>
    <row r="791" spans="1:50" ht="14.25" customHeight="1" x14ac:dyDescent="0.3">
      <c r="A791" s="58"/>
      <c r="B791" s="58"/>
      <c r="C791" s="58"/>
      <c r="D791" s="58"/>
      <c r="E791" s="58"/>
      <c r="F791" s="58"/>
      <c r="G791" s="59"/>
      <c r="H791" s="60"/>
      <c r="I791" s="60"/>
      <c r="J791" s="59"/>
      <c r="K791" s="61"/>
      <c r="M791" s="62"/>
      <c r="N791" s="62"/>
      <c r="O791" s="62"/>
      <c r="P791" s="62"/>
      <c r="Q791" s="62"/>
      <c r="R791" s="62"/>
      <c r="S791" s="62"/>
      <c r="T791" s="62"/>
      <c r="U791" s="62"/>
      <c r="V791" s="62"/>
      <c r="W791" s="62"/>
      <c r="X791" s="62"/>
      <c r="Y791" s="62"/>
      <c r="Z791" s="62"/>
      <c r="AA791" s="62"/>
      <c r="AB791" s="62"/>
      <c r="AC791" s="62"/>
      <c r="AD791" s="62"/>
      <c r="AE791" s="62"/>
      <c r="AF791" s="62"/>
      <c r="AG791" s="62"/>
      <c r="AH791" s="62"/>
      <c r="AI791" s="62"/>
      <c r="AJ791" s="62"/>
      <c r="AK791" s="62"/>
      <c r="AL791" s="62"/>
      <c r="AM791" s="62"/>
      <c r="AN791" s="62"/>
      <c r="AO791" s="62"/>
      <c r="AP791" s="62"/>
      <c r="AQ791" s="62"/>
      <c r="AR791" s="62"/>
      <c r="AS791" s="62"/>
      <c r="AT791" s="62"/>
      <c r="AU791" s="62"/>
      <c r="AV791" s="62"/>
      <c r="AW791" s="62"/>
      <c r="AX791" s="62"/>
    </row>
    <row r="792" spans="1:50" ht="14.25" customHeight="1" x14ac:dyDescent="0.3">
      <c r="A792" s="58"/>
      <c r="B792" s="58"/>
      <c r="C792" s="58"/>
      <c r="D792" s="58"/>
      <c r="E792" s="58"/>
      <c r="F792" s="58"/>
      <c r="G792" s="59"/>
      <c r="H792" s="60"/>
      <c r="I792" s="60"/>
      <c r="J792" s="59"/>
      <c r="K792" s="61"/>
      <c r="M792" s="62"/>
      <c r="N792" s="62"/>
      <c r="O792" s="62"/>
      <c r="P792" s="62"/>
      <c r="Q792" s="62"/>
      <c r="R792" s="62"/>
      <c r="S792" s="62"/>
      <c r="T792" s="62"/>
      <c r="U792" s="62"/>
      <c r="V792" s="62"/>
      <c r="W792" s="62"/>
      <c r="X792" s="62"/>
      <c r="Y792" s="62"/>
      <c r="Z792" s="62"/>
      <c r="AA792" s="62"/>
      <c r="AB792" s="62"/>
      <c r="AC792" s="62"/>
      <c r="AD792" s="62"/>
      <c r="AE792" s="62"/>
      <c r="AF792" s="62"/>
      <c r="AG792" s="62"/>
      <c r="AH792" s="62"/>
      <c r="AI792" s="62"/>
      <c r="AJ792" s="62"/>
      <c r="AK792" s="62"/>
      <c r="AL792" s="62"/>
      <c r="AM792" s="62"/>
      <c r="AN792" s="62"/>
      <c r="AO792" s="62"/>
      <c r="AP792" s="62"/>
      <c r="AQ792" s="62"/>
      <c r="AR792" s="62"/>
      <c r="AS792" s="62"/>
      <c r="AT792" s="62"/>
      <c r="AU792" s="62"/>
      <c r="AV792" s="62"/>
      <c r="AW792" s="62"/>
      <c r="AX792" s="62"/>
    </row>
    <row r="793" spans="1:50" ht="14.25" customHeight="1" x14ac:dyDescent="0.3">
      <c r="A793" s="58"/>
      <c r="B793" s="58"/>
      <c r="C793" s="58"/>
      <c r="D793" s="58"/>
      <c r="E793" s="58"/>
      <c r="F793" s="58"/>
      <c r="G793" s="59"/>
      <c r="H793" s="60"/>
      <c r="I793" s="60"/>
      <c r="J793" s="59"/>
      <c r="K793" s="61"/>
      <c r="M793" s="62"/>
      <c r="N793" s="62"/>
      <c r="O793" s="62"/>
      <c r="P793" s="62"/>
      <c r="Q793" s="62"/>
      <c r="R793" s="62"/>
      <c r="S793" s="62"/>
      <c r="T793" s="62"/>
      <c r="U793" s="62"/>
      <c r="V793" s="62"/>
      <c r="W793" s="62"/>
      <c r="X793" s="62"/>
      <c r="Y793" s="62"/>
      <c r="Z793" s="62"/>
      <c r="AA793" s="62"/>
      <c r="AB793" s="62"/>
      <c r="AC793" s="62"/>
      <c r="AD793" s="62"/>
      <c r="AE793" s="62"/>
      <c r="AF793" s="62"/>
      <c r="AG793" s="62"/>
      <c r="AH793" s="62"/>
      <c r="AI793" s="62"/>
      <c r="AJ793" s="62"/>
      <c r="AK793" s="62"/>
      <c r="AL793" s="62"/>
      <c r="AM793" s="62"/>
      <c r="AN793" s="62"/>
      <c r="AO793" s="62"/>
      <c r="AP793" s="62"/>
      <c r="AQ793" s="62"/>
      <c r="AR793" s="62"/>
      <c r="AS793" s="62"/>
      <c r="AT793" s="62"/>
      <c r="AU793" s="62"/>
      <c r="AV793" s="62"/>
      <c r="AW793" s="62"/>
      <c r="AX793" s="62"/>
    </row>
    <row r="794" spans="1:50" ht="14.25" customHeight="1" x14ac:dyDescent="0.3">
      <c r="A794" s="58"/>
      <c r="B794" s="58"/>
      <c r="C794" s="58"/>
      <c r="D794" s="58"/>
      <c r="E794" s="58"/>
      <c r="F794" s="58"/>
      <c r="G794" s="59"/>
      <c r="H794" s="60"/>
      <c r="I794" s="60"/>
      <c r="J794" s="59"/>
      <c r="K794" s="61"/>
      <c r="M794" s="62"/>
      <c r="N794" s="62"/>
      <c r="O794" s="62"/>
      <c r="P794" s="62"/>
      <c r="Q794" s="62"/>
      <c r="R794" s="62"/>
      <c r="S794" s="62"/>
      <c r="T794" s="62"/>
      <c r="U794" s="62"/>
      <c r="V794" s="62"/>
      <c r="W794" s="62"/>
      <c r="X794" s="62"/>
      <c r="Y794" s="62"/>
      <c r="Z794" s="62"/>
      <c r="AA794" s="62"/>
      <c r="AB794" s="62"/>
      <c r="AC794" s="62"/>
      <c r="AD794" s="62"/>
      <c r="AE794" s="62"/>
      <c r="AF794" s="62"/>
      <c r="AG794" s="62"/>
      <c r="AH794" s="62"/>
      <c r="AI794" s="62"/>
      <c r="AJ794" s="62"/>
      <c r="AK794" s="62"/>
      <c r="AL794" s="62"/>
      <c r="AM794" s="62"/>
      <c r="AN794" s="62"/>
      <c r="AO794" s="62"/>
      <c r="AP794" s="62"/>
      <c r="AQ794" s="62"/>
      <c r="AR794" s="62"/>
      <c r="AS794" s="62"/>
      <c r="AT794" s="62"/>
      <c r="AU794" s="62"/>
      <c r="AV794" s="62"/>
      <c r="AW794" s="62"/>
      <c r="AX794" s="62"/>
    </row>
    <row r="795" spans="1:50" ht="14.25" customHeight="1" x14ac:dyDescent="0.3">
      <c r="A795" s="58"/>
      <c r="B795" s="58"/>
      <c r="C795" s="58"/>
      <c r="D795" s="58"/>
      <c r="E795" s="58"/>
      <c r="F795" s="58"/>
      <c r="G795" s="59"/>
      <c r="H795" s="60"/>
      <c r="I795" s="60"/>
      <c r="J795" s="59"/>
      <c r="K795" s="61"/>
      <c r="M795" s="62"/>
      <c r="N795" s="62"/>
      <c r="O795" s="62"/>
      <c r="P795" s="62"/>
      <c r="Q795" s="62"/>
      <c r="R795" s="62"/>
      <c r="S795" s="62"/>
      <c r="T795" s="62"/>
      <c r="U795" s="62"/>
      <c r="V795" s="62"/>
      <c r="W795" s="62"/>
      <c r="X795" s="62"/>
      <c r="Y795" s="62"/>
      <c r="Z795" s="62"/>
      <c r="AA795" s="62"/>
      <c r="AB795" s="62"/>
      <c r="AC795" s="62"/>
      <c r="AD795" s="62"/>
      <c r="AE795" s="62"/>
      <c r="AF795" s="62"/>
      <c r="AG795" s="62"/>
      <c r="AH795" s="62"/>
      <c r="AI795" s="62"/>
      <c r="AJ795" s="62"/>
      <c r="AK795" s="62"/>
      <c r="AL795" s="62"/>
      <c r="AM795" s="62"/>
      <c r="AN795" s="62"/>
      <c r="AO795" s="62"/>
      <c r="AP795" s="62"/>
      <c r="AQ795" s="62"/>
      <c r="AR795" s="62"/>
      <c r="AS795" s="62"/>
      <c r="AT795" s="62"/>
      <c r="AU795" s="62"/>
      <c r="AV795" s="62"/>
      <c r="AW795" s="62"/>
      <c r="AX795" s="62"/>
    </row>
    <row r="796" spans="1:50" ht="14.25" customHeight="1" x14ac:dyDescent="0.3">
      <c r="A796" s="58"/>
      <c r="B796" s="58"/>
      <c r="C796" s="58"/>
      <c r="D796" s="58"/>
      <c r="E796" s="58"/>
      <c r="F796" s="58"/>
      <c r="G796" s="59"/>
      <c r="H796" s="60"/>
      <c r="I796" s="60"/>
      <c r="J796" s="59"/>
      <c r="K796" s="61"/>
      <c r="M796" s="62"/>
      <c r="N796" s="62"/>
      <c r="O796" s="62"/>
      <c r="P796" s="62"/>
      <c r="Q796" s="62"/>
      <c r="R796" s="62"/>
      <c r="S796" s="62"/>
      <c r="T796" s="62"/>
      <c r="U796" s="62"/>
      <c r="V796" s="62"/>
      <c r="W796" s="62"/>
      <c r="X796" s="62"/>
      <c r="Y796" s="62"/>
      <c r="Z796" s="62"/>
      <c r="AA796" s="62"/>
      <c r="AB796" s="62"/>
      <c r="AC796" s="62"/>
      <c r="AD796" s="62"/>
      <c r="AE796" s="62"/>
      <c r="AF796" s="62"/>
      <c r="AG796" s="62"/>
      <c r="AH796" s="62"/>
      <c r="AI796" s="62"/>
      <c r="AJ796" s="62"/>
      <c r="AK796" s="62"/>
      <c r="AL796" s="62"/>
      <c r="AM796" s="62"/>
      <c r="AN796" s="62"/>
      <c r="AO796" s="62"/>
      <c r="AP796" s="62"/>
      <c r="AQ796" s="62"/>
      <c r="AR796" s="62"/>
      <c r="AS796" s="62"/>
      <c r="AT796" s="62"/>
      <c r="AU796" s="62"/>
      <c r="AV796" s="62"/>
      <c r="AW796" s="62"/>
      <c r="AX796" s="62"/>
    </row>
    <row r="797" spans="1:50" ht="14.25" customHeight="1" x14ac:dyDescent="0.3">
      <c r="A797" s="58"/>
      <c r="B797" s="58"/>
      <c r="C797" s="58"/>
      <c r="D797" s="58"/>
      <c r="E797" s="58"/>
      <c r="F797" s="58"/>
      <c r="G797" s="59"/>
      <c r="H797" s="60"/>
      <c r="I797" s="60"/>
      <c r="J797" s="59"/>
      <c r="K797" s="61"/>
      <c r="M797" s="62"/>
      <c r="N797" s="62"/>
      <c r="O797" s="62"/>
      <c r="P797" s="62"/>
      <c r="Q797" s="62"/>
      <c r="R797" s="62"/>
      <c r="S797" s="62"/>
      <c r="T797" s="62"/>
      <c r="U797" s="62"/>
      <c r="V797" s="62"/>
      <c r="W797" s="62"/>
      <c r="X797" s="62"/>
      <c r="Y797" s="62"/>
      <c r="Z797" s="62"/>
      <c r="AA797" s="62"/>
      <c r="AB797" s="62"/>
      <c r="AC797" s="62"/>
      <c r="AD797" s="62"/>
      <c r="AE797" s="62"/>
      <c r="AF797" s="62"/>
      <c r="AG797" s="62"/>
      <c r="AH797" s="62"/>
      <c r="AI797" s="62"/>
      <c r="AJ797" s="62"/>
      <c r="AK797" s="62"/>
      <c r="AL797" s="62"/>
      <c r="AM797" s="62"/>
      <c r="AN797" s="62"/>
      <c r="AO797" s="62"/>
      <c r="AP797" s="62"/>
      <c r="AQ797" s="62"/>
      <c r="AR797" s="62"/>
      <c r="AS797" s="62"/>
      <c r="AT797" s="62"/>
      <c r="AU797" s="62"/>
      <c r="AV797" s="62"/>
      <c r="AW797" s="62"/>
      <c r="AX797" s="62"/>
    </row>
    <row r="798" spans="1:50" ht="14.25" customHeight="1" x14ac:dyDescent="0.3">
      <c r="A798" s="58"/>
      <c r="B798" s="58"/>
      <c r="C798" s="58"/>
      <c r="D798" s="58"/>
      <c r="E798" s="58"/>
      <c r="F798" s="58"/>
      <c r="G798" s="59"/>
      <c r="H798" s="60"/>
      <c r="I798" s="60"/>
      <c r="J798" s="59"/>
      <c r="K798" s="61"/>
      <c r="M798" s="62"/>
      <c r="N798" s="62"/>
      <c r="O798" s="62"/>
      <c r="P798" s="62"/>
      <c r="Q798" s="62"/>
      <c r="R798" s="62"/>
      <c r="S798" s="62"/>
      <c r="T798" s="62"/>
      <c r="U798" s="62"/>
      <c r="V798" s="62"/>
      <c r="W798" s="62"/>
      <c r="X798" s="62"/>
      <c r="Y798" s="62"/>
      <c r="Z798" s="62"/>
      <c r="AA798" s="62"/>
      <c r="AB798" s="62"/>
      <c r="AC798" s="62"/>
      <c r="AD798" s="62"/>
      <c r="AE798" s="62"/>
      <c r="AF798" s="62"/>
      <c r="AG798" s="62"/>
      <c r="AH798" s="62"/>
      <c r="AI798" s="62"/>
      <c r="AJ798" s="62"/>
      <c r="AK798" s="62"/>
      <c r="AL798" s="62"/>
      <c r="AM798" s="62"/>
      <c r="AN798" s="62"/>
      <c r="AO798" s="62"/>
      <c r="AP798" s="62"/>
      <c r="AQ798" s="62"/>
      <c r="AR798" s="62"/>
      <c r="AS798" s="62"/>
      <c r="AT798" s="62"/>
      <c r="AU798" s="62"/>
      <c r="AV798" s="62"/>
      <c r="AW798" s="62"/>
      <c r="AX798" s="62"/>
    </row>
    <row r="799" spans="1:50" ht="14.25" customHeight="1" x14ac:dyDescent="0.3">
      <c r="A799" s="58"/>
      <c r="B799" s="58"/>
      <c r="C799" s="58"/>
      <c r="D799" s="58"/>
      <c r="E799" s="58"/>
      <c r="F799" s="58"/>
      <c r="G799" s="59"/>
      <c r="H799" s="60"/>
      <c r="I799" s="60"/>
      <c r="J799" s="59"/>
      <c r="K799" s="61"/>
      <c r="M799" s="62"/>
      <c r="N799" s="62"/>
      <c r="O799" s="62"/>
      <c r="P799" s="62"/>
      <c r="Q799" s="62"/>
      <c r="R799" s="62"/>
      <c r="S799" s="62"/>
      <c r="T799" s="62"/>
      <c r="U799" s="62"/>
      <c r="V799" s="62"/>
      <c r="W799" s="62"/>
      <c r="X799" s="62"/>
      <c r="Y799" s="62"/>
      <c r="Z799" s="62"/>
      <c r="AA799" s="62"/>
      <c r="AB799" s="62"/>
      <c r="AC799" s="62"/>
      <c r="AD799" s="62"/>
      <c r="AE799" s="62"/>
      <c r="AF799" s="62"/>
      <c r="AG799" s="62"/>
      <c r="AH799" s="62"/>
      <c r="AI799" s="62"/>
      <c r="AJ799" s="62"/>
      <c r="AK799" s="62"/>
      <c r="AL799" s="62"/>
      <c r="AM799" s="62"/>
      <c r="AN799" s="62"/>
      <c r="AO799" s="62"/>
      <c r="AP799" s="62"/>
      <c r="AQ799" s="62"/>
      <c r="AR799" s="62"/>
      <c r="AS799" s="62"/>
      <c r="AT799" s="62"/>
      <c r="AU799" s="62"/>
      <c r="AV799" s="62"/>
      <c r="AW799" s="62"/>
      <c r="AX799" s="62"/>
    </row>
    <row r="800" spans="1:50" ht="14.25" customHeight="1" x14ac:dyDescent="0.3">
      <c r="A800" s="58"/>
      <c r="B800" s="58"/>
      <c r="C800" s="58"/>
      <c r="D800" s="58"/>
      <c r="E800" s="58"/>
      <c r="F800" s="58"/>
      <c r="G800" s="59"/>
      <c r="H800" s="60"/>
      <c r="I800" s="60"/>
      <c r="J800" s="59"/>
      <c r="K800" s="61"/>
      <c r="M800" s="62"/>
      <c r="N800" s="62"/>
      <c r="O800" s="62"/>
      <c r="P800" s="62"/>
      <c r="Q800" s="62"/>
      <c r="R800" s="62"/>
      <c r="S800" s="62"/>
      <c r="T800" s="62"/>
      <c r="U800" s="62"/>
      <c r="V800" s="62"/>
      <c r="W800" s="62"/>
      <c r="X800" s="62"/>
      <c r="Y800" s="62"/>
      <c r="Z800" s="62"/>
      <c r="AA800" s="62"/>
      <c r="AB800" s="62"/>
      <c r="AC800" s="62"/>
      <c r="AD800" s="62"/>
      <c r="AE800" s="62"/>
      <c r="AF800" s="62"/>
      <c r="AG800" s="62"/>
      <c r="AH800" s="62"/>
      <c r="AI800" s="62"/>
      <c r="AJ800" s="62"/>
      <c r="AK800" s="62"/>
      <c r="AL800" s="62"/>
      <c r="AM800" s="62"/>
      <c r="AN800" s="62"/>
      <c r="AO800" s="62"/>
      <c r="AP800" s="62"/>
      <c r="AQ800" s="62"/>
      <c r="AR800" s="62"/>
      <c r="AS800" s="62"/>
      <c r="AT800" s="62"/>
      <c r="AU800" s="62"/>
      <c r="AV800" s="62"/>
      <c r="AW800" s="62"/>
      <c r="AX800" s="62"/>
    </row>
    <row r="801" spans="1:50" ht="14.25" customHeight="1" x14ac:dyDescent="0.3">
      <c r="A801" s="58"/>
      <c r="B801" s="58"/>
      <c r="C801" s="58"/>
      <c r="D801" s="58"/>
      <c r="E801" s="58"/>
      <c r="F801" s="58"/>
      <c r="G801" s="59"/>
      <c r="H801" s="60"/>
      <c r="I801" s="60"/>
      <c r="J801" s="59"/>
      <c r="K801" s="61"/>
      <c r="M801" s="62"/>
      <c r="N801" s="62"/>
      <c r="O801" s="62"/>
      <c r="P801" s="62"/>
      <c r="Q801" s="62"/>
      <c r="R801" s="62"/>
      <c r="S801" s="62"/>
      <c r="T801" s="62"/>
      <c r="U801" s="62"/>
      <c r="V801" s="62"/>
      <c r="W801" s="62"/>
      <c r="X801" s="62"/>
      <c r="Y801" s="62"/>
      <c r="Z801" s="62"/>
      <c r="AA801" s="62"/>
      <c r="AB801" s="62"/>
      <c r="AC801" s="62"/>
      <c r="AD801" s="62"/>
      <c r="AE801" s="62"/>
      <c r="AF801" s="62"/>
      <c r="AG801" s="62"/>
      <c r="AH801" s="62"/>
      <c r="AI801" s="62"/>
      <c r="AJ801" s="62"/>
      <c r="AK801" s="62"/>
      <c r="AL801" s="62"/>
      <c r="AM801" s="62"/>
      <c r="AN801" s="62"/>
      <c r="AO801" s="62"/>
      <c r="AP801" s="62"/>
      <c r="AQ801" s="62"/>
      <c r="AR801" s="62"/>
      <c r="AS801" s="62"/>
      <c r="AT801" s="62"/>
      <c r="AU801" s="62"/>
      <c r="AV801" s="62"/>
      <c r="AW801" s="62"/>
      <c r="AX801" s="62"/>
    </row>
    <row r="802" spans="1:50" ht="14.25" customHeight="1" x14ac:dyDescent="0.3">
      <c r="A802" s="58"/>
      <c r="B802" s="58"/>
      <c r="C802" s="58"/>
      <c r="D802" s="58"/>
      <c r="E802" s="58"/>
      <c r="F802" s="58"/>
      <c r="G802" s="59"/>
      <c r="H802" s="60"/>
      <c r="I802" s="60"/>
      <c r="J802" s="59"/>
      <c r="K802" s="61"/>
      <c r="M802" s="62"/>
      <c r="N802" s="62"/>
      <c r="O802" s="62"/>
      <c r="P802" s="62"/>
      <c r="Q802" s="62"/>
      <c r="R802" s="62"/>
      <c r="S802" s="62"/>
      <c r="T802" s="62"/>
      <c r="U802" s="62"/>
      <c r="V802" s="62"/>
      <c r="W802" s="62"/>
      <c r="X802" s="62"/>
      <c r="Y802" s="62"/>
      <c r="Z802" s="62"/>
      <c r="AA802" s="62"/>
      <c r="AB802" s="62"/>
      <c r="AC802" s="62"/>
      <c r="AD802" s="62"/>
      <c r="AE802" s="62"/>
      <c r="AF802" s="62"/>
      <c r="AG802" s="62"/>
      <c r="AH802" s="62"/>
      <c r="AI802" s="62"/>
      <c r="AJ802" s="62"/>
      <c r="AK802" s="62"/>
      <c r="AL802" s="62"/>
      <c r="AM802" s="62"/>
      <c r="AN802" s="62"/>
      <c r="AO802" s="62"/>
      <c r="AP802" s="62"/>
      <c r="AQ802" s="62"/>
      <c r="AR802" s="62"/>
      <c r="AS802" s="62"/>
      <c r="AT802" s="62"/>
      <c r="AU802" s="62"/>
      <c r="AV802" s="62"/>
      <c r="AW802" s="62"/>
      <c r="AX802" s="62"/>
    </row>
    <row r="803" spans="1:50" ht="14.25" customHeight="1" x14ac:dyDescent="0.3">
      <c r="A803" s="58"/>
      <c r="B803" s="58"/>
      <c r="C803" s="58"/>
      <c r="D803" s="58"/>
      <c r="E803" s="58"/>
      <c r="F803" s="58"/>
      <c r="G803" s="59"/>
      <c r="H803" s="60"/>
      <c r="I803" s="60"/>
      <c r="J803" s="59"/>
      <c r="K803" s="61"/>
      <c r="M803" s="62"/>
      <c r="N803" s="62"/>
      <c r="O803" s="62"/>
      <c r="P803" s="62"/>
      <c r="Q803" s="62"/>
      <c r="R803" s="62"/>
      <c r="S803" s="62"/>
      <c r="T803" s="62"/>
      <c r="U803" s="62"/>
      <c r="V803" s="62"/>
      <c r="W803" s="62"/>
      <c r="X803" s="62"/>
      <c r="Y803" s="62"/>
      <c r="Z803" s="62"/>
      <c r="AA803" s="62"/>
      <c r="AB803" s="62"/>
      <c r="AC803" s="62"/>
      <c r="AD803" s="62"/>
      <c r="AE803" s="62"/>
      <c r="AF803" s="62"/>
      <c r="AG803" s="62"/>
      <c r="AH803" s="62"/>
      <c r="AI803" s="62"/>
      <c r="AJ803" s="62"/>
      <c r="AK803" s="62"/>
      <c r="AL803" s="62"/>
      <c r="AM803" s="62"/>
      <c r="AN803" s="62"/>
      <c r="AO803" s="62"/>
      <c r="AP803" s="62"/>
      <c r="AQ803" s="62"/>
      <c r="AR803" s="62"/>
      <c r="AS803" s="62"/>
      <c r="AT803" s="62"/>
      <c r="AU803" s="62"/>
      <c r="AV803" s="62"/>
      <c r="AW803" s="62"/>
      <c r="AX803" s="62"/>
    </row>
    <row r="804" spans="1:50" ht="14.25" customHeight="1" x14ac:dyDescent="0.3">
      <c r="A804" s="58"/>
      <c r="B804" s="58"/>
      <c r="C804" s="58"/>
      <c r="D804" s="58"/>
      <c r="E804" s="58"/>
      <c r="F804" s="58"/>
      <c r="G804" s="59"/>
      <c r="H804" s="60"/>
      <c r="I804" s="60"/>
      <c r="J804" s="59"/>
      <c r="K804" s="61"/>
      <c r="M804" s="62"/>
      <c r="N804" s="62"/>
      <c r="O804" s="62"/>
      <c r="P804" s="62"/>
      <c r="Q804" s="62"/>
      <c r="R804" s="62"/>
      <c r="S804" s="62"/>
      <c r="T804" s="62"/>
      <c r="U804" s="62"/>
      <c r="V804" s="62"/>
      <c r="W804" s="62"/>
      <c r="X804" s="62"/>
      <c r="Y804" s="62"/>
      <c r="Z804" s="62"/>
      <c r="AA804" s="62"/>
      <c r="AB804" s="62"/>
      <c r="AC804" s="62"/>
      <c r="AD804" s="62"/>
      <c r="AE804" s="62"/>
      <c r="AF804" s="62"/>
      <c r="AG804" s="62"/>
      <c r="AH804" s="62"/>
      <c r="AI804" s="62"/>
      <c r="AJ804" s="62"/>
      <c r="AK804" s="62"/>
      <c r="AL804" s="62"/>
      <c r="AM804" s="62"/>
      <c r="AN804" s="62"/>
      <c r="AO804" s="62"/>
      <c r="AP804" s="62"/>
      <c r="AQ804" s="62"/>
      <c r="AR804" s="62"/>
      <c r="AS804" s="62"/>
      <c r="AT804" s="62"/>
      <c r="AU804" s="62"/>
      <c r="AV804" s="62"/>
      <c r="AW804" s="62"/>
      <c r="AX804" s="62"/>
    </row>
    <row r="805" spans="1:50" ht="14.25" customHeight="1" x14ac:dyDescent="0.3">
      <c r="A805" s="58"/>
      <c r="B805" s="58"/>
      <c r="C805" s="58"/>
      <c r="D805" s="58"/>
      <c r="E805" s="58"/>
      <c r="F805" s="58"/>
      <c r="G805" s="59"/>
      <c r="H805" s="60"/>
      <c r="I805" s="60"/>
      <c r="J805" s="59"/>
      <c r="K805" s="61"/>
      <c r="M805" s="62"/>
      <c r="N805" s="62"/>
      <c r="O805" s="62"/>
      <c r="P805" s="62"/>
      <c r="Q805" s="62"/>
      <c r="R805" s="62"/>
      <c r="S805" s="62"/>
      <c r="T805" s="62"/>
      <c r="U805" s="62"/>
      <c r="V805" s="62"/>
      <c r="W805" s="62"/>
      <c r="X805" s="62"/>
      <c r="Y805" s="62"/>
      <c r="Z805" s="62"/>
      <c r="AA805" s="62"/>
      <c r="AB805" s="62"/>
      <c r="AC805" s="62"/>
      <c r="AD805" s="62"/>
      <c r="AE805" s="62"/>
      <c r="AF805" s="62"/>
      <c r="AG805" s="62"/>
      <c r="AH805" s="62"/>
      <c r="AI805" s="62"/>
      <c r="AJ805" s="62"/>
      <c r="AK805" s="62"/>
      <c r="AL805" s="62"/>
      <c r="AM805" s="62"/>
      <c r="AN805" s="62"/>
      <c r="AO805" s="62"/>
      <c r="AP805" s="62"/>
      <c r="AQ805" s="62"/>
      <c r="AR805" s="62"/>
      <c r="AS805" s="62"/>
      <c r="AT805" s="62"/>
      <c r="AU805" s="62"/>
      <c r="AV805" s="62"/>
      <c r="AW805" s="62"/>
      <c r="AX805" s="62"/>
    </row>
    <row r="806" spans="1:50" ht="14.25" customHeight="1" x14ac:dyDescent="0.3">
      <c r="A806" s="58"/>
      <c r="B806" s="58"/>
      <c r="C806" s="58"/>
      <c r="D806" s="58"/>
      <c r="E806" s="58"/>
      <c r="F806" s="58"/>
      <c r="G806" s="59"/>
      <c r="H806" s="60"/>
      <c r="I806" s="60"/>
      <c r="J806" s="59"/>
      <c r="K806" s="61"/>
      <c r="M806" s="62"/>
      <c r="N806" s="62"/>
      <c r="O806" s="62"/>
      <c r="P806" s="62"/>
      <c r="Q806" s="62"/>
      <c r="R806" s="62"/>
      <c r="S806" s="62"/>
      <c r="T806" s="62"/>
      <c r="U806" s="62"/>
      <c r="V806" s="62"/>
      <c r="W806" s="62"/>
      <c r="X806" s="62"/>
      <c r="Y806" s="62"/>
      <c r="Z806" s="62"/>
      <c r="AA806" s="62"/>
      <c r="AB806" s="62"/>
      <c r="AC806" s="62"/>
      <c r="AD806" s="62"/>
      <c r="AE806" s="62"/>
      <c r="AF806" s="62"/>
      <c r="AG806" s="62"/>
      <c r="AH806" s="62"/>
      <c r="AI806" s="62"/>
      <c r="AJ806" s="62"/>
      <c r="AK806" s="62"/>
      <c r="AL806" s="62"/>
      <c r="AM806" s="62"/>
      <c r="AN806" s="62"/>
      <c r="AO806" s="62"/>
      <c r="AP806" s="62"/>
      <c r="AQ806" s="62"/>
      <c r="AR806" s="62"/>
      <c r="AS806" s="62"/>
      <c r="AT806" s="62"/>
      <c r="AU806" s="62"/>
      <c r="AV806" s="62"/>
      <c r="AW806" s="62"/>
      <c r="AX806" s="62"/>
    </row>
    <row r="807" spans="1:50" ht="14.25" customHeight="1" x14ac:dyDescent="0.3">
      <c r="A807" s="58"/>
      <c r="B807" s="58"/>
      <c r="C807" s="58"/>
      <c r="D807" s="58"/>
      <c r="E807" s="58"/>
      <c r="F807" s="58"/>
      <c r="G807" s="59"/>
      <c r="H807" s="60"/>
      <c r="I807" s="60"/>
      <c r="J807" s="59"/>
      <c r="K807" s="61"/>
      <c r="M807" s="62"/>
      <c r="N807" s="62"/>
      <c r="O807" s="62"/>
      <c r="P807" s="62"/>
      <c r="Q807" s="62"/>
      <c r="R807" s="62"/>
      <c r="S807" s="62"/>
      <c r="T807" s="62"/>
      <c r="U807" s="62"/>
      <c r="V807" s="62"/>
      <c r="W807" s="62"/>
      <c r="X807" s="62"/>
      <c r="Y807" s="62"/>
      <c r="Z807" s="62"/>
      <c r="AA807" s="62"/>
      <c r="AB807" s="62"/>
      <c r="AC807" s="62"/>
      <c r="AD807" s="62"/>
      <c r="AE807" s="62"/>
      <c r="AF807" s="62"/>
      <c r="AG807" s="62"/>
      <c r="AH807" s="62"/>
      <c r="AI807" s="62"/>
      <c r="AJ807" s="62"/>
      <c r="AK807" s="62"/>
      <c r="AL807" s="62"/>
      <c r="AM807" s="62"/>
      <c r="AN807" s="62"/>
      <c r="AO807" s="62"/>
      <c r="AP807" s="62"/>
      <c r="AQ807" s="62"/>
      <c r="AR807" s="62"/>
      <c r="AS807" s="62"/>
      <c r="AT807" s="62"/>
      <c r="AU807" s="62"/>
      <c r="AV807" s="62"/>
      <c r="AW807" s="62"/>
      <c r="AX807" s="62"/>
    </row>
    <row r="808" spans="1:50" ht="14.25" customHeight="1" x14ac:dyDescent="0.3">
      <c r="A808" s="58"/>
      <c r="B808" s="58"/>
      <c r="C808" s="58"/>
      <c r="D808" s="58"/>
      <c r="E808" s="58"/>
      <c r="F808" s="58"/>
      <c r="G808" s="59"/>
      <c r="H808" s="60"/>
      <c r="I808" s="60"/>
      <c r="J808" s="59"/>
      <c r="K808" s="61"/>
      <c r="M808" s="62"/>
      <c r="N808" s="62"/>
      <c r="O808" s="62"/>
      <c r="P808" s="62"/>
      <c r="Q808" s="62"/>
      <c r="R808" s="62"/>
      <c r="S808" s="62"/>
      <c r="T808" s="62"/>
      <c r="U808" s="62"/>
      <c r="V808" s="62"/>
      <c r="W808" s="62"/>
      <c r="X808" s="62"/>
      <c r="Y808" s="62"/>
      <c r="Z808" s="62"/>
      <c r="AA808" s="62"/>
      <c r="AB808" s="62"/>
      <c r="AC808" s="62"/>
      <c r="AD808" s="62"/>
      <c r="AE808" s="62"/>
      <c r="AF808" s="62"/>
      <c r="AG808" s="62"/>
      <c r="AH808" s="62"/>
      <c r="AI808" s="62"/>
      <c r="AJ808" s="62"/>
      <c r="AK808" s="62"/>
      <c r="AL808" s="62"/>
      <c r="AM808" s="62"/>
      <c r="AN808" s="62"/>
      <c r="AO808" s="62"/>
      <c r="AP808" s="62"/>
      <c r="AQ808" s="62"/>
      <c r="AR808" s="62"/>
      <c r="AS808" s="62"/>
      <c r="AT808" s="62"/>
      <c r="AU808" s="62"/>
      <c r="AV808" s="62"/>
      <c r="AW808" s="62"/>
      <c r="AX808" s="62"/>
    </row>
    <row r="809" spans="1:50" ht="14.25" customHeight="1" x14ac:dyDescent="0.3">
      <c r="A809" s="58"/>
      <c r="B809" s="58"/>
      <c r="C809" s="58"/>
      <c r="D809" s="58"/>
      <c r="E809" s="58"/>
      <c r="F809" s="58"/>
      <c r="G809" s="59"/>
      <c r="H809" s="60"/>
      <c r="I809" s="60"/>
      <c r="J809" s="59"/>
      <c r="K809" s="61"/>
      <c r="M809" s="62"/>
      <c r="N809" s="62"/>
      <c r="O809" s="62"/>
      <c r="P809" s="62"/>
      <c r="Q809" s="62"/>
      <c r="R809" s="62"/>
      <c r="S809" s="62"/>
      <c r="T809" s="62"/>
      <c r="U809" s="62"/>
      <c r="V809" s="62"/>
      <c r="W809" s="62"/>
      <c r="X809" s="62"/>
      <c r="Y809" s="62"/>
      <c r="Z809" s="62"/>
      <c r="AA809" s="62"/>
      <c r="AB809" s="62"/>
      <c r="AC809" s="62"/>
      <c r="AD809" s="62"/>
      <c r="AE809" s="62"/>
      <c r="AF809" s="62"/>
      <c r="AG809" s="62"/>
      <c r="AH809" s="62"/>
      <c r="AI809" s="62"/>
      <c r="AJ809" s="62"/>
      <c r="AK809" s="62"/>
      <c r="AL809" s="62"/>
      <c r="AM809" s="62"/>
      <c r="AN809" s="62"/>
      <c r="AO809" s="62"/>
      <c r="AP809" s="62"/>
      <c r="AQ809" s="62"/>
      <c r="AR809" s="62"/>
      <c r="AS809" s="62"/>
      <c r="AT809" s="62"/>
      <c r="AU809" s="62"/>
      <c r="AV809" s="62"/>
      <c r="AW809" s="62"/>
      <c r="AX809" s="62"/>
    </row>
    <row r="810" spans="1:50" ht="14.25" customHeight="1" x14ac:dyDescent="0.3">
      <c r="A810" s="58"/>
      <c r="B810" s="58"/>
      <c r="C810" s="58"/>
      <c r="D810" s="58"/>
      <c r="E810" s="58"/>
      <c r="F810" s="58"/>
      <c r="G810" s="59"/>
      <c r="H810" s="60"/>
      <c r="I810" s="60"/>
      <c r="J810" s="59"/>
      <c r="K810" s="61"/>
      <c r="M810" s="62"/>
      <c r="N810" s="62"/>
      <c r="O810" s="62"/>
      <c r="P810" s="62"/>
      <c r="Q810" s="62"/>
      <c r="R810" s="62"/>
      <c r="S810" s="62"/>
      <c r="T810" s="62"/>
      <c r="U810" s="62"/>
      <c r="V810" s="62"/>
      <c r="W810" s="62"/>
      <c r="X810" s="62"/>
      <c r="Y810" s="62"/>
      <c r="Z810" s="62"/>
      <c r="AA810" s="62"/>
      <c r="AB810" s="62"/>
      <c r="AC810" s="62"/>
      <c r="AD810" s="62"/>
      <c r="AE810" s="62"/>
      <c r="AF810" s="62"/>
      <c r="AG810" s="62"/>
      <c r="AH810" s="62"/>
      <c r="AI810" s="62"/>
      <c r="AJ810" s="62"/>
      <c r="AK810" s="62"/>
      <c r="AL810" s="62"/>
      <c r="AM810" s="62"/>
      <c r="AN810" s="62"/>
      <c r="AO810" s="62"/>
      <c r="AP810" s="62"/>
      <c r="AQ810" s="62"/>
      <c r="AR810" s="62"/>
      <c r="AS810" s="62"/>
      <c r="AT810" s="62"/>
      <c r="AU810" s="62"/>
      <c r="AV810" s="62"/>
      <c r="AW810" s="62"/>
      <c r="AX810" s="62"/>
    </row>
    <row r="811" spans="1:50" ht="14.25" customHeight="1" x14ac:dyDescent="0.3">
      <c r="A811" s="58"/>
      <c r="B811" s="58"/>
      <c r="C811" s="58"/>
      <c r="D811" s="58"/>
      <c r="E811" s="58"/>
      <c r="F811" s="58"/>
      <c r="G811" s="59"/>
      <c r="H811" s="60"/>
      <c r="I811" s="60"/>
      <c r="J811" s="59"/>
      <c r="K811" s="61"/>
      <c r="M811" s="62"/>
      <c r="N811" s="62"/>
      <c r="O811" s="62"/>
      <c r="P811" s="62"/>
      <c r="Q811" s="62"/>
      <c r="R811" s="62"/>
      <c r="S811" s="62"/>
      <c r="T811" s="62"/>
      <c r="U811" s="62"/>
      <c r="V811" s="62"/>
      <c r="W811" s="62"/>
      <c r="X811" s="62"/>
      <c r="Y811" s="62"/>
      <c r="Z811" s="62"/>
      <c r="AA811" s="62"/>
      <c r="AB811" s="62"/>
      <c r="AC811" s="62"/>
      <c r="AD811" s="62"/>
      <c r="AE811" s="62"/>
      <c r="AF811" s="62"/>
      <c r="AG811" s="62"/>
      <c r="AH811" s="62"/>
      <c r="AI811" s="62"/>
      <c r="AJ811" s="62"/>
      <c r="AK811" s="62"/>
      <c r="AL811" s="62"/>
      <c r="AM811" s="62"/>
      <c r="AN811" s="62"/>
      <c r="AO811" s="62"/>
      <c r="AP811" s="62"/>
      <c r="AQ811" s="62"/>
      <c r="AR811" s="62"/>
      <c r="AS811" s="62"/>
      <c r="AT811" s="62"/>
      <c r="AU811" s="62"/>
      <c r="AV811" s="62"/>
      <c r="AW811" s="62"/>
      <c r="AX811" s="62"/>
    </row>
    <row r="812" spans="1:50" ht="14.25" customHeight="1" x14ac:dyDescent="0.3">
      <c r="A812" s="58"/>
      <c r="B812" s="58"/>
      <c r="C812" s="58"/>
      <c r="D812" s="58"/>
      <c r="E812" s="58"/>
      <c r="F812" s="58"/>
      <c r="G812" s="59"/>
      <c r="H812" s="60"/>
      <c r="I812" s="60"/>
      <c r="J812" s="59"/>
      <c r="K812" s="61"/>
      <c r="M812" s="62"/>
      <c r="N812" s="62"/>
      <c r="O812" s="62"/>
      <c r="P812" s="62"/>
      <c r="Q812" s="62"/>
      <c r="R812" s="62"/>
      <c r="S812" s="62"/>
      <c r="T812" s="62"/>
      <c r="U812" s="62"/>
      <c r="V812" s="62"/>
      <c r="W812" s="62"/>
      <c r="X812" s="62"/>
      <c r="Y812" s="62"/>
      <c r="Z812" s="62"/>
      <c r="AA812" s="62"/>
      <c r="AB812" s="62"/>
      <c r="AC812" s="62"/>
      <c r="AD812" s="62"/>
      <c r="AE812" s="62"/>
      <c r="AF812" s="62"/>
      <c r="AG812" s="62"/>
      <c r="AH812" s="62"/>
      <c r="AI812" s="62"/>
      <c r="AJ812" s="62"/>
      <c r="AK812" s="62"/>
      <c r="AL812" s="62"/>
      <c r="AM812" s="62"/>
      <c r="AN812" s="62"/>
      <c r="AO812" s="62"/>
      <c r="AP812" s="62"/>
      <c r="AQ812" s="62"/>
      <c r="AR812" s="62"/>
      <c r="AS812" s="62"/>
      <c r="AT812" s="62"/>
      <c r="AU812" s="62"/>
      <c r="AV812" s="62"/>
      <c r="AW812" s="62"/>
      <c r="AX812" s="62"/>
    </row>
    <row r="813" spans="1:50" ht="14.25" customHeight="1" x14ac:dyDescent="0.3">
      <c r="A813" s="58"/>
      <c r="B813" s="58"/>
      <c r="C813" s="58"/>
      <c r="D813" s="58"/>
      <c r="E813" s="58"/>
      <c r="F813" s="58"/>
      <c r="G813" s="59"/>
      <c r="H813" s="60"/>
      <c r="I813" s="60"/>
      <c r="J813" s="59"/>
      <c r="K813" s="61"/>
      <c r="M813" s="62"/>
      <c r="N813" s="62"/>
      <c r="O813" s="62"/>
      <c r="P813" s="62"/>
      <c r="Q813" s="62"/>
      <c r="R813" s="62"/>
      <c r="S813" s="62"/>
      <c r="T813" s="62"/>
      <c r="U813" s="62"/>
      <c r="V813" s="62"/>
      <c r="W813" s="62"/>
      <c r="X813" s="62"/>
      <c r="Y813" s="62"/>
      <c r="Z813" s="62"/>
      <c r="AA813" s="62"/>
      <c r="AB813" s="62"/>
      <c r="AC813" s="62"/>
      <c r="AD813" s="62"/>
      <c r="AE813" s="62"/>
      <c r="AF813" s="62"/>
      <c r="AG813" s="62"/>
      <c r="AH813" s="62"/>
      <c r="AI813" s="62"/>
      <c r="AJ813" s="62"/>
      <c r="AK813" s="62"/>
      <c r="AL813" s="62"/>
      <c r="AM813" s="62"/>
      <c r="AN813" s="62"/>
      <c r="AO813" s="62"/>
      <c r="AP813" s="62"/>
      <c r="AQ813" s="62"/>
      <c r="AR813" s="62"/>
      <c r="AS813" s="62"/>
      <c r="AT813" s="62"/>
      <c r="AU813" s="62"/>
      <c r="AV813" s="62"/>
      <c r="AW813" s="62"/>
      <c r="AX813" s="62"/>
    </row>
    <row r="814" spans="1:50" ht="14.25" customHeight="1" x14ac:dyDescent="0.3">
      <c r="A814" s="58"/>
      <c r="B814" s="58"/>
      <c r="C814" s="58"/>
      <c r="D814" s="58"/>
      <c r="E814" s="58"/>
      <c r="F814" s="58"/>
      <c r="G814" s="59"/>
      <c r="H814" s="60"/>
      <c r="I814" s="60"/>
      <c r="J814" s="59"/>
      <c r="K814" s="61"/>
      <c r="M814" s="62"/>
      <c r="N814" s="62"/>
      <c r="O814" s="62"/>
      <c r="P814" s="62"/>
      <c r="Q814" s="62"/>
      <c r="R814" s="62"/>
      <c r="S814" s="62"/>
      <c r="T814" s="62"/>
      <c r="U814" s="62"/>
      <c r="V814" s="62"/>
      <c r="W814" s="62"/>
      <c r="X814" s="62"/>
      <c r="Y814" s="62"/>
      <c r="Z814" s="62"/>
      <c r="AA814" s="62"/>
      <c r="AB814" s="62"/>
      <c r="AC814" s="62"/>
      <c r="AD814" s="62"/>
      <c r="AE814" s="62"/>
      <c r="AF814" s="62"/>
      <c r="AG814" s="62"/>
      <c r="AH814" s="62"/>
      <c r="AI814" s="62"/>
      <c r="AJ814" s="62"/>
      <c r="AK814" s="62"/>
      <c r="AL814" s="62"/>
      <c r="AM814" s="62"/>
      <c r="AN814" s="62"/>
      <c r="AO814" s="62"/>
      <c r="AP814" s="62"/>
      <c r="AQ814" s="62"/>
      <c r="AR814" s="62"/>
      <c r="AS814" s="62"/>
      <c r="AT814" s="62"/>
      <c r="AU814" s="62"/>
      <c r="AV814" s="62"/>
      <c r="AW814" s="62"/>
      <c r="AX814" s="62"/>
    </row>
    <row r="815" spans="1:50" ht="14.25" customHeight="1" x14ac:dyDescent="0.3">
      <c r="A815" s="58"/>
      <c r="B815" s="58"/>
      <c r="C815" s="58"/>
      <c r="D815" s="58"/>
      <c r="E815" s="58"/>
      <c r="F815" s="58"/>
      <c r="G815" s="59"/>
      <c r="H815" s="60"/>
      <c r="I815" s="60"/>
      <c r="J815" s="59"/>
      <c r="K815" s="61"/>
      <c r="M815" s="62"/>
      <c r="N815" s="62"/>
      <c r="O815" s="62"/>
      <c r="P815" s="62"/>
      <c r="Q815" s="62"/>
      <c r="R815" s="62"/>
      <c r="S815" s="62"/>
      <c r="T815" s="62"/>
      <c r="U815" s="62"/>
      <c r="V815" s="62"/>
      <c r="W815" s="62"/>
      <c r="X815" s="62"/>
      <c r="Y815" s="62"/>
      <c r="Z815" s="62"/>
      <c r="AA815" s="62"/>
      <c r="AB815" s="62"/>
      <c r="AC815" s="62"/>
      <c r="AD815" s="62"/>
      <c r="AE815" s="62"/>
      <c r="AF815" s="62"/>
      <c r="AG815" s="62"/>
      <c r="AH815" s="62"/>
      <c r="AI815" s="62"/>
      <c r="AJ815" s="62"/>
      <c r="AK815" s="62"/>
      <c r="AL815" s="62"/>
      <c r="AM815" s="62"/>
      <c r="AN815" s="62"/>
      <c r="AO815" s="62"/>
      <c r="AP815" s="62"/>
      <c r="AQ815" s="62"/>
      <c r="AR815" s="62"/>
      <c r="AS815" s="62"/>
      <c r="AT815" s="62"/>
      <c r="AU815" s="62"/>
      <c r="AV815" s="62"/>
      <c r="AW815" s="62"/>
      <c r="AX815" s="62"/>
    </row>
    <row r="816" spans="1:50" ht="14.25" customHeight="1" x14ac:dyDescent="0.3">
      <c r="A816" s="58"/>
      <c r="B816" s="58"/>
      <c r="C816" s="58"/>
      <c r="D816" s="58"/>
      <c r="E816" s="58"/>
      <c r="F816" s="58"/>
      <c r="G816" s="59"/>
      <c r="H816" s="60"/>
      <c r="I816" s="60"/>
      <c r="J816" s="59"/>
      <c r="K816" s="61"/>
      <c r="M816" s="62"/>
      <c r="N816" s="62"/>
      <c r="O816" s="62"/>
      <c r="P816" s="62"/>
      <c r="Q816" s="62"/>
      <c r="R816" s="62"/>
      <c r="S816" s="62"/>
      <c r="T816" s="62"/>
      <c r="U816" s="62"/>
      <c r="V816" s="62"/>
      <c r="W816" s="62"/>
      <c r="X816" s="62"/>
      <c r="Y816" s="62"/>
      <c r="Z816" s="62"/>
      <c r="AA816" s="62"/>
      <c r="AB816" s="62"/>
      <c r="AC816" s="62"/>
      <c r="AD816" s="62"/>
      <c r="AE816" s="62"/>
      <c r="AF816" s="62"/>
      <c r="AG816" s="62"/>
      <c r="AH816" s="62"/>
      <c r="AI816" s="62"/>
      <c r="AJ816" s="62"/>
      <c r="AK816" s="62"/>
      <c r="AL816" s="62"/>
      <c r="AM816" s="62"/>
      <c r="AN816" s="62"/>
      <c r="AO816" s="62"/>
      <c r="AP816" s="62"/>
      <c r="AQ816" s="62"/>
      <c r="AR816" s="62"/>
      <c r="AS816" s="62"/>
      <c r="AT816" s="62"/>
      <c r="AU816" s="62"/>
      <c r="AV816" s="62"/>
      <c r="AW816" s="62"/>
      <c r="AX816" s="62"/>
    </row>
    <row r="817" spans="1:50" ht="14.25" customHeight="1" x14ac:dyDescent="0.3">
      <c r="A817" s="58"/>
      <c r="B817" s="58"/>
      <c r="C817" s="58"/>
      <c r="D817" s="58"/>
      <c r="E817" s="58"/>
      <c r="F817" s="58"/>
      <c r="G817" s="59"/>
      <c r="H817" s="60"/>
      <c r="I817" s="60"/>
      <c r="J817" s="59"/>
      <c r="K817" s="61"/>
      <c r="M817" s="62"/>
      <c r="N817" s="62"/>
      <c r="O817" s="62"/>
      <c r="P817" s="62"/>
      <c r="Q817" s="62"/>
      <c r="R817" s="62"/>
      <c r="S817" s="62"/>
      <c r="T817" s="62"/>
      <c r="U817" s="62"/>
      <c r="V817" s="62"/>
      <c r="W817" s="62"/>
      <c r="X817" s="62"/>
      <c r="Y817" s="62"/>
      <c r="Z817" s="62"/>
      <c r="AA817" s="62"/>
      <c r="AB817" s="62"/>
      <c r="AC817" s="62"/>
      <c r="AD817" s="62"/>
      <c r="AE817" s="62"/>
      <c r="AF817" s="62"/>
      <c r="AG817" s="62"/>
      <c r="AH817" s="62"/>
      <c r="AI817" s="62"/>
      <c r="AJ817" s="62"/>
      <c r="AK817" s="62"/>
      <c r="AL817" s="62"/>
      <c r="AM817" s="62"/>
      <c r="AN817" s="62"/>
      <c r="AO817" s="62"/>
      <c r="AP817" s="62"/>
      <c r="AQ817" s="62"/>
      <c r="AR817" s="62"/>
      <c r="AS817" s="62"/>
      <c r="AT817" s="62"/>
      <c r="AU817" s="62"/>
      <c r="AV817" s="62"/>
      <c r="AW817" s="62"/>
      <c r="AX817" s="62"/>
    </row>
    <row r="818" spans="1:50" ht="14.25" customHeight="1" x14ac:dyDescent="0.3">
      <c r="A818" s="58"/>
      <c r="B818" s="58"/>
      <c r="C818" s="58"/>
      <c r="D818" s="58"/>
      <c r="E818" s="58"/>
      <c r="F818" s="58"/>
      <c r="G818" s="59"/>
      <c r="H818" s="60"/>
      <c r="I818" s="60"/>
      <c r="J818" s="59"/>
      <c r="K818" s="61"/>
      <c r="M818" s="62"/>
      <c r="N818" s="62"/>
      <c r="O818" s="62"/>
      <c r="P818" s="62"/>
      <c r="Q818" s="62"/>
      <c r="R818" s="62"/>
      <c r="S818" s="62"/>
      <c r="T818" s="62"/>
      <c r="U818" s="62"/>
      <c r="V818" s="62"/>
      <c r="W818" s="62"/>
      <c r="X818" s="62"/>
      <c r="Y818" s="62"/>
      <c r="Z818" s="62"/>
      <c r="AA818" s="62"/>
      <c r="AB818" s="62"/>
      <c r="AC818" s="62"/>
      <c r="AD818" s="62"/>
      <c r="AE818" s="62"/>
      <c r="AF818" s="62"/>
      <c r="AG818" s="62"/>
      <c r="AH818" s="62"/>
      <c r="AI818" s="62"/>
      <c r="AJ818" s="62"/>
      <c r="AK818" s="62"/>
      <c r="AL818" s="62"/>
      <c r="AM818" s="62"/>
      <c r="AN818" s="62"/>
      <c r="AO818" s="62"/>
      <c r="AP818" s="62"/>
      <c r="AQ818" s="62"/>
      <c r="AR818" s="62"/>
      <c r="AS818" s="62"/>
      <c r="AT818" s="62"/>
      <c r="AU818" s="62"/>
      <c r="AV818" s="62"/>
      <c r="AW818" s="62"/>
      <c r="AX818" s="62"/>
    </row>
    <row r="819" spans="1:50" ht="14.25" customHeight="1" x14ac:dyDescent="0.3">
      <c r="A819" s="58"/>
      <c r="B819" s="58"/>
      <c r="C819" s="58"/>
      <c r="D819" s="58"/>
      <c r="E819" s="58"/>
      <c r="F819" s="58"/>
      <c r="G819" s="59"/>
      <c r="H819" s="60"/>
      <c r="I819" s="60"/>
      <c r="J819" s="59"/>
      <c r="K819" s="61"/>
      <c r="M819" s="62"/>
      <c r="N819" s="62"/>
      <c r="O819" s="62"/>
      <c r="P819" s="62"/>
      <c r="Q819" s="62"/>
      <c r="R819" s="62"/>
      <c r="S819" s="62"/>
      <c r="T819" s="62"/>
      <c r="U819" s="62"/>
      <c r="V819" s="62"/>
      <c r="W819" s="62"/>
      <c r="X819" s="62"/>
      <c r="Y819" s="62"/>
      <c r="Z819" s="62"/>
      <c r="AA819" s="62"/>
      <c r="AB819" s="62"/>
      <c r="AC819" s="62"/>
      <c r="AD819" s="62"/>
      <c r="AE819" s="62"/>
      <c r="AF819" s="62"/>
      <c r="AG819" s="62"/>
      <c r="AH819" s="62"/>
      <c r="AI819" s="62"/>
      <c r="AJ819" s="62"/>
      <c r="AK819" s="62"/>
      <c r="AL819" s="62"/>
      <c r="AM819" s="62"/>
      <c r="AN819" s="62"/>
      <c r="AO819" s="62"/>
      <c r="AP819" s="62"/>
      <c r="AQ819" s="62"/>
      <c r="AR819" s="62"/>
      <c r="AS819" s="62"/>
      <c r="AT819" s="62"/>
      <c r="AU819" s="62"/>
      <c r="AV819" s="62"/>
      <c r="AW819" s="62"/>
      <c r="AX819" s="62"/>
    </row>
    <row r="820" spans="1:50" ht="14.25" customHeight="1" x14ac:dyDescent="0.3">
      <c r="A820" s="58"/>
      <c r="B820" s="58"/>
      <c r="C820" s="58"/>
      <c r="D820" s="58"/>
      <c r="E820" s="58"/>
      <c r="F820" s="58"/>
      <c r="G820" s="59"/>
      <c r="H820" s="60"/>
      <c r="I820" s="60"/>
      <c r="J820" s="59"/>
      <c r="K820" s="61"/>
      <c r="M820" s="62"/>
      <c r="N820" s="62"/>
      <c r="O820" s="62"/>
      <c r="P820" s="62"/>
      <c r="Q820" s="62"/>
      <c r="R820" s="62"/>
      <c r="S820" s="62"/>
      <c r="T820" s="62"/>
      <c r="U820" s="62"/>
      <c r="V820" s="62"/>
      <c r="W820" s="62"/>
      <c r="X820" s="62"/>
      <c r="Y820" s="62"/>
      <c r="Z820" s="62"/>
      <c r="AA820" s="62"/>
      <c r="AB820" s="62"/>
      <c r="AC820" s="62"/>
      <c r="AD820" s="62"/>
      <c r="AE820" s="62"/>
      <c r="AF820" s="62"/>
      <c r="AG820" s="62"/>
      <c r="AH820" s="62"/>
      <c r="AI820" s="62"/>
      <c r="AJ820" s="62"/>
      <c r="AK820" s="62"/>
      <c r="AL820" s="62"/>
      <c r="AM820" s="62"/>
      <c r="AN820" s="62"/>
      <c r="AO820" s="62"/>
      <c r="AP820" s="62"/>
      <c r="AQ820" s="62"/>
      <c r="AR820" s="62"/>
      <c r="AS820" s="62"/>
      <c r="AT820" s="62"/>
      <c r="AU820" s="62"/>
      <c r="AV820" s="62"/>
      <c r="AW820" s="62"/>
      <c r="AX820" s="62"/>
    </row>
    <row r="821" spans="1:50" ht="14.25" customHeight="1" x14ac:dyDescent="0.3">
      <c r="A821" s="58"/>
      <c r="B821" s="58"/>
      <c r="C821" s="58"/>
      <c r="D821" s="58"/>
      <c r="E821" s="58"/>
      <c r="F821" s="58"/>
      <c r="G821" s="59"/>
      <c r="H821" s="60"/>
      <c r="I821" s="60"/>
      <c r="J821" s="59"/>
      <c r="K821" s="61"/>
      <c r="M821" s="62"/>
      <c r="N821" s="62"/>
      <c r="O821" s="62"/>
      <c r="P821" s="62"/>
      <c r="Q821" s="62"/>
      <c r="R821" s="62"/>
      <c r="S821" s="62"/>
      <c r="T821" s="62"/>
      <c r="U821" s="62"/>
      <c r="V821" s="62"/>
      <c r="W821" s="62"/>
      <c r="X821" s="62"/>
      <c r="Y821" s="62"/>
      <c r="Z821" s="62"/>
      <c r="AA821" s="62"/>
      <c r="AB821" s="62"/>
      <c r="AC821" s="62"/>
      <c r="AD821" s="62"/>
      <c r="AE821" s="62"/>
      <c r="AF821" s="62"/>
      <c r="AG821" s="62"/>
      <c r="AH821" s="62"/>
      <c r="AI821" s="62"/>
      <c r="AJ821" s="62"/>
      <c r="AK821" s="62"/>
      <c r="AL821" s="62"/>
      <c r="AM821" s="62"/>
      <c r="AN821" s="62"/>
      <c r="AO821" s="62"/>
      <c r="AP821" s="62"/>
      <c r="AQ821" s="62"/>
      <c r="AR821" s="62"/>
      <c r="AS821" s="62"/>
      <c r="AT821" s="62"/>
      <c r="AU821" s="62"/>
      <c r="AV821" s="62"/>
      <c r="AW821" s="62"/>
      <c r="AX821" s="62"/>
    </row>
    <row r="822" spans="1:50" ht="14.25" customHeight="1" x14ac:dyDescent="0.3">
      <c r="A822" s="58"/>
      <c r="B822" s="58"/>
      <c r="C822" s="58"/>
      <c r="D822" s="58"/>
      <c r="E822" s="58"/>
      <c r="F822" s="58"/>
      <c r="G822" s="59"/>
      <c r="H822" s="60"/>
      <c r="I822" s="60"/>
      <c r="J822" s="59"/>
      <c r="K822" s="61"/>
      <c r="M822" s="62"/>
      <c r="N822" s="62"/>
      <c r="O822" s="62"/>
      <c r="P822" s="62"/>
      <c r="Q822" s="62"/>
      <c r="R822" s="62"/>
      <c r="S822" s="62"/>
      <c r="T822" s="62"/>
      <c r="U822" s="62"/>
      <c r="V822" s="62"/>
      <c r="W822" s="62"/>
      <c r="X822" s="62"/>
      <c r="Y822" s="62"/>
      <c r="Z822" s="62"/>
      <c r="AA822" s="62"/>
      <c r="AB822" s="62"/>
      <c r="AC822" s="62"/>
      <c r="AD822" s="62"/>
      <c r="AE822" s="62"/>
      <c r="AF822" s="62"/>
      <c r="AG822" s="62"/>
      <c r="AH822" s="62"/>
      <c r="AI822" s="62"/>
      <c r="AJ822" s="62"/>
      <c r="AK822" s="62"/>
      <c r="AL822" s="62"/>
      <c r="AM822" s="62"/>
      <c r="AN822" s="62"/>
      <c r="AO822" s="62"/>
      <c r="AP822" s="62"/>
      <c r="AQ822" s="62"/>
      <c r="AR822" s="62"/>
      <c r="AS822" s="62"/>
      <c r="AT822" s="62"/>
      <c r="AU822" s="62"/>
      <c r="AV822" s="62"/>
      <c r="AW822" s="62"/>
      <c r="AX822" s="62"/>
    </row>
    <row r="823" spans="1:50" ht="14.25" customHeight="1" x14ac:dyDescent="0.3">
      <c r="A823" s="58"/>
      <c r="B823" s="58"/>
      <c r="C823" s="58"/>
      <c r="D823" s="58"/>
      <c r="E823" s="58"/>
      <c r="F823" s="58"/>
      <c r="G823" s="59"/>
      <c r="H823" s="60"/>
      <c r="I823" s="60"/>
      <c r="J823" s="59"/>
      <c r="K823" s="61"/>
      <c r="M823" s="62"/>
      <c r="N823" s="62"/>
      <c r="O823" s="62"/>
      <c r="P823" s="62"/>
      <c r="Q823" s="62"/>
      <c r="R823" s="62"/>
      <c r="S823" s="62"/>
      <c r="T823" s="62"/>
      <c r="U823" s="62"/>
      <c r="V823" s="62"/>
      <c r="W823" s="62"/>
      <c r="X823" s="62"/>
      <c r="Y823" s="62"/>
      <c r="Z823" s="62"/>
      <c r="AA823" s="62"/>
      <c r="AB823" s="62"/>
      <c r="AC823" s="62"/>
      <c r="AD823" s="62"/>
      <c r="AE823" s="62"/>
      <c r="AF823" s="62"/>
      <c r="AG823" s="62"/>
      <c r="AH823" s="62"/>
      <c r="AI823" s="62"/>
      <c r="AJ823" s="62"/>
      <c r="AK823" s="62"/>
      <c r="AL823" s="62"/>
      <c r="AM823" s="62"/>
      <c r="AN823" s="62"/>
      <c r="AO823" s="62"/>
      <c r="AP823" s="62"/>
      <c r="AQ823" s="62"/>
      <c r="AR823" s="62"/>
      <c r="AS823" s="62"/>
      <c r="AT823" s="62"/>
      <c r="AU823" s="62"/>
      <c r="AV823" s="62"/>
      <c r="AW823" s="62"/>
      <c r="AX823" s="62"/>
    </row>
    <row r="824" spans="1:50" ht="14.25" customHeight="1" x14ac:dyDescent="0.3">
      <c r="A824" s="58"/>
      <c r="B824" s="58"/>
      <c r="C824" s="58"/>
      <c r="D824" s="58"/>
      <c r="E824" s="58"/>
      <c r="F824" s="58"/>
      <c r="G824" s="59"/>
      <c r="H824" s="60"/>
      <c r="I824" s="60"/>
      <c r="J824" s="59"/>
      <c r="K824" s="61"/>
      <c r="M824" s="62"/>
      <c r="N824" s="62"/>
      <c r="O824" s="62"/>
      <c r="P824" s="62"/>
      <c r="Q824" s="62"/>
      <c r="R824" s="62"/>
      <c r="S824" s="62"/>
      <c r="T824" s="62"/>
      <c r="U824" s="62"/>
      <c r="V824" s="62"/>
      <c r="W824" s="62"/>
      <c r="X824" s="62"/>
      <c r="Y824" s="62"/>
      <c r="Z824" s="62"/>
      <c r="AA824" s="62"/>
      <c r="AB824" s="62"/>
      <c r="AC824" s="62"/>
      <c r="AD824" s="62"/>
      <c r="AE824" s="62"/>
      <c r="AF824" s="62"/>
      <c r="AG824" s="62"/>
      <c r="AH824" s="62"/>
      <c r="AI824" s="62"/>
      <c r="AJ824" s="62"/>
      <c r="AK824" s="62"/>
      <c r="AL824" s="62"/>
      <c r="AM824" s="62"/>
      <c r="AN824" s="62"/>
      <c r="AO824" s="62"/>
      <c r="AP824" s="62"/>
      <c r="AQ824" s="62"/>
      <c r="AR824" s="62"/>
      <c r="AS824" s="62"/>
      <c r="AT824" s="62"/>
      <c r="AU824" s="62"/>
      <c r="AV824" s="62"/>
      <c r="AW824" s="62"/>
      <c r="AX824" s="62"/>
    </row>
    <row r="825" spans="1:50" ht="14.25" customHeight="1" x14ac:dyDescent="0.3">
      <c r="A825" s="58"/>
      <c r="B825" s="58"/>
      <c r="C825" s="58"/>
      <c r="D825" s="58"/>
      <c r="E825" s="58"/>
      <c r="F825" s="58"/>
      <c r="G825" s="59"/>
      <c r="H825" s="60"/>
      <c r="I825" s="60"/>
      <c r="J825" s="59"/>
      <c r="K825" s="61"/>
      <c r="M825" s="62"/>
      <c r="N825" s="62"/>
      <c r="O825" s="62"/>
      <c r="P825" s="62"/>
      <c r="Q825" s="62"/>
      <c r="R825" s="62"/>
      <c r="S825" s="62"/>
      <c r="T825" s="62"/>
      <c r="U825" s="62"/>
      <c r="V825" s="62"/>
      <c r="W825" s="62"/>
      <c r="X825" s="62"/>
      <c r="Y825" s="62"/>
      <c r="Z825" s="62"/>
      <c r="AA825" s="62"/>
      <c r="AB825" s="62"/>
      <c r="AC825" s="62"/>
      <c r="AD825" s="62"/>
      <c r="AE825" s="62"/>
      <c r="AF825" s="62"/>
      <c r="AG825" s="62"/>
      <c r="AH825" s="62"/>
      <c r="AI825" s="62"/>
      <c r="AJ825" s="62"/>
      <c r="AK825" s="62"/>
      <c r="AL825" s="62"/>
      <c r="AM825" s="62"/>
      <c r="AN825" s="62"/>
      <c r="AO825" s="62"/>
      <c r="AP825" s="62"/>
      <c r="AQ825" s="62"/>
      <c r="AR825" s="62"/>
      <c r="AS825" s="62"/>
      <c r="AT825" s="62"/>
      <c r="AU825" s="62"/>
      <c r="AV825" s="62"/>
      <c r="AW825" s="62"/>
      <c r="AX825" s="62"/>
    </row>
    <row r="826" spans="1:50" ht="14.25" customHeight="1" x14ac:dyDescent="0.3">
      <c r="A826" s="58"/>
      <c r="B826" s="58"/>
      <c r="C826" s="58"/>
      <c r="D826" s="58"/>
      <c r="E826" s="58"/>
      <c r="F826" s="58"/>
      <c r="G826" s="59"/>
      <c r="H826" s="60"/>
      <c r="I826" s="60"/>
      <c r="J826" s="59"/>
      <c r="K826" s="61"/>
      <c r="M826" s="62"/>
      <c r="N826" s="62"/>
      <c r="O826" s="62"/>
      <c r="P826" s="62"/>
      <c r="Q826" s="62"/>
      <c r="R826" s="62"/>
      <c r="S826" s="62"/>
      <c r="T826" s="62"/>
      <c r="U826" s="62"/>
      <c r="V826" s="62"/>
      <c r="W826" s="62"/>
      <c r="X826" s="62"/>
      <c r="Y826" s="62"/>
      <c r="Z826" s="62"/>
      <c r="AA826" s="62"/>
      <c r="AB826" s="62"/>
      <c r="AC826" s="62"/>
      <c r="AD826" s="62"/>
      <c r="AE826" s="62"/>
      <c r="AF826" s="62"/>
      <c r="AG826" s="62"/>
      <c r="AH826" s="62"/>
      <c r="AI826" s="62"/>
      <c r="AJ826" s="62"/>
      <c r="AK826" s="62"/>
      <c r="AL826" s="62"/>
      <c r="AM826" s="62"/>
      <c r="AN826" s="62"/>
      <c r="AO826" s="62"/>
      <c r="AP826" s="62"/>
      <c r="AQ826" s="62"/>
      <c r="AR826" s="62"/>
      <c r="AS826" s="62"/>
      <c r="AT826" s="62"/>
      <c r="AU826" s="62"/>
      <c r="AV826" s="62"/>
      <c r="AW826" s="62"/>
      <c r="AX826" s="62"/>
    </row>
    <row r="827" spans="1:50" ht="14.25" customHeight="1" x14ac:dyDescent="0.3">
      <c r="A827" s="58"/>
      <c r="B827" s="58"/>
      <c r="C827" s="58"/>
      <c r="D827" s="58"/>
      <c r="E827" s="58"/>
      <c r="F827" s="58"/>
      <c r="G827" s="59"/>
      <c r="H827" s="60"/>
      <c r="I827" s="60"/>
      <c r="J827" s="59"/>
      <c r="K827" s="61"/>
      <c r="M827" s="62"/>
      <c r="N827" s="62"/>
      <c r="O827" s="62"/>
      <c r="P827" s="62"/>
      <c r="Q827" s="62"/>
      <c r="R827" s="62"/>
      <c r="S827" s="62"/>
      <c r="T827" s="62"/>
      <c r="U827" s="62"/>
      <c r="V827" s="62"/>
      <c r="W827" s="62"/>
      <c r="X827" s="62"/>
      <c r="Y827" s="62"/>
      <c r="Z827" s="62"/>
      <c r="AA827" s="62"/>
      <c r="AB827" s="62"/>
      <c r="AC827" s="62"/>
      <c r="AD827" s="62"/>
      <c r="AE827" s="62"/>
      <c r="AF827" s="62"/>
      <c r="AG827" s="62"/>
      <c r="AH827" s="62"/>
      <c r="AI827" s="62"/>
      <c r="AJ827" s="62"/>
      <c r="AK827" s="62"/>
      <c r="AL827" s="62"/>
      <c r="AM827" s="62"/>
      <c r="AN827" s="62"/>
      <c r="AO827" s="62"/>
      <c r="AP827" s="62"/>
      <c r="AQ827" s="62"/>
      <c r="AR827" s="62"/>
      <c r="AS827" s="62"/>
      <c r="AT827" s="62"/>
      <c r="AU827" s="62"/>
      <c r="AV827" s="62"/>
      <c r="AW827" s="62"/>
      <c r="AX827" s="62"/>
    </row>
    <row r="828" spans="1:50" ht="14.25" customHeight="1" x14ac:dyDescent="0.3">
      <c r="A828" s="58"/>
      <c r="B828" s="58"/>
      <c r="C828" s="58"/>
      <c r="D828" s="58"/>
      <c r="E828" s="58"/>
      <c r="F828" s="58"/>
      <c r="G828" s="59"/>
      <c r="H828" s="60"/>
      <c r="I828" s="60"/>
      <c r="J828" s="59"/>
      <c r="K828" s="61"/>
      <c r="M828" s="62"/>
      <c r="N828" s="62"/>
      <c r="O828" s="62"/>
      <c r="P828" s="62"/>
      <c r="Q828" s="62"/>
      <c r="R828" s="62"/>
      <c r="S828" s="62"/>
      <c r="T828" s="62"/>
      <c r="U828" s="62"/>
      <c r="V828" s="62"/>
      <c r="W828" s="62"/>
      <c r="X828" s="62"/>
      <c r="Y828" s="62"/>
      <c r="Z828" s="62"/>
      <c r="AA828" s="62"/>
      <c r="AB828" s="62"/>
      <c r="AC828" s="62"/>
      <c r="AD828" s="62"/>
      <c r="AE828" s="62"/>
      <c r="AF828" s="62"/>
      <c r="AG828" s="62"/>
      <c r="AH828" s="62"/>
      <c r="AI828" s="62"/>
      <c r="AJ828" s="62"/>
      <c r="AK828" s="62"/>
      <c r="AL828" s="62"/>
      <c r="AM828" s="62"/>
      <c r="AN828" s="62"/>
      <c r="AO828" s="62"/>
      <c r="AP828" s="62"/>
      <c r="AQ828" s="62"/>
      <c r="AR828" s="62"/>
      <c r="AS828" s="62"/>
      <c r="AT828" s="62"/>
      <c r="AU828" s="62"/>
      <c r="AV828" s="62"/>
      <c r="AW828" s="62"/>
      <c r="AX828" s="62"/>
    </row>
    <row r="829" spans="1:50" ht="14.25" customHeight="1" x14ac:dyDescent="0.3">
      <c r="A829" s="58"/>
      <c r="B829" s="58"/>
      <c r="C829" s="58"/>
      <c r="D829" s="58"/>
      <c r="E829" s="58"/>
      <c r="F829" s="58"/>
      <c r="G829" s="59"/>
      <c r="H829" s="60"/>
      <c r="I829" s="60"/>
      <c r="J829" s="59"/>
      <c r="K829" s="61"/>
      <c r="M829" s="62"/>
      <c r="N829" s="62"/>
      <c r="O829" s="62"/>
      <c r="P829" s="62"/>
      <c r="Q829" s="62"/>
      <c r="R829" s="62"/>
      <c r="S829" s="62"/>
      <c r="T829" s="62"/>
      <c r="U829" s="62"/>
      <c r="V829" s="62"/>
      <c r="W829" s="62"/>
      <c r="X829" s="62"/>
      <c r="Y829" s="62"/>
      <c r="Z829" s="62"/>
      <c r="AA829" s="62"/>
      <c r="AB829" s="62"/>
      <c r="AC829" s="62"/>
      <c r="AD829" s="62"/>
      <c r="AE829" s="62"/>
      <c r="AF829" s="62"/>
      <c r="AG829" s="62"/>
      <c r="AH829" s="62"/>
      <c r="AI829" s="62"/>
      <c r="AJ829" s="62"/>
      <c r="AK829" s="62"/>
      <c r="AL829" s="62"/>
      <c r="AM829" s="62"/>
      <c r="AN829" s="62"/>
      <c r="AO829" s="62"/>
      <c r="AP829" s="62"/>
      <c r="AQ829" s="62"/>
      <c r="AR829" s="62"/>
      <c r="AS829" s="62"/>
      <c r="AT829" s="62"/>
      <c r="AU829" s="62"/>
      <c r="AV829" s="62"/>
      <c r="AW829" s="62"/>
      <c r="AX829" s="62"/>
    </row>
    <row r="830" spans="1:50" ht="14.25" customHeight="1" x14ac:dyDescent="0.3">
      <c r="A830" s="58"/>
      <c r="B830" s="58"/>
      <c r="C830" s="58"/>
      <c r="D830" s="58"/>
      <c r="E830" s="58"/>
      <c r="F830" s="58"/>
      <c r="G830" s="59"/>
      <c r="H830" s="60"/>
      <c r="I830" s="60"/>
      <c r="J830" s="59"/>
      <c r="K830" s="61"/>
      <c r="M830" s="62"/>
      <c r="N830" s="62"/>
      <c r="O830" s="62"/>
      <c r="P830" s="62"/>
      <c r="Q830" s="62"/>
      <c r="R830" s="62"/>
      <c r="S830" s="62"/>
      <c r="T830" s="62"/>
      <c r="U830" s="62"/>
      <c r="V830" s="62"/>
      <c r="W830" s="62"/>
      <c r="X830" s="62"/>
      <c r="Y830" s="62"/>
      <c r="Z830" s="62"/>
      <c r="AA830" s="62"/>
      <c r="AB830" s="62"/>
      <c r="AC830" s="62"/>
      <c r="AD830" s="62"/>
      <c r="AE830" s="62"/>
      <c r="AF830" s="62"/>
      <c r="AG830" s="62"/>
      <c r="AH830" s="62"/>
      <c r="AI830" s="62"/>
      <c r="AJ830" s="62"/>
      <c r="AK830" s="62"/>
      <c r="AL830" s="62"/>
      <c r="AM830" s="62"/>
      <c r="AN830" s="62"/>
      <c r="AO830" s="62"/>
      <c r="AP830" s="62"/>
      <c r="AQ830" s="62"/>
      <c r="AR830" s="62"/>
      <c r="AS830" s="62"/>
      <c r="AT830" s="62"/>
      <c r="AU830" s="62"/>
      <c r="AV830" s="62"/>
      <c r="AW830" s="62"/>
      <c r="AX830" s="62"/>
    </row>
    <row r="831" spans="1:50" ht="14.25" customHeight="1" x14ac:dyDescent="0.3">
      <c r="A831" s="58"/>
      <c r="B831" s="58"/>
      <c r="C831" s="58"/>
      <c r="D831" s="58"/>
      <c r="E831" s="58"/>
      <c r="F831" s="58"/>
      <c r="G831" s="59"/>
      <c r="H831" s="60"/>
      <c r="I831" s="60"/>
      <c r="J831" s="59"/>
      <c r="K831" s="61"/>
      <c r="M831" s="62"/>
      <c r="N831" s="62"/>
      <c r="O831" s="62"/>
      <c r="P831" s="62"/>
      <c r="Q831" s="62"/>
      <c r="R831" s="62"/>
      <c r="S831" s="62"/>
      <c r="T831" s="62"/>
      <c r="U831" s="62"/>
      <c r="V831" s="62"/>
      <c r="W831" s="62"/>
      <c r="X831" s="62"/>
      <c r="Y831" s="62"/>
      <c r="Z831" s="62"/>
      <c r="AA831" s="62"/>
      <c r="AB831" s="62"/>
      <c r="AC831" s="62"/>
      <c r="AD831" s="62"/>
      <c r="AE831" s="62"/>
      <c r="AF831" s="62"/>
      <c r="AG831" s="62"/>
      <c r="AH831" s="62"/>
      <c r="AI831" s="62"/>
      <c r="AJ831" s="62"/>
      <c r="AK831" s="62"/>
      <c r="AL831" s="62"/>
      <c r="AM831" s="62"/>
      <c r="AN831" s="62"/>
      <c r="AO831" s="62"/>
      <c r="AP831" s="62"/>
      <c r="AQ831" s="62"/>
      <c r="AR831" s="62"/>
      <c r="AS831" s="62"/>
      <c r="AT831" s="62"/>
      <c r="AU831" s="62"/>
      <c r="AV831" s="62"/>
      <c r="AW831" s="62"/>
      <c r="AX831" s="62"/>
    </row>
    <row r="832" spans="1:50" ht="14.25" customHeight="1" x14ac:dyDescent="0.3">
      <c r="A832" s="58"/>
      <c r="B832" s="58"/>
      <c r="C832" s="58"/>
      <c r="D832" s="58"/>
      <c r="E832" s="58"/>
      <c r="F832" s="58"/>
      <c r="G832" s="59"/>
      <c r="H832" s="60"/>
      <c r="I832" s="60"/>
      <c r="J832" s="59"/>
      <c r="K832" s="61"/>
      <c r="M832" s="62"/>
      <c r="N832" s="62"/>
      <c r="O832" s="62"/>
      <c r="P832" s="62"/>
      <c r="Q832" s="62"/>
      <c r="R832" s="62"/>
      <c r="S832" s="62"/>
      <c r="T832" s="62"/>
      <c r="U832" s="62"/>
      <c r="V832" s="62"/>
      <c r="W832" s="62"/>
      <c r="X832" s="62"/>
      <c r="Y832" s="62"/>
      <c r="Z832" s="62"/>
      <c r="AA832" s="62"/>
      <c r="AB832" s="62"/>
      <c r="AC832" s="62"/>
      <c r="AD832" s="62"/>
      <c r="AE832" s="62"/>
      <c r="AF832" s="62"/>
      <c r="AG832" s="62"/>
      <c r="AH832" s="62"/>
      <c r="AI832" s="62"/>
      <c r="AJ832" s="62"/>
      <c r="AK832" s="62"/>
      <c r="AL832" s="62"/>
      <c r="AM832" s="62"/>
      <c r="AN832" s="62"/>
      <c r="AO832" s="62"/>
      <c r="AP832" s="62"/>
      <c r="AQ832" s="62"/>
      <c r="AR832" s="62"/>
      <c r="AS832" s="62"/>
      <c r="AT832" s="62"/>
      <c r="AU832" s="62"/>
      <c r="AV832" s="62"/>
      <c r="AW832" s="62"/>
      <c r="AX832" s="62"/>
    </row>
    <row r="833" spans="1:50" ht="14.25" customHeight="1" x14ac:dyDescent="0.3">
      <c r="A833" s="58"/>
      <c r="B833" s="58"/>
      <c r="C833" s="58"/>
      <c r="D833" s="58"/>
      <c r="E833" s="58"/>
      <c r="F833" s="58"/>
      <c r="G833" s="59"/>
      <c r="H833" s="60"/>
      <c r="I833" s="60"/>
      <c r="J833" s="59"/>
      <c r="K833" s="61"/>
      <c r="M833" s="62"/>
      <c r="N833" s="62"/>
      <c r="O833" s="62"/>
      <c r="P833" s="62"/>
      <c r="Q833" s="62"/>
      <c r="R833" s="62"/>
      <c r="S833" s="62"/>
      <c r="T833" s="62"/>
      <c r="U833" s="62"/>
      <c r="V833" s="62"/>
      <c r="W833" s="62"/>
      <c r="X833" s="62"/>
      <c r="Y833" s="62"/>
      <c r="Z833" s="62"/>
      <c r="AA833" s="62"/>
      <c r="AB833" s="62"/>
      <c r="AC833" s="62"/>
      <c r="AD833" s="62"/>
      <c r="AE833" s="62"/>
      <c r="AF833" s="62"/>
      <c r="AG833" s="62"/>
      <c r="AH833" s="62"/>
      <c r="AI833" s="62"/>
      <c r="AJ833" s="62"/>
      <c r="AK833" s="62"/>
      <c r="AL833" s="62"/>
      <c r="AM833" s="62"/>
      <c r="AN833" s="62"/>
      <c r="AO833" s="62"/>
      <c r="AP833" s="62"/>
      <c r="AQ833" s="62"/>
      <c r="AR833" s="62"/>
      <c r="AS833" s="62"/>
      <c r="AT833" s="62"/>
      <c r="AU833" s="62"/>
      <c r="AV833" s="62"/>
      <c r="AW833" s="62"/>
      <c r="AX833" s="62"/>
    </row>
    <row r="834" spans="1:50" ht="14.25" customHeight="1" x14ac:dyDescent="0.3">
      <c r="A834" s="58"/>
      <c r="B834" s="58"/>
      <c r="C834" s="58"/>
      <c r="D834" s="58"/>
      <c r="E834" s="58"/>
      <c r="F834" s="58"/>
      <c r="G834" s="59"/>
      <c r="H834" s="60"/>
      <c r="I834" s="60"/>
      <c r="J834" s="59"/>
      <c r="K834" s="61"/>
      <c r="M834" s="62"/>
      <c r="N834" s="62"/>
      <c r="O834" s="62"/>
      <c r="P834" s="62"/>
      <c r="Q834" s="62"/>
      <c r="R834" s="62"/>
      <c r="S834" s="62"/>
      <c r="T834" s="62"/>
      <c r="U834" s="62"/>
      <c r="V834" s="62"/>
      <c r="W834" s="62"/>
      <c r="X834" s="62"/>
      <c r="Y834" s="62"/>
      <c r="Z834" s="62"/>
      <c r="AA834" s="62"/>
      <c r="AB834" s="62"/>
      <c r="AC834" s="62"/>
      <c r="AD834" s="62"/>
      <c r="AE834" s="62"/>
      <c r="AF834" s="62"/>
      <c r="AG834" s="62"/>
      <c r="AH834" s="62"/>
      <c r="AI834" s="62"/>
      <c r="AJ834" s="62"/>
      <c r="AK834" s="62"/>
      <c r="AL834" s="62"/>
      <c r="AM834" s="62"/>
      <c r="AN834" s="62"/>
      <c r="AO834" s="62"/>
      <c r="AP834" s="62"/>
      <c r="AQ834" s="62"/>
      <c r="AR834" s="62"/>
      <c r="AS834" s="62"/>
      <c r="AT834" s="62"/>
      <c r="AU834" s="62"/>
      <c r="AV834" s="62"/>
      <c r="AW834" s="62"/>
      <c r="AX834" s="62"/>
    </row>
    <row r="835" spans="1:50" ht="14.25" customHeight="1" x14ac:dyDescent="0.3">
      <c r="A835" s="58"/>
      <c r="B835" s="58"/>
      <c r="C835" s="58"/>
      <c r="D835" s="58"/>
      <c r="E835" s="58"/>
      <c r="F835" s="58"/>
      <c r="G835" s="59"/>
      <c r="H835" s="60"/>
      <c r="I835" s="60"/>
      <c r="J835" s="59"/>
      <c r="K835" s="61"/>
      <c r="M835" s="62"/>
      <c r="N835" s="62"/>
      <c r="O835" s="62"/>
      <c r="P835" s="62"/>
      <c r="Q835" s="62"/>
      <c r="R835" s="62"/>
      <c r="S835" s="62"/>
      <c r="T835" s="62"/>
      <c r="U835" s="62"/>
      <c r="V835" s="62"/>
      <c r="W835" s="62"/>
      <c r="X835" s="62"/>
      <c r="Y835" s="62"/>
      <c r="Z835" s="62"/>
      <c r="AA835" s="62"/>
      <c r="AB835" s="62"/>
      <c r="AC835" s="62"/>
      <c r="AD835" s="62"/>
      <c r="AE835" s="62"/>
      <c r="AF835" s="62"/>
      <c r="AG835" s="62"/>
      <c r="AH835" s="62"/>
      <c r="AI835" s="62"/>
      <c r="AJ835" s="62"/>
      <c r="AK835" s="62"/>
      <c r="AL835" s="62"/>
      <c r="AM835" s="62"/>
      <c r="AN835" s="62"/>
      <c r="AO835" s="62"/>
      <c r="AP835" s="62"/>
      <c r="AQ835" s="62"/>
      <c r="AR835" s="62"/>
      <c r="AS835" s="62"/>
      <c r="AT835" s="62"/>
      <c r="AU835" s="62"/>
      <c r="AV835" s="62"/>
      <c r="AW835" s="62"/>
      <c r="AX835" s="62"/>
    </row>
    <row r="836" spans="1:50" ht="14.25" customHeight="1" x14ac:dyDescent="0.3">
      <c r="A836" s="58"/>
      <c r="B836" s="58"/>
      <c r="C836" s="58"/>
      <c r="D836" s="58"/>
      <c r="E836" s="58"/>
      <c r="F836" s="58"/>
      <c r="G836" s="59"/>
      <c r="H836" s="60"/>
      <c r="I836" s="60"/>
      <c r="J836" s="59"/>
      <c r="K836" s="61"/>
      <c r="M836" s="62"/>
      <c r="N836" s="62"/>
      <c r="O836" s="62"/>
      <c r="P836" s="62"/>
      <c r="Q836" s="62"/>
      <c r="R836" s="62"/>
      <c r="S836" s="62"/>
      <c r="T836" s="62"/>
      <c r="U836" s="62"/>
      <c r="V836" s="62"/>
      <c r="W836" s="62"/>
      <c r="X836" s="62"/>
      <c r="Y836" s="62"/>
      <c r="Z836" s="62"/>
      <c r="AA836" s="62"/>
      <c r="AB836" s="62"/>
      <c r="AC836" s="62"/>
      <c r="AD836" s="62"/>
      <c r="AE836" s="62"/>
      <c r="AF836" s="62"/>
      <c r="AG836" s="62"/>
      <c r="AH836" s="62"/>
      <c r="AI836" s="62"/>
      <c r="AJ836" s="62"/>
      <c r="AK836" s="62"/>
      <c r="AL836" s="62"/>
      <c r="AM836" s="62"/>
      <c r="AN836" s="62"/>
      <c r="AO836" s="62"/>
      <c r="AP836" s="62"/>
      <c r="AQ836" s="62"/>
      <c r="AR836" s="62"/>
      <c r="AS836" s="62"/>
      <c r="AT836" s="62"/>
      <c r="AU836" s="62"/>
      <c r="AV836" s="62"/>
      <c r="AW836" s="62"/>
      <c r="AX836" s="62"/>
    </row>
    <row r="837" spans="1:50" ht="14.25" customHeight="1" x14ac:dyDescent="0.3">
      <c r="A837" s="58"/>
      <c r="B837" s="58"/>
      <c r="C837" s="58"/>
      <c r="D837" s="58"/>
      <c r="E837" s="58"/>
      <c r="F837" s="58"/>
      <c r="G837" s="59"/>
      <c r="H837" s="60"/>
      <c r="I837" s="60"/>
      <c r="J837" s="59"/>
      <c r="K837" s="61"/>
      <c r="M837" s="62"/>
      <c r="N837" s="62"/>
      <c r="O837" s="62"/>
      <c r="P837" s="62"/>
      <c r="Q837" s="62"/>
      <c r="R837" s="62"/>
      <c r="S837" s="62"/>
      <c r="T837" s="62"/>
      <c r="U837" s="62"/>
      <c r="V837" s="62"/>
      <c r="W837" s="62"/>
      <c r="X837" s="62"/>
      <c r="Y837" s="62"/>
      <c r="Z837" s="62"/>
      <c r="AA837" s="62"/>
      <c r="AB837" s="62"/>
      <c r="AC837" s="62"/>
      <c r="AD837" s="62"/>
      <c r="AE837" s="62"/>
      <c r="AF837" s="62"/>
      <c r="AG837" s="62"/>
      <c r="AH837" s="62"/>
      <c r="AI837" s="62"/>
      <c r="AJ837" s="62"/>
      <c r="AK837" s="62"/>
      <c r="AL837" s="62"/>
      <c r="AM837" s="62"/>
      <c r="AN837" s="62"/>
      <c r="AO837" s="62"/>
      <c r="AP837" s="62"/>
      <c r="AQ837" s="62"/>
      <c r="AR837" s="62"/>
      <c r="AS837" s="62"/>
      <c r="AT837" s="62"/>
      <c r="AU837" s="62"/>
      <c r="AV837" s="62"/>
      <c r="AW837" s="62"/>
      <c r="AX837" s="62"/>
    </row>
    <row r="838" spans="1:50" ht="14.25" customHeight="1" x14ac:dyDescent="0.3">
      <c r="A838" s="58"/>
      <c r="B838" s="58"/>
      <c r="C838" s="58"/>
      <c r="D838" s="58"/>
      <c r="E838" s="58"/>
      <c r="F838" s="58"/>
      <c r="G838" s="59"/>
      <c r="H838" s="60"/>
      <c r="I838" s="60"/>
      <c r="J838" s="59"/>
      <c r="K838" s="61"/>
      <c r="M838" s="62"/>
      <c r="N838" s="62"/>
      <c r="O838" s="62"/>
      <c r="P838" s="62"/>
      <c r="Q838" s="62"/>
      <c r="R838" s="62"/>
      <c r="S838" s="62"/>
      <c r="T838" s="62"/>
      <c r="U838" s="62"/>
      <c r="V838" s="62"/>
      <c r="W838" s="62"/>
      <c r="X838" s="62"/>
      <c r="Y838" s="62"/>
      <c r="Z838" s="62"/>
      <c r="AA838" s="62"/>
      <c r="AB838" s="62"/>
      <c r="AC838" s="62"/>
      <c r="AD838" s="62"/>
      <c r="AE838" s="62"/>
      <c r="AF838" s="62"/>
      <c r="AG838" s="62"/>
      <c r="AH838" s="62"/>
      <c r="AI838" s="62"/>
      <c r="AJ838" s="62"/>
      <c r="AK838" s="62"/>
      <c r="AL838" s="62"/>
      <c r="AM838" s="62"/>
      <c r="AN838" s="62"/>
      <c r="AO838" s="62"/>
      <c r="AP838" s="62"/>
      <c r="AQ838" s="62"/>
      <c r="AR838" s="62"/>
      <c r="AS838" s="62"/>
      <c r="AT838" s="62"/>
      <c r="AU838" s="62"/>
      <c r="AV838" s="62"/>
      <c r="AW838" s="62"/>
      <c r="AX838" s="62"/>
    </row>
    <row r="839" spans="1:50" ht="14.25" customHeight="1" x14ac:dyDescent="0.3">
      <c r="A839" s="58"/>
      <c r="B839" s="58"/>
      <c r="C839" s="58"/>
      <c r="D839" s="58"/>
      <c r="E839" s="58"/>
      <c r="F839" s="58"/>
      <c r="G839" s="59"/>
      <c r="H839" s="60"/>
      <c r="I839" s="60"/>
      <c r="J839" s="59"/>
      <c r="K839" s="61"/>
      <c r="M839" s="62"/>
      <c r="N839" s="62"/>
      <c r="O839" s="62"/>
      <c r="P839" s="62"/>
      <c r="Q839" s="62"/>
      <c r="R839" s="62"/>
      <c r="S839" s="62"/>
      <c r="T839" s="62"/>
      <c r="U839" s="62"/>
      <c r="V839" s="62"/>
      <c r="W839" s="62"/>
      <c r="X839" s="62"/>
      <c r="Y839" s="62"/>
      <c r="Z839" s="62"/>
      <c r="AA839" s="62"/>
      <c r="AB839" s="62"/>
      <c r="AC839" s="62"/>
      <c r="AD839" s="62"/>
      <c r="AE839" s="62"/>
      <c r="AF839" s="62"/>
      <c r="AG839" s="62"/>
      <c r="AH839" s="62"/>
      <c r="AI839" s="62"/>
      <c r="AJ839" s="62"/>
      <c r="AK839" s="62"/>
      <c r="AL839" s="62"/>
      <c r="AM839" s="62"/>
      <c r="AN839" s="62"/>
      <c r="AO839" s="62"/>
      <c r="AP839" s="62"/>
      <c r="AQ839" s="62"/>
      <c r="AR839" s="62"/>
      <c r="AS839" s="62"/>
      <c r="AT839" s="62"/>
      <c r="AU839" s="62"/>
      <c r="AV839" s="62"/>
      <c r="AW839" s="62"/>
      <c r="AX839" s="62"/>
    </row>
    <row r="840" spans="1:50" ht="14.25" customHeight="1" x14ac:dyDescent="0.3">
      <c r="A840" s="58"/>
      <c r="B840" s="58"/>
      <c r="C840" s="58"/>
      <c r="D840" s="58"/>
      <c r="E840" s="58"/>
      <c r="F840" s="58"/>
      <c r="G840" s="59"/>
      <c r="H840" s="60"/>
      <c r="I840" s="60"/>
      <c r="J840" s="59"/>
      <c r="K840" s="61"/>
      <c r="M840" s="62"/>
      <c r="N840" s="62"/>
      <c r="O840" s="62"/>
      <c r="P840" s="62"/>
      <c r="Q840" s="62"/>
      <c r="R840" s="62"/>
      <c r="S840" s="62"/>
      <c r="T840" s="62"/>
      <c r="U840" s="62"/>
      <c r="V840" s="62"/>
      <c r="W840" s="62"/>
      <c r="X840" s="62"/>
      <c r="Y840" s="62"/>
      <c r="Z840" s="62"/>
      <c r="AA840" s="62"/>
      <c r="AB840" s="62"/>
      <c r="AC840" s="62"/>
      <c r="AD840" s="62"/>
      <c r="AE840" s="62"/>
      <c r="AF840" s="62"/>
      <c r="AG840" s="62"/>
      <c r="AH840" s="62"/>
      <c r="AI840" s="62"/>
      <c r="AJ840" s="62"/>
      <c r="AK840" s="62"/>
      <c r="AL840" s="62"/>
      <c r="AM840" s="62"/>
      <c r="AN840" s="62"/>
      <c r="AO840" s="62"/>
      <c r="AP840" s="62"/>
      <c r="AQ840" s="62"/>
      <c r="AR840" s="62"/>
      <c r="AS840" s="62"/>
      <c r="AT840" s="62"/>
      <c r="AU840" s="62"/>
      <c r="AV840" s="62"/>
      <c r="AW840" s="62"/>
      <c r="AX840" s="62"/>
    </row>
    <row r="841" spans="1:50" ht="14.25" customHeight="1" x14ac:dyDescent="0.3">
      <c r="A841" s="58"/>
      <c r="B841" s="58"/>
      <c r="C841" s="58"/>
      <c r="D841" s="58"/>
      <c r="E841" s="58"/>
      <c r="F841" s="58"/>
      <c r="G841" s="59"/>
      <c r="H841" s="60"/>
      <c r="I841" s="60"/>
      <c r="J841" s="59"/>
      <c r="K841" s="61"/>
      <c r="M841" s="62"/>
      <c r="N841" s="62"/>
      <c r="O841" s="62"/>
      <c r="P841" s="62"/>
      <c r="Q841" s="62"/>
      <c r="R841" s="62"/>
      <c r="S841" s="62"/>
      <c r="T841" s="62"/>
      <c r="U841" s="62"/>
      <c r="V841" s="62"/>
      <c r="W841" s="62"/>
      <c r="X841" s="62"/>
      <c r="Y841" s="62"/>
      <c r="Z841" s="62"/>
      <c r="AA841" s="62"/>
      <c r="AB841" s="62"/>
      <c r="AC841" s="62"/>
      <c r="AD841" s="62"/>
      <c r="AE841" s="62"/>
      <c r="AF841" s="62"/>
      <c r="AG841" s="62"/>
      <c r="AH841" s="62"/>
      <c r="AI841" s="62"/>
      <c r="AJ841" s="62"/>
      <c r="AK841" s="62"/>
      <c r="AL841" s="62"/>
      <c r="AM841" s="62"/>
      <c r="AN841" s="62"/>
      <c r="AO841" s="62"/>
      <c r="AP841" s="62"/>
      <c r="AQ841" s="62"/>
      <c r="AR841" s="62"/>
      <c r="AS841" s="62"/>
      <c r="AT841" s="62"/>
      <c r="AU841" s="62"/>
      <c r="AV841" s="62"/>
      <c r="AW841" s="62"/>
      <c r="AX841" s="62"/>
    </row>
    <row r="842" spans="1:50" ht="14.25" customHeight="1" x14ac:dyDescent="0.3">
      <c r="A842" s="58"/>
      <c r="B842" s="58"/>
      <c r="C842" s="58"/>
      <c r="D842" s="58"/>
      <c r="E842" s="58"/>
      <c r="F842" s="58"/>
      <c r="G842" s="59"/>
      <c r="H842" s="60"/>
      <c r="I842" s="60"/>
      <c r="J842" s="59"/>
      <c r="K842" s="61"/>
      <c r="M842" s="62"/>
      <c r="N842" s="62"/>
      <c r="O842" s="62"/>
      <c r="P842" s="62"/>
      <c r="Q842" s="62"/>
      <c r="R842" s="62"/>
      <c r="S842" s="62"/>
      <c r="T842" s="62"/>
      <c r="U842" s="62"/>
      <c r="V842" s="62"/>
      <c r="W842" s="62"/>
      <c r="X842" s="62"/>
      <c r="Y842" s="62"/>
      <c r="Z842" s="62"/>
      <c r="AA842" s="62"/>
      <c r="AB842" s="62"/>
      <c r="AC842" s="62"/>
      <c r="AD842" s="62"/>
      <c r="AE842" s="62"/>
      <c r="AF842" s="62"/>
      <c r="AG842" s="62"/>
      <c r="AH842" s="62"/>
      <c r="AI842" s="62"/>
      <c r="AJ842" s="62"/>
      <c r="AK842" s="62"/>
      <c r="AL842" s="62"/>
      <c r="AM842" s="62"/>
      <c r="AN842" s="62"/>
      <c r="AO842" s="62"/>
      <c r="AP842" s="62"/>
      <c r="AQ842" s="62"/>
      <c r="AR842" s="62"/>
      <c r="AS842" s="62"/>
      <c r="AT842" s="62"/>
      <c r="AU842" s="62"/>
      <c r="AV842" s="62"/>
      <c r="AW842" s="62"/>
      <c r="AX842" s="62"/>
    </row>
    <row r="843" spans="1:50" ht="14.25" customHeight="1" x14ac:dyDescent="0.3">
      <c r="A843" s="58"/>
      <c r="B843" s="58"/>
      <c r="C843" s="58"/>
      <c r="D843" s="58"/>
      <c r="E843" s="58"/>
      <c r="F843" s="58"/>
      <c r="G843" s="59"/>
      <c r="H843" s="60"/>
      <c r="I843" s="60"/>
      <c r="J843" s="59"/>
      <c r="K843" s="61"/>
      <c r="M843" s="62"/>
      <c r="N843" s="62"/>
      <c r="O843" s="62"/>
      <c r="P843" s="62"/>
      <c r="Q843" s="62"/>
      <c r="R843" s="62"/>
      <c r="S843" s="62"/>
      <c r="T843" s="62"/>
      <c r="U843" s="62"/>
      <c r="V843" s="62"/>
      <c r="W843" s="62"/>
      <c r="X843" s="62"/>
      <c r="Y843" s="62"/>
      <c r="Z843" s="62"/>
      <c r="AA843" s="62"/>
      <c r="AB843" s="62"/>
      <c r="AC843" s="62"/>
      <c r="AD843" s="62"/>
      <c r="AE843" s="62"/>
      <c r="AF843" s="62"/>
      <c r="AG843" s="62"/>
      <c r="AH843" s="62"/>
      <c r="AI843" s="62"/>
      <c r="AJ843" s="62"/>
      <c r="AK843" s="62"/>
      <c r="AL843" s="62"/>
      <c r="AM843" s="62"/>
      <c r="AN843" s="62"/>
      <c r="AO843" s="62"/>
      <c r="AP843" s="62"/>
      <c r="AQ843" s="62"/>
      <c r="AR843" s="62"/>
      <c r="AS843" s="62"/>
      <c r="AT843" s="62"/>
      <c r="AU843" s="62"/>
      <c r="AV843" s="62"/>
      <c r="AW843" s="62"/>
      <c r="AX843" s="62"/>
    </row>
    <row r="844" spans="1:50" ht="14.25" customHeight="1" x14ac:dyDescent="0.3">
      <c r="A844" s="58"/>
      <c r="B844" s="58"/>
      <c r="C844" s="58"/>
      <c r="D844" s="58"/>
      <c r="E844" s="58"/>
      <c r="F844" s="58"/>
      <c r="G844" s="59"/>
      <c r="H844" s="60"/>
      <c r="I844" s="60"/>
      <c r="J844" s="59"/>
      <c r="K844" s="61"/>
      <c r="M844" s="62"/>
      <c r="N844" s="62"/>
      <c r="O844" s="62"/>
      <c r="P844" s="62"/>
      <c r="Q844" s="62"/>
      <c r="R844" s="62"/>
      <c r="S844" s="62"/>
      <c r="T844" s="62"/>
      <c r="U844" s="62"/>
      <c r="V844" s="62"/>
      <c r="W844" s="62"/>
      <c r="X844" s="62"/>
      <c r="Y844" s="62"/>
      <c r="Z844" s="62"/>
      <c r="AA844" s="62"/>
      <c r="AB844" s="62"/>
      <c r="AC844" s="62"/>
      <c r="AD844" s="62"/>
      <c r="AE844" s="62"/>
      <c r="AF844" s="62"/>
      <c r="AG844" s="62"/>
      <c r="AH844" s="62"/>
      <c r="AI844" s="62"/>
      <c r="AJ844" s="62"/>
      <c r="AK844" s="62"/>
      <c r="AL844" s="62"/>
      <c r="AM844" s="62"/>
      <c r="AN844" s="62"/>
      <c r="AO844" s="62"/>
      <c r="AP844" s="62"/>
      <c r="AQ844" s="62"/>
      <c r="AR844" s="62"/>
      <c r="AS844" s="62"/>
      <c r="AT844" s="62"/>
      <c r="AU844" s="62"/>
      <c r="AV844" s="62"/>
      <c r="AW844" s="62"/>
      <c r="AX844" s="62"/>
    </row>
    <row r="845" spans="1:50" ht="14.25" customHeight="1" x14ac:dyDescent="0.3">
      <c r="A845" s="58"/>
      <c r="B845" s="58"/>
      <c r="C845" s="58"/>
      <c r="D845" s="58"/>
      <c r="E845" s="58"/>
      <c r="F845" s="58"/>
      <c r="G845" s="59"/>
      <c r="H845" s="60"/>
      <c r="I845" s="60"/>
      <c r="J845" s="59"/>
      <c r="K845" s="61"/>
      <c r="M845" s="62"/>
      <c r="N845" s="62"/>
      <c r="O845" s="62"/>
      <c r="P845" s="62"/>
      <c r="Q845" s="62"/>
      <c r="R845" s="62"/>
      <c r="S845" s="62"/>
      <c r="T845" s="62"/>
      <c r="U845" s="62"/>
      <c r="V845" s="62"/>
      <c r="W845" s="62"/>
      <c r="X845" s="62"/>
      <c r="Y845" s="62"/>
      <c r="Z845" s="62"/>
      <c r="AA845" s="62"/>
      <c r="AB845" s="62"/>
      <c r="AC845" s="62"/>
      <c r="AD845" s="62"/>
      <c r="AE845" s="62"/>
      <c r="AF845" s="62"/>
      <c r="AG845" s="62"/>
      <c r="AH845" s="62"/>
      <c r="AI845" s="62"/>
      <c r="AJ845" s="62"/>
      <c r="AK845" s="62"/>
      <c r="AL845" s="62"/>
      <c r="AM845" s="62"/>
      <c r="AN845" s="62"/>
      <c r="AO845" s="62"/>
      <c r="AP845" s="62"/>
      <c r="AQ845" s="62"/>
      <c r="AR845" s="62"/>
      <c r="AS845" s="62"/>
      <c r="AT845" s="62"/>
      <c r="AU845" s="62"/>
      <c r="AV845" s="62"/>
      <c r="AW845" s="62"/>
      <c r="AX845" s="62"/>
    </row>
    <row r="846" spans="1:50" ht="14.25" customHeight="1" x14ac:dyDescent="0.3">
      <c r="A846" s="58"/>
      <c r="B846" s="58"/>
      <c r="C846" s="58"/>
      <c r="D846" s="58"/>
      <c r="E846" s="58"/>
      <c r="F846" s="58"/>
      <c r="G846" s="59"/>
      <c r="H846" s="60"/>
      <c r="I846" s="60"/>
      <c r="J846" s="59"/>
      <c r="K846" s="61"/>
      <c r="M846" s="62"/>
      <c r="N846" s="62"/>
      <c r="O846" s="62"/>
      <c r="P846" s="62"/>
      <c r="Q846" s="62"/>
      <c r="R846" s="62"/>
      <c r="S846" s="62"/>
      <c r="T846" s="62"/>
      <c r="U846" s="62"/>
      <c r="V846" s="62"/>
      <c r="W846" s="62"/>
      <c r="X846" s="62"/>
      <c r="Y846" s="62"/>
      <c r="Z846" s="62"/>
      <c r="AA846" s="62"/>
      <c r="AB846" s="62"/>
      <c r="AC846" s="62"/>
      <c r="AD846" s="62"/>
      <c r="AE846" s="62"/>
      <c r="AF846" s="62"/>
      <c r="AG846" s="62"/>
      <c r="AH846" s="62"/>
      <c r="AI846" s="62"/>
      <c r="AJ846" s="62"/>
      <c r="AK846" s="62"/>
      <c r="AL846" s="62"/>
      <c r="AM846" s="62"/>
      <c r="AN846" s="62"/>
      <c r="AO846" s="62"/>
      <c r="AP846" s="62"/>
      <c r="AQ846" s="62"/>
      <c r="AR846" s="62"/>
      <c r="AS846" s="62"/>
      <c r="AT846" s="62"/>
      <c r="AU846" s="62"/>
      <c r="AV846" s="62"/>
      <c r="AW846" s="62"/>
      <c r="AX846" s="62"/>
    </row>
    <row r="847" spans="1:50" ht="14.25" customHeight="1" x14ac:dyDescent="0.3">
      <c r="A847" s="58"/>
      <c r="B847" s="58"/>
      <c r="C847" s="58"/>
      <c r="D847" s="58"/>
      <c r="E847" s="58"/>
      <c r="F847" s="58"/>
      <c r="G847" s="59"/>
      <c r="H847" s="60"/>
      <c r="I847" s="60"/>
      <c r="J847" s="59"/>
      <c r="K847" s="61"/>
      <c r="M847" s="62"/>
      <c r="N847" s="62"/>
      <c r="O847" s="62"/>
      <c r="P847" s="62"/>
      <c r="Q847" s="62"/>
      <c r="R847" s="62"/>
      <c r="S847" s="62"/>
      <c r="T847" s="62"/>
      <c r="U847" s="62"/>
      <c r="V847" s="62"/>
      <c r="W847" s="62"/>
      <c r="X847" s="62"/>
      <c r="Y847" s="62"/>
      <c r="Z847" s="62"/>
      <c r="AA847" s="62"/>
      <c r="AB847" s="62"/>
      <c r="AC847" s="62"/>
      <c r="AD847" s="62"/>
      <c r="AE847" s="62"/>
      <c r="AF847" s="62"/>
      <c r="AG847" s="62"/>
      <c r="AH847" s="62"/>
      <c r="AI847" s="62"/>
      <c r="AJ847" s="62"/>
      <c r="AK847" s="62"/>
      <c r="AL847" s="62"/>
      <c r="AM847" s="62"/>
      <c r="AN847" s="62"/>
      <c r="AO847" s="62"/>
      <c r="AP847" s="62"/>
      <c r="AQ847" s="62"/>
      <c r="AR847" s="62"/>
      <c r="AS847" s="62"/>
      <c r="AT847" s="62"/>
      <c r="AU847" s="62"/>
      <c r="AV847" s="62"/>
      <c r="AW847" s="62"/>
      <c r="AX847" s="62"/>
    </row>
    <row r="848" spans="1:50" ht="14.25" customHeight="1" x14ac:dyDescent="0.3">
      <c r="A848" s="58"/>
      <c r="B848" s="58"/>
      <c r="C848" s="58"/>
      <c r="D848" s="58"/>
      <c r="E848" s="58"/>
      <c r="F848" s="58"/>
      <c r="G848" s="59"/>
      <c r="H848" s="60"/>
      <c r="I848" s="60"/>
      <c r="J848" s="59"/>
      <c r="K848" s="61"/>
      <c r="M848" s="62"/>
      <c r="N848" s="62"/>
      <c r="O848" s="62"/>
      <c r="P848" s="62"/>
      <c r="Q848" s="62"/>
      <c r="R848" s="62"/>
      <c r="S848" s="62"/>
      <c r="T848" s="62"/>
      <c r="U848" s="62"/>
      <c r="V848" s="62"/>
      <c r="W848" s="62"/>
      <c r="X848" s="62"/>
      <c r="Y848" s="62"/>
      <c r="Z848" s="62"/>
      <c r="AA848" s="62"/>
      <c r="AB848" s="62"/>
      <c r="AC848" s="62"/>
      <c r="AD848" s="62"/>
      <c r="AE848" s="62"/>
      <c r="AF848" s="62"/>
      <c r="AG848" s="62"/>
      <c r="AH848" s="62"/>
      <c r="AI848" s="62"/>
      <c r="AJ848" s="62"/>
      <c r="AK848" s="62"/>
      <c r="AL848" s="62"/>
      <c r="AM848" s="62"/>
      <c r="AN848" s="62"/>
      <c r="AO848" s="62"/>
      <c r="AP848" s="62"/>
      <c r="AQ848" s="62"/>
      <c r="AR848" s="62"/>
      <c r="AS848" s="62"/>
      <c r="AT848" s="62"/>
      <c r="AU848" s="62"/>
      <c r="AV848" s="62"/>
      <c r="AW848" s="62"/>
      <c r="AX848" s="62"/>
    </row>
    <row r="849" spans="1:50" ht="14.25" customHeight="1" x14ac:dyDescent="0.3">
      <c r="A849" s="58"/>
      <c r="B849" s="58"/>
      <c r="C849" s="58"/>
      <c r="D849" s="58"/>
      <c r="E849" s="58"/>
      <c r="F849" s="58"/>
      <c r="G849" s="59"/>
      <c r="H849" s="60"/>
      <c r="I849" s="60"/>
      <c r="J849" s="59"/>
      <c r="K849" s="61"/>
      <c r="M849" s="62"/>
      <c r="N849" s="62"/>
      <c r="O849" s="62"/>
      <c r="P849" s="62"/>
      <c r="Q849" s="62"/>
      <c r="R849" s="62"/>
      <c r="S849" s="62"/>
      <c r="T849" s="62"/>
      <c r="U849" s="62"/>
      <c r="V849" s="62"/>
      <c r="W849" s="62"/>
      <c r="X849" s="62"/>
      <c r="Y849" s="62"/>
      <c r="Z849" s="62"/>
      <c r="AA849" s="62"/>
      <c r="AB849" s="62"/>
      <c r="AC849" s="62"/>
      <c r="AD849" s="62"/>
      <c r="AE849" s="62"/>
      <c r="AF849" s="62"/>
      <c r="AG849" s="62"/>
      <c r="AH849" s="62"/>
      <c r="AI849" s="62"/>
      <c r="AJ849" s="62"/>
      <c r="AK849" s="62"/>
      <c r="AL849" s="62"/>
      <c r="AM849" s="62"/>
      <c r="AN849" s="62"/>
      <c r="AO849" s="62"/>
      <c r="AP849" s="62"/>
      <c r="AQ849" s="62"/>
      <c r="AR849" s="62"/>
      <c r="AS849" s="62"/>
      <c r="AT849" s="62"/>
      <c r="AU849" s="62"/>
      <c r="AV849" s="62"/>
      <c r="AW849" s="62"/>
      <c r="AX849" s="62"/>
    </row>
    <row r="850" spans="1:50" ht="14.25" customHeight="1" x14ac:dyDescent="0.3">
      <c r="A850" s="58"/>
      <c r="B850" s="58"/>
      <c r="C850" s="58"/>
      <c r="D850" s="58"/>
      <c r="E850" s="58"/>
      <c r="F850" s="58"/>
      <c r="G850" s="59"/>
      <c r="H850" s="60"/>
      <c r="I850" s="60"/>
      <c r="J850" s="59"/>
      <c r="K850" s="61"/>
      <c r="M850" s="62"/>
      <c r="N850" s="62"/>
      <c r="O850" s="62"/>
      <c r="P850" s="62"/>
      <c r="Q850" s="62"/>
      <c r="R850" s="62"/>
      <c r="S850" s="62"/>
      <c r="T850" s="62"/>
      <c r="U850" s="62"/>
      <c r="V850" s="62"/>
      <c r="W850" s="62"/>
      <c r="X850" s="62"/>
      <c r="Y850" s="62"/>
      <c r="Z850" s="62"/>
      <c r="AA850" s="62"/>
      <c r="AB850" s="62"/>
      <c r="AC850" s="62"/>
      <c r="AD850" s="62"/>
      <c r="AE850" s="62"/>
      <c r="AF850" s="62"/>
      <c r="AG850" s="62"/>
      <c r="AH850" s="62"/>
      <c r="AI850" s="62"/>
      <c r="AJ850" s="62"/>
      <c r="AK850" s="62"/>
      <c r="AL850" s="62"/>
      <c r="AM850" s="62"/>
      <c r="AN850" s="62"/>
      <c r="AO850" s="62"/>
      <c r="AP850" s="62"/>
      <c r="AQ850" s="62"/>
      <c r="AR850" s="62"/>
      <c r="AS850" s="62"/>
      <c r="AT850" s="62"/>
      <c r="AU850" s="62"/>
      <c r="AV850" s="62"/>
      <c r="AW850" s="62"/>
      <c r="AX850" s="62"/>
    </row>
    <row r="851" spans="1:50" ht="14.25" customHeight="1" x14ac:dyDescent="0.3">
      <c r="A851" s="58"/>
      <c r="B851" s="58"/>
      <c r="C851" s="58"/>
      <c r="D851" s="58"/>
      <c r="E851" s="58"/>
      <c r="F851" s="58"/>
      <c r="G851" s="59"/>
      <c r="H851" s="60"/>
      <c r="I851" s="60"/>
      <c r="J851" s="59"/>
      <c r="K851" s="61"/>
      <c r="M851" s="62"/>
      <c r="N851" s="62"/>
      <c r="O851" s="62"/>
      <c r="P851" s="62"/>
      <c r="Q851" s="62"/>
      <c r="R851" s="62"/>
      <c r="S851" s="62"/>
      <c r="T851" s="62"/>
      <c r="U851" s="62"/>
      <c r="V851" s="62"/>
      <c r="W851" s="62"/>
      <c r="X851" s="62"/>
      <c r="Y851" s="62"/>
      <c r="Z851" s="62"/>
      <c r="AA851" s="62"/>
      <c r="AB851" s="62"/>
      <c r="AC851" s="62"/>
      <c r="AD851" s="62"/>
      <c r="AE851" s="62"/>
      <c r="AF851" s="62"/>
      <c r="AG851" s="62"/>
      <c r="AH851" s="62"/>
      <c r="AI851" s="62"/>
      <c r="AJ851" s="62"/>
      <c r="AK851" s="62"/>
      <c r="AL851" s="62"/>
      <c r="AM851" s="62"/>
      <c r="AN851" s="62"/>
      <c r="AO851" s="62"/>
      <c r="AP851" s="62"/>
      <c r="AQ851" s="62"/>
      <c r="AR851" s="62"/>
      <c r="AS851" s="62"/>
      <c r="AT851" s="62"/>
      <c r="AU851" s="62"/>
      <c r="AV851" s="62"/>
      <c r="AW851" s="62"/>
      <c r="AX851" s="62"/>
    </row>
    <row r="852" spans="1:50" ht="14.25" customHeight="1" x14ac:dyDescent="0.3">
      <c r="A852" s="58"/>
      <c r="B852" s="58"/>
      <c r="C852" s="58"/>
      <c r="D852" s="58"/>
      <c r="E852" s="58"/>
      <c r="F852" s="58"/>
      <c r="G852" s="59"/>
      <c r="H852" s="60"/>
      <c r="I852" s="60"/>
      <c r="J852" s="59"/>
      <c r="K852" s="61"/>
      <c r="M852" s="62"/>
      <c r="N852" s="62"/>
      <c r="O852" s="62"/>
      <c r="P852" s="62"/>
      <c r="Q852" s="62"/>
      <c r="R852" s="62"/>
      <c r="S852" s="62"/>
      <c r="T852" s="62"/>
      <c r="U852" s="62"/>
      <c r="V852" s="62"/>
      <c r="W852" s="62"/>
      <c r="X852" s="62"/>
      <c r="Y852" s="62"/>
      <c r="Z852" s="62"/>
      <c r="AA852" s="62"/>
      <c r="AB852" s="62"/>
      <c r="AC852" s="62"/>
      <c r="AD852" s="62"/>
      <c r="AE852" s="62"/>
      <c r="AF852" s="62"/>
      <c r="AG852" s="62"/>
      <c r="AH852" s="62"/>
      <c r="AI852" s="62"/>
      <c r="AJ852" s="62"/>
      <c r="AK852" s="62"/>
      <c r="AL852" s="62"/>
      <c r="AM852" s="62"/>
      <c r="AN852" s="62"/>
      <c r="AO852" s="62"/>
      <c r="AP852" s="62"/>
      <c r="AQ852" s="62"/>
      <c r="AR852" s="62"/>
      <c r="AS852" s="62"/>
      <c r="AT852" s="62"/>
      <c r="AU852" s="62"/>
      <c r="AV852" s="62"/>
      <c r="AW852" s="62"/>
      <c r="AX852" s="62"/>
    </row>
    <row r="853" spans="1:50" ht="14.25" customHeight="1" x14ac:dyDescent="0.3">
      <c r="A853" s="58"/>
      <c r="B853" s="58"/>
      <c r="C853" s="58"/>
      <c r="D853" s="58"/>
      <c r="E853" s="58"/>
      <c r="F853" s="58"/>
      <c r="G853" s="59"/>
      <c r="H853" s="60"/>
      <c r="I853" s="60"/>
      <c r="J853" s="59"/>
      <c r="K853" s="61"/>
      <c r="M853" s="62"/>
      <c r="N853" s="62"/>
      <c r="O853" s="62"/>
      <c r="P853" s="62"/>
      <c r="Q853" s="62"/>
      <c r="R853" s="62"/>
      <c r="S853" s="62"/>
      <c r="T853" s="62"/>
      <c r="U853" s="62"/>
      <c r="V853" s="62"/>
      <c r="W853" s="62"/>
      <c r="X853" s="62"/>
      <c r="Y853" s="62"/>
      <c r="Z853" s="62"/>
      <c r="AA853" s="62"/>
      <c r="AB853" s="62"/>
      <c r="AC853" s="62"/>
      <c r="AD853" s="62"/>
      <c r="AE853" s="62"/>
      <c r="AF853" s="62"/>
      <c r="AG853" s="62"/>
      <c r="AH853" s="62"/>
      <c r="AI853" s="62"/>
      <c r="AJ853" s="62"/>
      <c r="AK853" s="62"/>
      <c r="AL853" s="62"/>
      <c r="AM853" s="62"/>
      <c r="AN853" s="62"/>
      <c r="AO853" s="62"/>
      <c r="AP853" s="62"/>
      <c r="AQ853" s="62"/>
      <c r="AR853" s="62"/>
      <c r="AS853" s="62"/>
      <c r="AT853" s="62"/>
      <c r="AU853" s="62"/>
      <c r="AV853" s="62"/>
      <c r="AW853" s="62"/>
      <c r="AX853" s="62"/>
    </row>
    <row r="854" spans="1:50" ht="14.25" customHeight="1" x14ac:dyDescent="0.3">
      <c r="A854" s="58"/>
      <c r="B854" s="58"/>
      <c r="C854" s="58"/>
      <c r="D854" s="58"/>
      <c r="E854" s="58"/>
      <c r="F854" s="58"/>
      <c r="G854" s="59"/>
      <c r="H854" s="60"/>
      <c r="I854" s="60"/>
      <c r="J854" s="59"/>
      <c r="K854" s="61"/>
      <c r="M854" s="62"/>
      <c r="N854" s="62"/>
      <c r="O854" s="62"/>
      <c r="P854" s="62"/>
      <c r="Q854" s="62"/>
      <c r="R854" s="62"/>
      <c r="S854" s="62"/>
      <c r="T854" s="62"/>
      <c r="U854" s="62"/>
      <c r="V854" s="62"/>
      <c r="W854" s="62"/>
      <c r="X854" s="62"/>
      <c r="Y854" s="62"/>
      <c r="Z854" s="62"/>
      <c r="AA854" s="62"/>
      <c r="AB854" s="62"/>
      <c r="AC854" s="62"/>
      <c r="AD854" s="62"/>
      <c r="AE854" s="62"/>
      <c r="AF854" s="62"/>
      <c r="AG854" s="62"/>
      <c r="AH854" s="62"/>
      <c r="AI854" s="62"/>
      <c r="AJ854" s="62"/>
      <c r="AK854" s="62"/>
      <c r="AL854" s="62"/>
      <c r="AM854" s="62"/>
      <c r="AN854" s="62"/>
      <c r="AO854" s="62"/>
      <c r="AP854" s="62"/>
      <c r="AQ854" s="62"/>
      <c r="AR854" s="62"/>
      <c r="AS854" s="62"/>
      <c r="AT854" s="62"/>
      <c r="AU854" s="62"/>
      <c r="AV854" s="62"/>
      <c r="AW854" s="62"/>
      <c r="AX854" s="62"/>
    </row>
    <row r="855" spans="1:50" ht="14.25" customHeight="1" x14ac:dyDescent="0.3">
      <c r="A855" s="58"/>
      <c r="B855" s="58"/>
      <c r="C855" s="58"/>
      <c r="D855" s="58"/>
      <c r="E855" s="58"/>
      <c r="F855" s="58"/>
      <c r="G855" s="59"/>
      <c r="H855" s="60"/>
      <c r="I855" s="60"/>
      <c r="J855" s="59"/>
      <c r="K855" s="61"/>
      <c r="M855" s="62"/>
      <c r="N855" s="62"/>
      <c r="O855" s="62"/>
      <c r="P855" s="62"/>
      <c r="Q855" s="62"/>
      <c r="R855" s="62"/>
      <c r="S855" s="62"/>
      <c r="T855" s="62"/>
      <c r="U855" s="62"/>
      <c r="V855" s="62"/>
      <c r="W855" s="62"/>
      <c r="X855" s="62"/>
      <c r="Y855" s="62"/>
      <c r="Z855" s="62"/>
      <c r="AA855" s="62"/>
      <c r="AB855" s="62"/>
      <c r="AC855" s="62"/>
      <c r="AD855" s="62"/>
      <c r="AE855" s="62"/>
      <c r="AF855" s="62"/>
      <c r="AG855" s="62"/>
      <c r="AH855" s="62"/>
      <c r="AI855" s="62"/>
      <c r="AJ855" s="62"/>
      <c r="AK855" s="62"/>
      <c r="AL855" s="62"/>
      <c r="AM855" s="62"/>
      <c r="AN855" s="62"/>
      <c r="AO855" s="62"/>
      <c r="AP855" s="62"/>
      <c r="AQ855" s="62"/>
      <c r="AR855" s="62"/>
      <c r="AS855" s="62"/>
      <c r="AT855" s="62"/>
      <c r="AU855" s="62"/>
      <c r="AV855" s="62"/>
      <c r="AW855" s="62"/>
      <c r="AX855" s="62"/>
    </row>
    <row r="856" spans="1:50" ht="14.25" customHeight="1" x14ac:dyDescent="0.3">
      <c r="A856" s="58"/>
      <c r="B856" s="58"/>
      <c r="C856" s="58"/>
      <c r="D856" s="58"/>
      <c r="E856" s="58"/>
      <c r="F856" s="58"/>
      <c r="G856" s="59"/>
      <c r="H856" s="60"/>
      <c r="I856" s="60"/>
      <c r="J856" s="59"/>
      <c r="K856" s="61"/>
      <c r="M856" s="62"/>
      <c r="N856" s="62"/>
      <c r="O856" s="62"/>
      <c r="P856" s="62"/>
      <c r="Q856" s="62"/>
      <c r="R856" s="62"/>
      <c r="S856" s="62"/>
      <c r="T856" s="62"/>
      <c r="U856" s="62"/>
      <c r="V856" s="62"/>
      <c r="W856" s="62"/>
      <c r="X856" s="62"/>
      <c r="Y856" s="62"/>
      <c r="Z856" s="62"/>
      <c r="AA856" s="62"/>
      <c r="AB856" s="62"/>
      <c r="AC856" s="62"/>
      <c r="AD856" s="62"/>
      <c r="AE856" s="62"/>
      <c r="AF856" s="62"/>
      <c r="AG856" s="62"/>
      <c r="AH856" s="62"/>
      <c r="AI856" s="62"/>
      <c r="AJ856" s="62"/>
      <c r="AK856" s="62"/>
      <c r="AL856" s="62"/>
      <c r="AM856" s="62"/>
      <c r="AN856" s="62"/>
      <c r="AO856" s="62"/>
      <c r="AP856" s="62"/>
      <c r="AQ856" s="62"/>
      <c r="AR856" s="62"/>
      <c r="AS856" s="62"/>
      <c r="AT856" s="62"/>
      <c r="AU856" s="62"/>
      <c r="AV856" s="62"/>
      <c r="AW856" s="62"/>
      <c r="AX856" s="62"/>
    </row>
    <row r="857" spans="1:50" ht="14.25" customHeight="1" x14ac:dyDescent="0.3">
      <c r="A857" s="58"/>
      <c r="B857" s="58"/>
      <c r="C857" s="58"/>
      <c r="D857" s="58"/>
      <c r="E857" s="58"/>
      <c r="F857" s="58"/>
      <c r="G857" s="59"/>
      <c r="H857" s="60"/>
      <c r="I857" s="60"/>
      <c r="J857" s="59"/>
      <c r="K857" s="61"/>
      <c r="M857" s="62"/>
      <c r="N857" s="62"/>
      <c r="O857" s="62"/>
      <c r="P857" s="62"/>
      <c r="Q857" s="62"/>
      <c r="R857" s="62"/>
      <c r="S857" s="62"/>
      <c r="T857" s="62"/>
      <c r="U857" s="62"/>
      <c r="V857" s="62"/>
      <c r="W857" s="62"/>
      <c r="X857" s="62"/>
      <c r="Y857" s="62"/>
      <c r="Z857" s="62"/>
      <c r="AA857" s="62"/>
      <c r="AB857" s="62"/>
      <c r="AC857" s="62"/>
      <c r="AD857" s="62"/>
      <c r="AE857" s="62"/>
      <c r="AF857" s="62"/>
      <c r="AG857" s="62"/>
      <c r="AH857" s="62"/>
      <c r="AI857" s="62"/>
      <c r="AJ857" s="62"/>
      <c r="AK857" s="62"/>
      <c r="AL857" s="62"/>
      <c r="AM857" s="62"/>
      <c r="AN857" s="62"/>
      <c r="AO857" s="62"/>
      <c r="AP857" s="62"/>
      <c r="AQ857" s="62"/>
      <c r="AR857" s="62"/>
      <c r="AS857" s="62"/>
      <c r="AT857" s="62"/>
      <c r="AU857" s="62"/>
      <c r="AV857" s="62"/>
      <c r="AW857" s="62"/>
      <c r="AX857" s="62"/>
    </row>
    <row r="858" spans="1:50" ht="14.25" customHeight="1" x14ac:dyDescent="0.3">
      <c r="A858" s="58"/>
      <c r="B858" s="58"/>
      <c r="C858" s="58"/>
      <c r="D858" s="58"/>
      <c r="E858" s="58"/>
      <c r="F858" s="58"/>
      <c r="G858" s="59"/>
      <c r="H858" s="60"/>
      <c r="I858" s="60"/>
      <c r="J858" s="59"/>
      <c r="K858" s="61"/>
      <c r="M858" s="62"/>
      <c r="N858" s="62"/>
      <c r="O858" s="62"/>
      <c r="P858" s="62"/>
      <c r="Q858" s="62"/>
      <c r="R858" s="62"/>
      <c r="S858" s="62"/>
      <c r="T858" s="62"/>
      <c r="U858" s="62"/>
      <c r="V858" s="62"/>
      <c r="W858" s="62"/>
      <c r="X858" s="62"/>
      <c r="Y858" s="62"/>
      <c r="Z858" s="62"/>
      <c r="AA858" s="62"/>
      <c r="AB858" s="62"/>
      <c r="AC858" s="62"/>
      <c r="AD858" s="62"/>
      <c r="AE858" s="62"/>
      <c r="AF858" s="62"/>
      <c r="AG858" s="62"/>
      <c r="AH858" s="62"/>
      <c r="AI858" s="62"/>
      <c r="AJ858" s="62"/>
      <c r="AK858" s="62"/>
      <c r="AL858" s="62"/>
      <c r="AM858" s="62"/>
      <c r="AN858" s="62"/>
      <c r="AO858" s="62"/>
      <c r="AP858" s="62"/>
      <c r="AQ858" s="62"/>
      <c r="AR858" s="62"/>
      <c r="AS858" s="62"/>
      <c r="AT858" s="62"/>
      <c r="AU858" s="62"/>
      <c r="AV858" s="62"/>
      <c r="AW858" s="62"/>
      <c r="AX858" s="62"/>
    </row>
    <row r="859" spans="1:50" ht="14.25" customHeight="1" x14ac:dyDescent="0.3">
      <c r="A859" s="58"/>
      <c r="B859" s="58"/>
      <c r="C859" s="58"/>
      <c r="D859" s="58"/>
      <c r="E859" s="58"/>
      <c r="F859" s="58"/>
      <c r="G859" s="59"/>
      <c r="H859" s="60"/>
      <c r="I859" s="60"/>
      <c r="J859" s="59"/>
      <c r="K859" s="61"/>
      <c r="M859" s="62"/>
      <c r="N859" s="62"/>
      <c r="O859" s="62"/>
      <c r="P859" s="62"/>
      <c r="Q859" s="62"/>
      <c r="R859" s="62"/>
      <c r="S859" s="62"/>
      <c r="T859" s="62"/>
      <c r="U859" s="62"/>
      <c r="V859" s="62"/>
      <c r="W859" s="62"/>
      <c r="X859" s="62"/>
      <c r="Y859" s="62"/>
      <c r="Z859" s="62"/>
      <c r="AA859" s="62"/>
      <c r="AB859" s="62"/>
      <c r="AC859" s="62"/>
      <c r="AD859" s="62"/>
      <c r="AE859" s="62"/>
      <c r="AF859" s="62"/>
      <c r="AG859" s="62"/>
      <c r="AH859" s="62"/>
      <c r="AI859" s="62"/>
      <c r="AJ859" s="62"/>
      <c r="AK859" s="62"/>
      <c r="AL859" s="62"/>
      <c r="AM859" s="62"/>
      <c r="AN859" s="62"/>
      <c r="AO859" s="62"/>
      <c r="AP859" s="62"/>
      <c r="AQ859" s="62"/>
      <c r="AR859" s="62"/>
      <c r="AS859" s="62"/>
      <c r="AT859" s="62"/>
      <c r="AU859" s="62"/>
      <c r="AV859" s="62"/>
      <c r="AW859" s="62"/>
      <c r="AX859" s="62"/>
    </row>
    <row r="860" spans="1:50" ht="14.25" customHeight="1" x14ac:dyDescent="0.3">
      <c r="A860" s="58"/>
      <c r="B860" s="58"/>
      <c r="C860" s="58"/>
      <c r="D860" s="58"/>
      <c r="E860" s="58"/>
      <c r="F860" s="58"/>
      <c r="G860" s="59"/>
      <c r="H860" s="60"/>
      <c r="I860" s="60"/>
      <c r="J860" s="59"/>
      <c r="K860" s="61"/>
      <c r="M860" s="62"/>
      <c r="N860" s="62"/>
      <c r="O860" s="62"/>
      <c r="P860" s="62"/>
      <c r="Q860" s="62"/>
      <c r="R860" s="62"/>
      <c r="S860" s="62"/>
      <c r="T860" s="62"/>
      <c r="U860" s="62"/>
      <c r="V860" s="62"/>
      <c r="W860" s="62"/>
      <c r="X860" s="62"/>
      <c r="Y860" s="62"/>
      <c r="Z860" s="62"/>
      <c r="AA860" s="62"/>
      <c r="AB860" s="62"/>
      <c r="AC860" s="62"/>
      <c r="AD860" s="62"/>
      <c r="AE860" s="62"/>
      <c r="AF860" s="62"/>
      <c r="AG860" s="62"/>
      <c r="AH860" s="62"/>
      <c r="AI860" s="62"/>
      <c r="AJ860" s="62"/>
      <c r="AK860" s="62"/>
      <c r="AL860" s="62"/>
      <c r="AM860" s="62"/>
      <c r="AN860" s="62"/>
      <c r="AO860" s="62"/>
      <c r="AP860" s="62"/>
      <c r="AQ860" s="62"/>
      <c r="AR860" s="62"/>
      <c r="AS860" s="62"/>
      <c r="AT860" s="62"/>
      <c r="AU860" s="62"/>
      <c r="AV860" s="62"/>
      <c r="AW860" s="62"/>
      <c r="AX860" s="62"/>
    </row>
    <row r="861" spans="1:50" ht="14.25" customHeight="1" x14ac:dyDescent="0.3">
      <c r="A861" s="58"/>
      <c r="B861" s="58"/>
      <c r="C861" s="58"/>
      <c r="D861" s="58"/>
      <c r="E861" s="58"/>
      <c r="F861" s="58"/>
      <c r="G861" s="59"/>
      <c r="H861" s="60"/>
      <c r="I861" s="60"/>
      <c r="J861" s="59"/>
      <c r="K861" s="61"/>
      <c r="M861" s="62"/>
      <c r="N861" s="62"/>
      <c r="O861" s="62"/>
      <c r="P861" s="62"/>
      <c r="Q861" s="62"/>
      <c r="R861" s="62"/>
      <c r="S861" s="62"/>
      <c r="T861" s="62"/>
      <c r="U861" s="62"/>
      <c r="V861" s="62"/>
      <c r="W861" s="62"/>
      <c r="X861" s="62"/>
      <c r="Y861" s="62"/>
      <c r="Z861" s="62"/>
      <c r="AA861" s="62"/>
      <c r="AB861" s="62"/>
      <c r="AC861" s="62"/>
      <c r="AD861" s="62"/>
      <c r="AE861" s="62"/>
      <c r="AF861" s="62"/>
      <c r="AG861" s="62"/>
      <c r="AH861" s="62"/>
      <c r="AI861" s="62"/>
      <c r="AJ861" s="62"/>
      <c r="AK861" s="62"/>
      <c r="AL861" s="62"/>
      <c r="AM861" s="62"/>
      <c r="AN861" s="62"/>
      <c r="AO861" s="62"/>
      <c r="AP861" s="62"/>
      <c r="AQ861" s="62"/>
      <c r="AR861" s="62"/>
      <c r="AS861" s="62"/>
      <c r="AT861" s="62"/>
      <c r="AU861" s="62"/>
      <c r="AV861" s="62"/>
      <c r="AW861" s="62"/>
      <c r="AX861" s="62"/>
    </row>
    <row r="862" spans="1:50" ht="14.25" customHeight="1" x14ac:dyDescent="0.3">
      <c r="A862" s="58"/>
      <c r="B862" s="58"/>
      <c r="C862" s="58"/>
      <c r="D862" s="58"/>
      <c r="E862" s="58"/>
      <c r="F862" s="58"/>
      <c r="G862" s="59"/>
      <c r="H862" s="60"/>
      <c r="I862" s="60"/>
      <c r="J862" s="59"/>
      <c r="K862" s="61"/>
      <c r="M862" s="62"/>
      <c r="N862" s="62"/>
      <c r="O862" s="62"/>
      <c r="P862" s="62"/>
      <c r="Q862" s="62"/>
      <c r="R862" s="62"/>
      <c r="S862" s="62"/>
      <c r="T862" s="62"/>
      <c r="U862" s="62"/>
      <c r="V862" s="62"/>
      <c r="W862" s="62"/>
      <c r="X862" s="62"/>
      <c r="Y862" s="62"/>
      <c r="Z862" s="62"/>
      <c r="AA862" s="62"/>
      <c r="AB862" s="62"/>
      <c r="AC862" s="62"/>
      <c r="AD862" s="62"/>
      <c r="AE862" s="62"/>
      <c r="AF862" s="62"/>
      <c r="AG862" s="62"/>
      <c r="AH862" s="62"/>
      <c r="AI862" s="62"/>
      <c r="AJ862" s="62"/>
      <c r="AK862" s="62"/>
      <c r="AL862" s="62"/>
      <c r="AM862" s="62"/>
      <c r="AN862" s="62"/>
      <c r="AO862" s="62"/>
      <c r="AP862" s="62"/>
      <c r="AQ862" s="62"/>
      <c r="AR862" s="62"/>
      <c r="AS862" s="62"/>
      <c r="AT862" s="62"/>
      <c r="AU862" s="62"/>
      <c r="AV862" s="62"/>
      <c r="AW862" s="62"/>
      <c r="AX862" s="62"/>
    </row>
    <row r="863" spans="1:50" ht="14.25" customHeight="1" x14ac:dyDescent="0.3">
      <c r="A863" s="58"/>
      <c r="B863" s="58"/>
      <c r="C863" s="58"/>
      <c r="D863" s="58"/>
      <c r="E863" s="58"/>
      <c r="F863" s="58"/>
      <c r="G863" s="59"/>
      <c r="H863" s="60"/>
      <c r="I863" s="60"/>
      <c r="J863" s="59"/>
      <c r="K863" s="61"/>
      <c r="M863" s="62"/>
      <c r="N863" s="62"/>
      <c r="O863" s="62"/>
      <c r="P863" s="62"/>
      <c r="Q863" s="62"/>
      <c r="R863" s="62"/>
      <c r="S863" s="62"/>
      <c r="T863" s="62"/>
      <c r="U863" s="62"/>
      <c r="V863" s="62"/>
      <c r="W863" s="62"/>
      <c r="X863" s="62"/>
      <c r="Y863" s="62"/>
      <c r="Z863" s="62"/>
      <c r="AA863" s="62"/>
      <c r="AB863" s="62"/>
      <c r="AC863" s="62"/>
      <c r="AD863" s="62"/>
      <c r="AE863" s="62"/>
      <c r="AF863" s="62"/>
      <c r="AG863" s="62"/>
      <c r="AH863" s="62"/>
      <c r="AI863" s="62"/>
      <c r="AJ863" s="62"/>
      <c r="AK863" s="62"/>
      <c r="AL863" s="62"/>
      <c r="AM863" s="62"/>
      <c r="AN863" s="62"/>
      <c r="AO863" s="62"/>
      <c r="AP863" s="62"/>
      <c r="AQ863" s="62"/>
      <c r="AR863" s="62"/>
      <c r="AS863" s="62"/>
      <c r="AT863" s="62"/>
      <c r="AU863" s="62"/>
      <c r="AV863" s="62"/>
      <c r="AW863" s="62"/>
      <c r="AX863" s="62"/>
    </row>
    <row r="864" spans="1:50" ht="14.25" customHeight="1" x14ac:dyDescent="0.3">
      <c r="A864" s="58"/>
      <c r="B864" s="58"/>
      <c r="C864" s="58"/>
      <c r="D864" s="58"/>
      <c r="E864" s="58"/>
      <c r="F864" s="58"/>
      <c r="G864" s="59"/>
      <c r="H864" s="60"/>
      <c r="I864" s="60"/>
      <c r="J864" s="59"/>
      <c r="K864" s="61"/>
      <c r="M864" s="62"/>
      <c r="N864" s="62"/>
      <c r="O864" s="62"/>
      <c r="P864" s="62"/>
      <c r="Q864" s="62"/>
      <c r="R864" s="62"/>
      <c r="S864" s="62"/>
      <c r="T864" s="62"/>
      <c r="U864" s="62"/>
      <c r="V864" s="62"/>
      <c r="W864" s="62"/>
      <c r="X864" s="62"/>
      <c r="Y864" s="62"/>
      <c r="Z864" s="62"/>
      <c r="AA864" s="62"/>
      <c r="AB864" s="62"/>
      <c r="AC864" s="62"/>
      <c r="AD864" s="62"/>
      <c r="AE864" s="62"/>
      <c r="AF864" s="62"/>
      <c r="AG864" s="62"/>
      <c r="AH864" s="62"/>
      <c r="AI864" s="62"/>
      <c r="AJ864" s="62"/>
      <c r="AK864" s="62"/>
      <c r="AL864" s="62"/>
      <c r="AM864" s="62"/>
      <c r="AN864" s="62"/>
      <c r="AO864" s="62"/>
      <c r="AP864" s="62"/>
      <c r="AQ864" s="62"/>
      <c r="AR864" s="62"/>
      <c r="AS864" s="62"/>
      <c r="AT864" s="62"/>
      <c r="AU864" s="62"/>
      <c r="AV864" s="62"/>
      <c r="AW864" s="62"/>
      <c r="AX864" s="62"/>
    </row>
    <row r="865" spans="1:50" ht="14.25" customHeight="1" x14ac:dyDescent="0.3">
      <c r="A865" s="58"/>
      <c r="B865" s="58"/>
      <c r="C865" s="58"/>
      <c r="D865" s="58"/>
      <c r="E865" s="58"/>
      <c r="F865" s="58"/>
      <c r="G865" s="59"/>
      <c r="H865" s="60"/>
      <c r="I865" s="60"/>
      <c r="J865" s="59"/>
      <c r="K865" s="61"/>
      <c r="M865" s="62"/>
      <c r="N865" s="62"/>
      <c r="O865" s="62"/>
      <c r="P865" s="62"/>
      <c r="Q865" s="62"/>
      <c r="R865" s="62"/>
      <c r="S865" s="62"/>
      <c r="T865" s="62"/>
      <c r="U865" s="62"/>
      <c r="V865" s="62"/>
      <c r="W865" s="62"/>
      <c r="X865" s="62"/>
      <c r="Y865" s="62"/>
      <c r="Z865" s="62"/>
      <c r="AA865" s="62"/>
      <c r="AB865" s="62"/>
      <c r="AC865" s="62"/>
      <c r="AD865" s="62"/>
      <c r="AE865" s="62"/>
      <c r="AF865" s="62"/>
      <c r="AG865" s="62"/>
      <c r="AH865" s="62"/>
      <c r="AI865" s="62"/>
      <c r="AJ865" s="62"/>
      <c r="AK865" s="62"/>
      <c r="AL865" s="62"/>
      <c r="AM865" s="62"/>
      <c r="AN865" s="62"/>
      <c r="AO865" s="62"/>
      <c r="AP865" s="62"/>
      <c r="AQ865" s="62"/>
      <c r="AR865" s="62"/>
      <c r="AS865" s="62"/>
      <c r="AT865" s="62"/>
      <c r="AU865" s="62"/>
      <c r="AV865" s="62"/>
      <c r="AW865" s="62"/>
      <c r="AX865" s="62"/>
    </row>
    <row r="866" spans="1:50" ht="14.25" customHeight="1" x14ac:dyDescent="0.3">
      <c r="A866" s="58"/>
      <c r="B866" s="58"/>
      <c r="C866" s="58"/>
      <c r="D866" s="58"/>
      <c r="E866" s="58"/>
      <c r="F866" s="58"/>
      <c r="G866" s="59"/>
      <c r="H866" s="60"/>
      <c r="I866" s="60"/>
      <c r="J866" s="59"/>
      <c r="K866" s="61"/>
      <c r="M866" s="62"/>
      <c r="N866" s="62"/>
      <c r="O866" s="62"/>
      <c r="P866" s="62"/>
      <c r="Q866" s="62"/>
      <c r="R866" s="62"/>
      <c r="S866" s="62"/>
      <c r="T866" s="62"/>
      <c r="U866" s="62"/>
      <c r="V866" s="62"/>
      <c r="W866" s="62"/>
      <c r="X866" s="62"/>
      <c r="Y866" s="62"/>
      <c r="Z866" s="62"/>
      <c r="AA866" s="62"/>
      <c r="AB866" s="62"/>
      <c r="AC866" s="62"/>
      <c r="AD866" s="62"/>
      <c r="AE866" s="62"/>
      <c r="AF866" s="62"/>
      <c r="AG866" s="62"/>
      <c r="AH866" s="62"/>
      <c r="AI866" s="62"/>
      <c r="AJ866" s="62"/>
      <c r="AK866" s="62"/>
      <c r="AL866" s="62"/>
      <c r="AM866" s="62"/>
      <c r="AN866" s="62"/>
      <c r="AO866" s="62"/>
      <c r="AP866" s="62"/>
      <c r="AQ866" s="62"/>
      <c r="AR866" s="62"/>
      <c r="AS866" s="62"/>
      <c r="AT866" s="62"/>
      <c r="AU866" s="62"/>
      <c r="AV866" s="62"/>
      <c r="AW866" s="62"/>
      <c r="AX866" s="62"/>
    </row>
    <row r="867" spans="1:50" ht="14.25" customHeight="1" x14ac:dyDescent="0.3">
      <c r="A867" s="58"/>
      <c r="B867" s="58"/>
      <c r="C867" s="58"/>
      <c r="D867" s="58"/>
      <c r="E867" s="58"/>
      <c r="F867" s="58"/>
      <c r="G867" s="59"/>
      <c r="H867" s="60"/>
      <c r="I867" s="60"/>
      <c r="J867" s="59"/>
      <c r="K867" s="61"/>
      <c r="M867" s="62"/>
      <c r="N867" s="62"/>
      <c r="O867" s="62"/>
      <c r="P867" s="62"/>
      <c r="Q867" s="62"/>
      <c r="R867" s="62"/>
      <c r="S867" s="62"/>
      <c r="T867" s="62"/>
      <c r="U867" s="62"/>
      <c r="V867" s="62"/>
      <c r="W867" s="62"/>
      <c r="X867" s="62"/>
      <c r="Y867" s="62"/>
      <c r="Z867" s="62"/>
      <c r="AA867" s="62"/>
      <c r="AB867" s="62"/>
      <c r="AC867" s="62"/>
      <c r="AD867" s="62"/>
      <c r="AE867" s="62"/>
      <c r="AF867" s="62"/>
      <c r="AG867" s="62"/>
      <c r="AH867" s="62"/>
      <c r="AI867" s="62"/>
      <c r="AJ867" s="62"/>
      <c r="AK867" s="62"/>
      <c r="AL867" s="62"/>
      <c r="AM867" s="62"/>
      <c r="AN867" s="62"/>
      <c r="AO867" s="62"/>
      <c r="AP867" s="62"/>
      <c r="AQ867" s="62"/>
      <c r="AR867" s="62"/>
      <c r="AS867" s="62"/>
      <c r="AT867" s="62"/>
      <c r="AU867" s="62"/>
      <c r="AV867" s="62"/>
      <c r="AW867" s="62"/>
      <c r="AX867" s="62"/>
    </row>
    <row r="868" spans="1:50" ht="14.25" customHeight="1" x14ac:dyDescent="0.3">
      <c r="A868" s="58"/>
      <c r="B868" s="58"/>
      <c r="C868" s="58"/>
      <c r="D868" s="58"/>
      <c r="E868" s="58"/>
      <c r="F868" s="58"/>
      <c r="G868" s="59"/>
      <c r="H868" s="60"/>
      <c r="I868" s="60"/>
      <c r="J868" s="59"/>
      <c r="K868" s="61"/>
      <c r="M868" s="62"/>
      <c r="N868" s="62"/>
      <c r="O868" s="62"/>
      <c r="P868" s="62"/>
      <c r="Q868" s="62"/>
      <c r="R868" s="62"/>
      <c r="S868" s="62"/>
      <c r="T868" s="62"/>
      <c r="U868" s="62"/>
      <c r="V868" s="62"/>
      <c r="W868" s="62"/>
      <c r="X868" s="62"/>
      <c r="Y868" s="62"/>
      <c r="Z868" s="62"/>
      <c r="AA868" s="62"/>
      <c r="AB868" s="62"/>
      <c r="AC868" s="62"/>
      <c r="AD868" s="62"/>
      <c r="AE868" s="62"/>
      <c r="AF868" s="62"/>
      <c r="AG868" s="62"/>
      <c r="AH868" s="62"/>
      <c r="AI868" s="62"/>
      <c r="AJ868" s="62"/>
      <c r="AK868" s="62"/>
      <c r="AL868" s="62"/>
      <c r="AM868" s="62"/>
      <c r="AN868" s="62"/>
      <c r="AO868" s="62"/>
      <c r="AP868" s="62"/>
      <c r="AQ868" s="62"/>
      <c r="AR868" s="62"/>
      <c r="AS868" s="62"/>
      <c r="AT868" s="62"/>
      <c r="AU868" s="62"/>
      <c r="AV868" s="62"/>
      <c r="AW868" s="62"/>
      <c r="AX868" s="62"/>
    </row>
    <row r="869" spans="1:50" ht="14.25" customHeight="1" x14ac:dyDescent="0.3">
      <c r="A869" s="58"/>
      <c r="B869" s="58"/>
      <c r="C869" s="58"/>
      <c r="D869" s="58"/>
      <c r="E869" s="58"/>
      <c r="F869" s="58"/>
      <c r="G869" s="59"/>
      <c r="H869" s="60"/>
      <c r="I869" s="60"/>
      <c r="J869" s="59"/>
      <c r="K869" s="61"/>
      <c r="M869" s="62"/>
      <c r="N869" s="62"/>
      <c r="O869" s="62"/>
      <c r="P869" s="62"/>
      <c r="Q869" s="62"/>
      <c r="R869" s="62"/>
      <c r="S869" s="62"/>
      <c r="T869" s="62"/>
      <c r="U869" s="62"/>
      <c r="V869" s="62"/>
      <c r="W869" s="62"/>
      <c r="X869" s="62"/>
      <c r="Y869" s="62"/>
      <c r="Z869" s="62"/>
      <c r="AA869" s="62"/>
      <c r="AB869" s="62"/>
      <c r="AC869" s="62"/>
      <c r="AD869" s="62"/>
      <c r="AE869" s="62"/>
      <c r="AF869" s="62"/>
      <c r="AG869" s="62"/>
      <c r="AH869" s="62"/>
      <c r="AI869" s="62"/>
      <c r="AJ869" s="62"/>
      <c r="AK869" s="62"/>
      <c r="AL869" s="62"/>
      <c r="AM869" s="62"/>
      <c r="AN869" s="62"/>
      <c r="AO869" s="62"/>
      <c r="AP869" s="62"/>
      <c r="AQ869" s="62"/>
      <c r="AR869" s="62"/>
      <c r="AS869" s="62"/>
      <c r="AT869" s="62"/>
      <c r="AU869" s="62"/>
      <c r="AV869" s="62"/>
      <c r="AW869" s="62"/>
      <c r="AX869" s="62"/>
    </row>
    <row r="870" spans="1:50" ht="14.25" customHeight="1" x14ac:dyDescent="0.3">
      <c r="A870" s="58"/>
      <c r="B870" s="58"/>
      <c r="C870" s="58"/>
      <c r="D870" s="58"/>
      <c r="E870" s="58"/>
      <c r="F870" s="58"/>
      <c r="G870" s="59"/>
      <c r="H870" s="60"/>
      <c r="I870" s="60"/>
      <c r="J870" s="59"/>
      <c r="K870" s="61"/>
      <c r="M870" s="62"/>
      <c r="N870" s="62"/>
      <c r="O870" s="62"/>
      <c r="P870" s="62"/>
      <c r="Q870" s="62"/>
      <c r="R870" s="62"/>
      <c r="S870" s="62"/>
      <c r="T870" s="62"/>
      <c r="U870" s="62"/>
      <c r="V870" s="62"/>
      <c r="W870" s="62"/>
      <c r="X870" s="62"/>
      <c r="Y870" s="62"/>
      <c r="Z870" s="62"/>
      <c r="AA870" s="62"/>
      <c r="AB870" s="62"/>
      <c r="AC870" s="62"/>
      <c r="AD870" s="62"/>
      <c r="AE870" s="62"/>
      <c r="AF870" s="62"/>
      <c r="AG870" s="62"/>
      <c r="AH870" s="62"/>
      <c r="AI870" s="62"/>
      <c r="AJ870" s="62"/>
      <c r="AK870" s="62"/>
      <c r="AL870" s="62"/>
      <c r="AM870" s="62"/>
      <c r="AN870" s="62"/>
      <c r="AO870" s="62"/>
      <c r="AP870" s="62"/>
      <c r="AQ870" s="62"/>
      <c r="AR870" s="62"/>
      <c r="AS870" s="62"/>
      <c r="AT870" s="62"/>
      <c r="AU870" s="62"/>
      <c r="AV870" s="62"/>
      <c r="AW870" s="62"/>
      <c r="AX870" s="62"/>
    </row>
    <row r="871" spans="1:50" ht="14.25" customHeight="1" x14ac:dyDescent="0.3">
      <c r="A871" s="58"/>
      <c r="B871" s="58"/>
      <c r="C871" s="58"/>
      <c r="D871" s="58"/>
      <c r="E871" s="58"/>
      <c r="F871" s="58"/>
      <c r="G871" s="59"/>
      <c r="H871" s="60"/>
      <c r="I871" s="60"/>
      <c r="J871" s="59"/>
      <c r="K871" s="61"/>
      <c r="M871" s="62"/>
      <c r="N871" s="62"/>
      <c r="O871" s="62"/>
      <c r="P871" s="62"/>
      <c r="Q871" s="62"/>
      <c r="R871" s="62"/>
      <c r="S871" s="62"/>
      <c r="T871" s="62"/>
      <c r="U871" s="62"/>
      <c r="V871" s="62"/>
      <c r="W871" s="62"/>
      <c r="X871" s="62"/>
      <c r="Y871" s="62"/>
      <c r="Z871" s="62"/>
      <c r="AA871" s="62"/>
      <c r="AB871" s="62"/>
      <c r="AC871" s="62"/>
      <c r="AD871" s="62"/>
      <c r="AE871" s="62"/>
      <c r="AF871" s="62"/>
      <c r="AG871" s="62"/>
      <c r="AH871" s="62"/>
      <c r="AI871" s="62"/>
      <c r="AJ871" s="62"/>
      <c r="AK871" s="62"/>
      <c r="AL871" s="62"/>
      <c r="AM871" s="62"/>
      <c r="AN871" s="62"/>
      <c r="AO871" s="62"/>
      <c r="AP871" s="62"/>
      <c r="AQ871" s="62"/>
      <c r="AR871" s="62"/>
      <c r="AS871" s="62"/>
      <c r="AT871" s="62"/>
      <c r="AU871" s="62"/>
      <c r="AV871" s="62"/>
      <c r="AW871" s="62"/>
      <c r="AX871" s="62"/>
    </row>
    <row r="872" spans="1:50" ht="14.25" customHeight="1" x14ac:dyDescent="0.3">
      <c r="A872" s="58"/>
      <c r="B872" s="58"/>
      <c r="C872" s="58"/>
      <c r="D872" s="58"/>
      <c r="E872" s="58"/>
      <c r="F872" s="58"/>
      <c r="G872" s="59"/>
      <c r="H872" s="60"/>
      <c r="I872" s="60"/>
      <c r="J872" s="59"/>
      <c r="K872" s="61"/>
      <c r="M872" s="62"/>
      <c r="N872" s="62"/>
      <c r="O872" s="62"/>
      <c r="P872" s="62"/>
      <c r="Q872" s="62"/>
      <c r="R872" s="62"/>
      <c r="S872" s="62"/>
      <c r="T872" s="62"/>
      <c r="U872" s="62"/>
      <c r="V872" s="62"/>
      <c r="W872" s="62"/>
      <c r="X872" s="62"/>
      <c r="Y872" s="62"/>
      <c r="Z872" s="62"/>
      <c r="AA872" s="62"/>
      <c r="AB872" s="62"/>
      <c r="AC872" s="62"/>
      <c r="AD872" s="62"/>
      <c r="AE872" s="62"/>
      <c r="AF872" s="62"/>
      <c r="AG872" s="62"/>
      <c r="AH872" s="62"/>
      <c r="AI872" s="62"/>
      <c r="AJ872" s="62"/>
      <c r="AK872" s="62"/>
      <c r="AL872" s="62"/>
      <c r="AM872" s="62"/>
      <c r="AN872" s="62"/>
      <c r="AO872" s="62"/>
      <c r="AP872" s="62"/>
      <c r="AQ872" s="62"/>
      <c r="AR872" s="62"/>
      <c r="AS872" s="62"/>
      <c r="AT872" s="62"/>
      <c r="AU872" s="62"/>
      <c r="AV872" s="62"/>
      <c r="AW872" s="62"/>
      <c r="AX872" s="62"/>
    </row>
    <row r="873" spans="1:50" ht="14.25" customHeight="1" x14ac:dyDescent="0.3">
      <c r="A873" s="58"/>
      <c r="B873" s="58"/>
      <c r="C873" s="58"/>
      <c r="D873" s="58"/>
      <c r="E873" s="58"/>
      <c r="F873" s="58"/>
      <c r="G873" s="59"/>
      <c r="H873" s="60"/>
      <c r="I873" s="60"/>
      <c r="J873" s="59"/>
      <c r="K873" s="61"/>
      <c r="M873" s="62"/>
      <c r="N873" s="62"/>
      <c r="O873" s="62"/>
      <c r="P873" s="62"/>
      <c r="Q873" s="62"/>
      <c r="R873" s="62"/>
      <c r="S873" s="62"/>
      <c r="T873" s="62"/>
      <c r="U873" s="62"/>
      <c r="V873" s="62"/>
      <c r="W873" s="62"/>
      <c r="X873" s="62"/>
      <c r="Y873" s="62"/>
      <c r="Z873" s="62"/>
      <c r="AA873" s="62"/>
      <c r="AB873" s="62"/>
      <c r="AC873" s="62"/>
      <c r="AD873" s="62"/>
      <c r="AE873" s="62"/>
      <c r="AF873" s="62"/>
      <c r="AG873" s="62"/>
      <c r="AH873" s="62"/>
      <c r="AI873" s="62"/>
      <c r="AJ873" s="62"/>
      <c r="AK873" s="62"/>
      <c r="AL873" s="62"/>
      <c r="AM873" s="62"/>
      <c r="AN873" s="62"/>
      <c r="AO873" s="62"/>
      <c r="AP873" s="62"/>
      <c r="AQ873" s="62"/>
      <c r="AR873" s="62"/>
      <c r="AS873" s="62"/>
      <c r="AT873" s="62"/>
      <c r="AU873" s="62"/>
      <c r="AV873" s="62"/>
      <c r="AW873" s="62"/>
      <c r="AX873" s="62"/>
    </row>
    <row r="874" spans="1:50" ht="14.25" customHeight="1" x14ac:dyDescent="0.3">
      <c r="A874" s="58"/>
      <c r="B874" s="58"/>
      <c r="C874" s="58"/>
      <c r="D874" s="58"/>
      <c r="E874" s="58"/>
      <c r="F874" s="58"/>
      <c r="G874" s="59"/>
      <c r="H874" s="60"/>
      <c r="I874" s="60"/>
      <c r="J874" s="59"/>
      <c r="K874" s="61"/>
      <c r="M874" s="62"/>
      <c r="N874" s="62"/>
      <c r="O874" s="62"/>
      <c r="P874" s="62"/>
      <c r="Q874" s="62"/>
      <c r="R874" s="62"/>
      <c r="S874" s="62"/>
      <c r="T874" s="62"/>
      <c r="U874" s="62"/>
      <c r="V874" s="62"/>
      <c r="W874" s="62"/>
      <c r="X874" s="62"/>
      <c r="Y874" s="62"/>
      <c r="Z874" s="62"/>
      <c r="AA874" s="62"/>
      <c r="AB874" s="62"/>
      <c r="AC874" s="62"/>
      <c r="AD874" s="62"/>
      <c r="AE874" s="62"/>
      <c r="AF874" s="62"/>
      <c r="AG874" s="62"/>
      <c r="AH874" s="62"/>
      <c r="AI874" s="62"/>
      <c r="AJ874" s="62"/>
      <c r="AK874" s="62"/>
      <c r="AL874" s="62"/>
      <c r="AM874" s="62"/>
      <c r="AN874" s="62"/>
      <c r="AO874" s="62"/>
      <c r="AP874" s="62"/>
      <c r="AQ874" s="62"/>
      <c r="AR874" s="62"/>
      <c r="AS874" s="62"/>
      <c r="AT874" s="62"/>
      <c r="AU874" s="62"/>
      <c r="AV874" s="62"/>
      <c r="AW874" s="62"/>
      <c r="AX874" s="62"/>
    </row>
    <row r="875" spans="1:50" ht="14.25" customHeight="1" x14ac:dyDescent="0.3">
      <c r="A875" s="58"/>
      <c r="B875" s="58"/>
      <c r="C875" s="58"/>
      <c r="D875" s="58"/>
      <c r="E875" s="58"/>
      <c r="F875" s="58"/>
      <c r="G875" s="59"/>
      <c r="H875" s="60"/>
      <c r="I875" s="60"/>
      <c r="J875" s="59"/>
      <c r="K875" s="61"/>
      <c r="M875" s="62"/>
      <c r="N875" s="62"/>
      <c r="O875" s="62"/>
      <c r="P875" s="62"/>
      <c r="Q875" s="62"/>
      <c r="R875" s="62"/>
      <c r="S875" s="62"/>
      <c r="T875" s="62"/>
      <c r="U875" s="62"/>
      <c r="V875" s="62"/>
      <c r="W875" s="62"/>
      <c r="X875" s="62"/>
      <c r="Y875" s="62"/>
      <c r="Z875" s="62"/>
      <c r="AA875" s="62"/>
      <c r="AB875" s="62"/>
      <c r="AC875" s="62"/>
      <c r="AD875" s="62"/>
      <c r="AE875" s="62"/>
      <c r="AF875" s="62"/>
      <c r="AG875" s="62"/>
      <c r="AH875" s="62"/>
      <c r="AI875" s="62"/>
      <c r="AJ875" s="62"/>
      <c r="AK875" s="62"/>
      <c r="AL875" s="62"/>
      <c r="AM875" s="62"/>
      <c r="AN875" s="62"/>
      <c r="AO875" s="62"/>
      <c r="AP875" s="62"/>
      <c r="AQ875" s="62"/>
      <c r="AR875" s="62"/>
      <c r="AS875" s="62"/>
      <c r="AT875" s="62"/>
      <c r="AU875" s="62"/>
      <c r="AV875" s="62"/>
      <c r="AW875" s="62"/>
      <c r="AX875" s="62"/>
    </row>
    <row r="876" spans="1:50" ht="14.25" customHeight="1" x14ac:dyDescent="0.3">
      <c r="A876" s="58"/>
      <c r="B876" s="58"/>
      <c r="C876" s="58"/>
      <c r="D876" s="58"/>
      <c r="E876" s="58"/>
      <c r="F876" s="58"/>
      <c r="G876" s="59"/>
      <c r="H876" s="60"/>
      <c r="I876" s="60"/>
      <c r="J876" s="59"/>
      <c r="K876" s="61"/>
      <c r="M876" s="62"/>
      <c r="N876" s="62"/>
      <c r="O876" s="62"/>
      <c r="P876" s="62"/>
      <c r="Q876" s="62"/>
      <c r="R876" s="62"/>
      <c r="S876" s="62"/>
      <c r="T876" s="62"/>
      <c r="U876" s="62"/>
      <c r="V876" s="62"/>
      <c r="W876" s="62"/>
      <c r="X876" s="62"/>
      <c r="Y876" s="62"/>
      <c r="Z876" s="62"/>
      <c r="AA876" s="62"/>
      <c r="AB876" s="62"/>
      <c r="AC876" s="62"/>
      <c r="AD876" s="62"/>
      <c r="AE876" s="62"/>
      <c r="AF876" s="62"/>
      <c r="AG876" s="62"/>
      <c r="AH876" s="62"/>
      <c r="AI876" s="62"/>
      <c r="AJ876" s="62"/>
      <c r="AK876" s="62"/>
      <c r="AL876" s="62"/>
      <c r="AM876" s="62"/>
      <c r="AN876" s="62"/>
      <c r="AO876" s="62"/>
      <c r="AP876" s="62"/>
      <c r="AQ876" s="62"/>
      <c r="AR876" s="62"/>
      <c r="AS876" s="62"/>
      <c r="AT876" s="62"/>
      <c r="AU876" s="62"/>
      <c r="AV876" s="62"/>
      <c r="AW876" s="62"/>
      <c r="AX876" s="62"/>
    </row>
    <row r="877" spans="1:50" ht="14.25" customHeight="1" x14ac:dyDescent="0.3">
      <c r="A877" s="58"/>
      <c r="B877" s="58"/>
      <c r="C877" s="58"/>
      <c r="D877" s="58"/>
      <c r="E877" s="58"/>
      <c r="F877" s="58"/>
      <c r="G877" s="59"/>
      <c r="H877" s="60"/>
      <c r="I877" s="60"/>
      <c r="J877" s="59"/>
      <c r="K877" s="61"/>
      <c r="M877" s="62"/>
      <c r="N877" s="62"/>
      <c r="O877" s="62"/>
      <c r="P877" s="62"/>
      <c r="Q877" s="62"/>
      <c r="R877" s="62"/>
      <c r="S877" s="62"/>
      <c r="T877" s="62"/>
      <c r="U877" s="62"/>
      <c r="V877" s="62"/>
      <c r="W877" s="62"/>
      <c r="X877" s="62"/>
      <c r="Y877" s="62"/>
      <c r="Z877" s="62"/>
      <c r="AA877" s="62"/>
      <c r="AB877" s="62"/>
      <c r="AC877" s="62"/>
      <c r="AD877" s="62"/>
      <c r="AE877" s="62"/>
      <c r="AF877" s="62"/>
      <c r="AG877" s="62"/>
      <c r="AH877" s="62"/>
      <c r="AI877" s="62"/>
      <c r="AJ877" s="62"/>
      <c r="AK877" s="62"/>
      <c r="AL877" s="62"/>
      <c r="AM877" s="62"/>
      <c r="AN877" s="62"/>
      <c r="AO877" s="62"/>
      <c r="AP877" s="62"/>
      <c r="AQ877" s="62"/>
      <c r="AR877" s="62"/>
      <c r="AS877" s="62"/>
      <c r="AT877" s="62"/>
      <c r="AU877" s="62"/>
      <c r="AV877" s="62"/>
      <c r="AW877" s="62"/>
      <c r="AX877" s="62"/>
    </row>
    <row r="878" spans="1:50" ht="14.25" customHeight="1" x14ac:dyDescent="0.3">
      <c r="A878" s="58"/>
      <c r="B878" s="58"/>
      <c r="C878" s="58"/>
      <c r="D878" s="58"/>
      <c r="E878" s="58"/>
      <c r="F878" s="58"/>
      <c r="G878" s="59"/>
      <c r="H878" s="60"/>
      <c r="I878" s="60"/>
      <c r="J878" s="59"/>
      <c r="K878" s="61"/>
      <c r="M878" s="62"/>
      <c r="N878" s="62"/>
      <c r="O878" s="62"/>
      <c r="P878" s="62"/>
      <c r="Q878" s="62"/>
      <c r="R878" s="62"/>
      <c r="S878" s="62"/>
      <c r="T878" s="62"/>
      <c r="U878" s="62"/>
      <c r="V878" s="62"/>
      <c r="W878" s="62"/>
      <c r="X878" s="62"/>
      <c r="Y878" s="62"/>
      <c r="Z878" s="62"/>
      <c r="AA878" s="62"/>
      <c r="AB878" s="62"/>
      <c r="AC878" s="62"/>
      <c r="AD878" s="62"/>
      <c r="AE878" s="62"/>
      <c r="AF878" s="62"/>
      <c r="AG878" s="62"/>
      <c r="AH878" s="62"/>
      <c r="AI878" s="62"/>
      <c r="AJ878" s="62"/>
      <c r="AK878" s="62"/>
      <c r="AL878" s="62"/>
      <c r="AM878" s="62"/>
      <c r="AN878" s="62"/>
      <c r="AO878" s="62"/>
      <c r="AP878" s="62"/>
      <c r="AQ878" s="62"/>
      <c r="AR878" s="62"/>
      <c r="AS878" s="62"/>
      <c r="AT878" s="62"/>
      <c r="AU878" s="62"/>
      <c r="AV878" s="62"/>
      <c r="AW878" s="62"/>
      <c r="AX878" s="62"/>
    </row>
    <row r="879" spans="1:50" ht="14.25" customHeight="1" x14ac:dyDescent="0.3">
      <c r="A879" s="58"/>
      <c r="B879" s="58"/>
      <c r="C879" s="58"/>
      <c r="D879" s="58"/>
      <c r="E879" s="58"/>
      <c r="F879" s="58"/>
      <c r="G879" s="59"/>
      <c r="H879" s="60"/>
      <c r="I879" s="60"/>
      <c r="J879" s="59"/>
      <c r="K879" s="61"/>
      <c r="M879" s="62"/>
      <c r="N879" s="62"/>
      <c r="O879" s="62"/>
      <c r="P879" s="62"/>
      <c r="Q879" s="62"/>
      <c r="R879" s="62"/>
      <c r="S879" s="62"/>
      <c r="T879" s="62"/>
      <c r="U879" s="62"/>
      <c r="V879" s="62"/>
      <c r="W879" s="62"/>
      <c r="X879" s="62"/>
      <c r="Y879" s="62"/>
      <c r="Z879" s="62"/>
      <c r="AA879" s="62"/>
      <c r="AB879" s="62"/>
      <c r="AC879" s="62"/>
      <c r="AD879" s="62"/>
      <c r="AE879" s="62"/>
      <c r="AF879" s="62"/>
      <c r="AG879" s="62"/>
      <c r="AH879" s="62"/>
      <c r="AI879" s="62"/>
      <c r="AJ879" s="62"/>
      <c r="AK879" s="62"/>
      <c r="AL879" s="62"/>
      <c r="AM879" s="62"/>
      <c r="AN879" s="62"/>
      <c r="AO879" s="62"/>
      <c r="AP879" s="62"/>
      <c r="AQ879" s="62"/>
      <c r="AR879" s="62"/>
      <c r="AS879" s="62"/>
      <c r="AT879" s="62"/>
      <c r="AU879" s="62"/>
      <c r="AV879" s="62"/>
      <c r="AW879" s="62"/>
      <c r="AX879" s="62"/>
    </row>
    <row r="880" spans="1:50" ht="14.25" customHeight="1" x14ac:dyDescent="0.3">
      <c r="A880" s="58"/>
      <c r="B880" s="58"/>
      <c r="C880" s="58"/>
      <c r="D880" s="58"/>
      <c r="E880" s="58"/>
      <c r="F880" s="58"/>
      <c r="G880" s="59"/>
      <c r="H880" s="60"/>
      <c r="I880" s="60"/>
      <c r="J880" s="59"/>
      <c r="K880" s="61"/>
      <c r="M880" s="62"/>
      <c r="N880" s="62"/>
      <c r="O880" s="62"/>
      <c r="P880" s="62"/>
      <c r="Q880" s="62"/>
      <c r="R880" s="62"/>
      <c r="S880" s="62"/>
      <c r="T880" s="62"/>
      <c r="U880" s="62"/>
      <c r="V880" s="62"/>
      <c r="W880" s="62"/>
      <c r="X880" s="62"/>
      <c r="Y880" s="62"/>
      <c r="Z880" s="62"/>
      <c r="AA880" s="62"/>
      <c r="AB880" s="62"/>
      <c r="AC880" s="62"/>
      <c r="AD880" s="62"/>
      <c r="AE880" s="62"/>
      <c r="AF880" s="62"/>
      <c r="AG880" s="62"/>
      <c r="AH880" s="62"/>
      <c r="AI880" s="62"/>
      <c r="AJ880" s="62"/>
      <c r="AK880" s="62"/>
      <c r="AL880" s="62"/>
      <c r="AM880" s="62"/>
      <c r="AN880" s="62"/>
      <c r="AO880" s="62"/>
      <c r="AP880" s="62"/>
      <c r="AQ880" s="62"/>
      <c r="AR880" s="62"/>
      <c r="AS880" s="62"/>
      <c r="AT880" s="62"/>
      <c r="AU880" s="62"/>
      <c r="AV880" s="62"/>
      <c r="AW880" s="62"/>
      <c r="AX880" s="62"/>
    </row>
    <row r="881" spans="1:50" ht="14.25" customHeight="1" x14ac:dyDescent="0.3">
      <c r="A881" s="58"/>
      <c r="B881" s="58"/>
      <c r="C881" s="58"/>
      <c r="D881" s="58"/>
      <c r="E881" s="58"/>
      <c r="F881" s="58"/>
      <c r="G881" s="59"/>
      <c r="H881" s="60"/>
      <c r="I881" s="60"/>
      <c r="J881" s="59"/>
      <c r="K881" s="61"/>
      <c r="M881" s="62"/>
      <c r="N881" s="62"/>
      <c r="O881" s="62"/>
      <c r="P881" s="62"/>
      <c r="Q881" s="62"/>
      <c r="R881" s="62"/>
      <c r="S881" s="62"/>
      <c r="T881" s="62"/>
      <c r="U881" s="62"/>
      <c r="V881" s="62"/>
      <c r="W881" s="62"/>
      <c r="X881" s="62"/>
      <c r="Y881" s="62"/>
      <c r="Z881" s="62"/>
      <c r="AA881" s="62"/>
      <c r="AB881" s="62"/>
      <c r="AC881" s="62"/>
      <c r="AD881" s="62"/>
      <c r="AE881" s="62"/>
      <c r="AF881" s="62"/>
      <c r="AG881" s="62"/>
      <c r="AH881" s="62"/>
      <c r="AI881" s="62"/>
      <c r="AJ881" s="62"/>
      <c r="AK881" s="62"/>
      <c r="AL881" s="62"/>
      <c r="AM881" s="62"/>
      <c r="AN881" s="62"/>
      <c r="AO881" s="62"/>
      <c r="AP881" s="62"/>
      <c r="AQ881" s="62"/>
      <c r="AR881" s="62"/>
      <c r="AS881" s="62"/>
      <c r="AT881" s="62"/>
      <c r="AU881" s="62"/>
      <c r="AV881" s="62"/>
      <c r="AW881" s="62"/>
      <c r="AX881" s="62"/>
    </row>
    <row r="882" spans="1:50" ht="14.25" customHeight="1" x14ac:dyDescent="0.3">
      <c r="A882" s="58"/>
      <c r="B882" s="58"/>
      <c r="C882" s="58"/>
      <c r="D882" s="58"/>
      <c r="E882" s="58"/>
      <c r="F882" s="58"/>
      <c r="G882" s="59"/>
      <c r="H882" s="60"/>
      <c r="I882" s="60"/>
      <c r="J882" s="59"/>
      <c r="K882" s="61"/>
      <c r="M882" s="62"/>
      <c r="N882" s="62"/>
      <c r="O882" s="62"/>
      <c r="P882" s="62"/>
      <c r="Q882" s="62"/>
      <c r="R882" s="62"/>
      <c r="S882" s="62"/>
      <c r="T882" s="62"/>
      <c r="U882" s="62"/>
      <c r="V882" s="62"/>
      <c r="W882" s="62"/>
      <c r="X882" s="62"/>
      <c r="Y882" s="62"/>
      <c r="Z882" s="62"/>
      <c r="AA882" s="62"/>
      <c r="AB882" s="62"/>
      <c r="AC882" s="62"/>
      <c r="AD882" s="62"/>
      <c r="AE882" s="62"/>
      <c r="AF882" s="62"/>
      <c r="AG882" s="62"/>
      <c r="AH882" s="62"/>
      <c r="AI882" s="62"/>
      <c r="AJ882" s="62"/>
      <c r="AK882" s="62"/>
      <c r="AL882" s="62"/>
      <c r="AM882" s="62"/>
      <c r="AN882" s="62"/>
      <c r="AO882" s="62"/>
      <c r="AP882" s="62"/>
      <c r="AQ882" s="62"/>
      <c r="AR882" s="62"/>
      <c r="AS882" s="62"/>
      <c r="AT882" s="62"/>
      <c r="AU882" s="62"/>
      <c r="AV882" s="62"/>
      <c r="AW882" s="62"/>
      <c r="AX882" s="62"/>
    </row>
    <row r="883" spans="1:50" ht="14.25" customHeight="1" x14ac:dyDescent="0.3">
      <c r="A883" s="58"/>
      <c r="B883" s="58"/>
      <c r="C883" s="58"/>
      <c r="D883" s="58"/>
      <c r="E883" s="58"/>
      <c r="F883" s="58"/>
      <c r="G883" s="59"/>
      <c r="H883" s="60"/>
      <c r="I883" s="60"/>
      <c r="J883" s="59"/>
      <c r="K883" s="61"/>
      <c r="M883" s="62"/>
      <c r="N883" s="62"/>
      <c r="O883" s="62"/>
      <c r="P883" s="62"/>
      <c r="Q883" s="62"/>
      <c r="R883" s="62"/>
      <c r="S883" s="62"/>
      <c r="T883" s="62"/>
      <c r="U883" s="62"/>
      <c r="V883" s="62"/>
      <c r="W883" s="62"/>
      <c r="X883" s="62"/>
      <c r="Y883" s="62"/>
      <c r="Z883" s="62"/>
      <c r="AA883" s="62"/>
      <c r="AB883" s="62"/>
      <c r="AC883" s="62"/>
      <c r="AD883" s="62"/>
      <c r="AE883" s="62"/>
      <c r="AF883" s="62"/>
      <c r="AG883" s="62"/>
      <c r="AH883" s="62"/>
      <c r="AI883" s="62"/>
      <c r="AJ883" s="62"/>
      <c r="AK883" s="62"/>
      <c r="AL883" s="62"/>
      <c r="AM883" s="62"/>
      <c r="AN883" s="62"/>
      <c r="AO883" s="62"/>
      <c r="AP883" s="62"/>
      <c r="AQ883" s="62"/>
      <c r="AR883" s="62"/>
      <c r="AS883" s="62"/>
      <c r="AT883" s="62"/>
      <c r="AU883" s="62"/>
      <c r="AV883" s="62"/>
      <c r="AW883" s="62"/>
      <c r="AX883" s="62"/>
    </row>
    <row r="884" spans="1:50" ht="14.25" customHeight="1" x14ac:dyDescent="0.3">
      <c r="A884" s="58"/>
      <c r="B884" s="58"/>
      <c r="C884" s="58"/>
      <c r="D884" s="58"/>
      <c r="E884" s="58"/>
      <c r="F884" s="58"/>
      <c r="G884" s="59"/>
      <c r="H884" s="60"/>
      <c r="I884" s="60"/>
      <c r="J884" s="59"/>
      <c r="K884" s="61"/>
      <c r="M884" s="62"/>
      <c r="N884" s="62"/>
      <c r="O884" s="62"/>
      <c r="P884" s="62"/>
      <c r="Q884" s="62"/>
      <c r="R884" s="62"/>
      <c r="S884" s="62"/>
      <c r="T884" s="62"/>
      <c r="U884" s="62"/>
      <c r="V884" s="62"/>
      <c r="W884" s="62"/>
      <c r="X884" s="62"/>
      <c r="Y884" s="62"/>
      <c r="Z884" s="62"/>
      <c r="AA884" s="62"/>
      <c r="AB884" s="62"/>
      <c r="AC884" s="62"/>
      <c r="AD884" s="62"/>
      <c r="AE884" s="62"/>
      <c r="AF884" s="62"/>
      <c r="AG884" s="62"/>
      <c r="AH884" s="62"/>
      <c r="AI884" s="62"/>
      <c r="AJ884" s="62"/>
      <c r="AK884" s="62"/>
      <c r="AL884" s="62"/>
      <c r="AM884" s="62"/>
      <c r="AN884" s="62"/>
      <c r="AO884" s="62"/>
      <c r="AP884" s="62"/>
      <c r="AQ884" s="62"/>
      <c r="AR884" s="62"/>
      <c r="AS884" s="62"/>
      <c r="AT884" s="62"/>
      <c r="AU884" s="62"/>
      <c r="AV884" s="62"/>
      <c r="AW884" s="62"/>
      <c r="AX884" s="62"/>
    </row>
    <row r="885" spans="1:50" ht="14.25" customHeight="1" x14ac:dyDescent="0.3">
      <c r="A885" s="58"/>
      <c r="B885" s="58"/>
      <c r="C885" s="58"/>
      <c r="D885" s="58"/>
      <c r="E885" s="58"/>
      <c r="F885" s="58"/>
      <c r="G885" s="59"/>
      <c r="H885" s="60"/>
      <c r="I885" s="60"/>
      <c r="J885" s="59"/>
      <c r="K885" s="61"/>
      <c r="M885" s="62"/>
      <c r="N885" s="62"/>
      <c r="O885" s="62"/>
      <c r="P885" s="62"/>
      <c r="Q885" s="62"/>
      <c r="R885" s="62"/>
      <c r="S885" s="62"/>
      <c r="T885" s="62"/>
      <c r="U885" s="62"/>
      <c r="V885" s="62"/>
      <c r="W885" s="62"/>
      <c r="X885" s="62"/>
      <c r="Y885" s="62"/>
      <c r="Z885" s="62"/>
      <c r="AA885" s="62"/>
      <c r="AB885" s="62"/>
      <c r="AC885" s="62"/>
      <c r="AD885" s="62"/>
      <c r="AE885" s="62"/>
      <c r="AF885" s="62"/>
      <c r="AG885" s="62"/>
      <c r="AH885" s="62"/>
      <c r="AI885" s="62"/>
      <c r="AJ885" s="62"/>
      <c r="AK885" s="62"/>
      <c r="AL885" s="62"/>
      <c r="AM885" s="62"/>
      <c r="AN885" s="62"/>
      <c r="AO885" s="62"/>
      <c r="AP885" s="62"/>
      <c r="AQ885" s="62"/>
      <c r="AR885" s="62"/>
      <c r="AS885" s="62"/>
      <c r="AT885" s="62"/>
      <c r="AU885" s="62"/>
      <c r="AV885" s="62"/>
      <c r="AW885" s="62"/>
      <c r="AX885" s="62"/>
    </row>
    <row r="886" spans="1:50" ht="14.25" customHeight="1" x14ac:dyDescent="0.3">
      <c r="A886" s="58"/>
      <c r="B886" s="58"/>
      <c r="C886" s="58"/>
      <c r="D886" s="58"/>
      <c r="E886" s="58"/>
      <c r="F886" s="58"/>
      <c r="G886" s="59"/>
      <c r="H886" s="60"/>
      <c r="I886" s="60"/>
      <c r="J886" s="59"/>
      <c r="K886" s="61"/>
      <c r="M886" s="62"/>
      <c r="N886" s="62"/>
      <c r="O886" s="62"/>
      <c r="P886" s="62"/>
      <c r="Q886" s="62"/>
      <c r="R886" s="62"/>
      <c r="S886" s="62"/>
      <c r="T886" s="62"/>
      <c r="U886" s="62"/>
      <c r="V886" s="62"/>
      <c r="W886" s="62"/>
      <c r="X886" s="62"/>
      <c r="Y886" s="62"/>
      <c r="Z886" s="62"/>
      <c r="AA886" s="62"/>
      <c r="AB886" s="62"/>
      <c r="AC886" s="62"/>
      <c r="AD886" s="62"/>
      <c r="AE886" s="62"/>
      <c r="AF886" s="62"/>
      <c r="AG886" s="62"/>
      <c r="AH886" s="62"/>
      <c r="AI886" s="62"/>
      <c r="AJ886" s="62"/>
      <c r="AK886" s="62"/>
      <c r="AL886" s="62"/>
      <c r="AM886" s="62"/>
      <c r="AN886" s="62"/>
      <c r="AO886" s="62"/>
      <c r="AP886" s="62"/>
      <c r="AQ886" s="62"/>
      <c r="AR886" s="62"/>
      <c r="AS886" s="62"/>
      <c r="AT886" s="62"/>
      <c r="AU886" s="62"/>
      <c r="AV886" s="62"/>
      <c r="AW886" s="62"/>
      <c r="AX886" s="62"/>
    </row>
    <row r="887" spans="1:50" ht="14.25" customHeight="1" x14ac:dyDescent="0.3">
      <c r="A887" s="58"/>
      <c r="B887" s="58"/>
      <c r="C887" s="58"/>
      <c r="D887" s="58"/>
      <c r="E887" s="58"/>
      <c r="F887" s="58"/>
      <c r="G887" s="59"/>
      <c r="H887" s="60"/>
      <c r="I887" s="60"/>
      <c r="J887" s="59"/>
      <c r="K887" s="61"/>
      <c r="M887" s="62"/>
      <c r="N887" s="62"/>
      <c r="O887" s="62"/>
      <c r="P887" s="62"/>
      <c r="Q887" s="62"/>
      <c r="R887" s="62"/>
      <c r="S887" s="62"/>
      <c r="T887" s="62"/>
      <c r="U887" s="62"/>
      <c r="V887" s="62"/>
      <c r="W887" s="62"/>
      <c r="X887" s="62"/>
      <c r="Y887" s="62"/>
      <c r="Z887" s="62"/>
      <c r="AA887" s="62"/>
      <c r="AB887" s="62"/>
      <c r="AC887" s="62"/>
      <c r="AD887" s="62"/>
      <c r="AE887" s="62"/>
      <c r="AF887" s="62"/>
      <c r="AG887" s="62"/>
      <c r="AH887" s="62"/>
      <c r="AI887" s="62"/>
      <c r="AJ887" s="62"/>
      <c r="AK887" s="62"/>
      <c r="AL887" s="62"/>
      <c r="AM887" s="62"/>
      <c r="AN887" s="62"/>
      <c r="AO887" s="62"/>
      <c r="AP887" s="62"/>
      <c r="AQ887" s="62"/>
      <c r="AR887" s="62"/>
      <c r="AS887" s="62"/>
      <c r="AT887" s="62"/>
      <c r="AU887" s="62"/>
      <c r="AV887" s="62"/>
      <c r="AW887" s="62"/>
      <c r="AX887" s="62"/>
    </row>
    <row r="888" spans="1:50" ht="14.25" customHeight="1" x14ac:dyDescent="0.3">
      <c r="A888" s="58"/>
      <c r="B888" s="58"/>
      <c r="C888" s="58"/>
      <c r="D888" s="58"/>
      <c r="E888" s="58"/>
      <c r="F888" s="58"/>
      <c r="G888" s="59"/>
      <c r="H888" s="60"/>
      <c r="I888" s="60"/>
      <c r="J888" s="59"/>
      <c r="K888" s="61"/>
      <c r="M888" s="62"/>
      <c r="N888" s="62"/>
      <c r="O888" s="62"/>
      <c r="P888" s="62"/>
      <c r="Q888" s="62"/>
      <c r="R888" s="62"/>
      <c r="S888" s="62"/>
      <c r="T888" s="62"/>
      <c r="U888" s="62"/>
      <c r="V888" s="62"/>
      <c r="W888" s="62"/>
      <c r="X888" s="62"/>
      <c r="Y888" s="62"/>
      <c r="Z888" s="62"/>
      <c r="AA888" s="62"/>
      <c r="AB888" s="62"/>
      <c r="AC888" s="62"/>
      <c r="AD888" s="62"/>
      <c r="AE888" s="62"/>
      <c r="AF888" s="62"/>
      <c r="AG888" s="62"/>
      <c r="AH888" s="62"/>
      <c r="AI888" s="62"/>
      <c r="AJ888" s="62"/>
      <c r="AK888" s="62"/>
      <c r="AL888" s="62"/>
      <c r="AM888" s="62"/>
      <c r="AN888" s="62"/>
      <c r="AO888" s="62"/>
      <c r="AP888" s="62"/>
      <c r="AQ888" s="62"/>
      <c r="AR888" s="62"/>
      <c r="AS888" s="62"/>
      <c r="AT888" s="62"/>
      <c r="AU888" s="62"/>
      <c r="AV888" s="62"/>
      <c r="AW888" s="62"/>
      <c r="AX888" s="62"/>
    </row>
    <row r="889" spans="1:50" ht="14.25" customHeight="1" x14ac:dyDescent="0.3">
      <c r="A889" s="58"/>
      <c r="B889" s="58"/>
      <c r="C889" s="58"/>
      <c r="D889" s="58"/>
      <c r="E889" s="58"/>
      <c r="F889" s="58"/>
      <c r="G889" s="59"/>
      <c r="H889" s="60"/>
      <c r="I889" s="60"/>
      <c r="J889" s="59"/>
      <c r="K889" s="61"/>
      <c r="M889" s="62"/>
      <c r="N889" s="62"/>
      <c r="O889" s="62"/>
      <c r="P889" s="62"/>
      <c r="Q889" s="62"/>
      <c r="R889" s="62"/>
      <c r="S889" s="62"/>
      <c r="T889" s="62"/>
      <c r="U889" s="62"/>
      <c r="V889" s="62"/>
      <c r="W889" s="62"/>
      <c r="X889" s="62"/>
      <c r="Y889" s="62"/>
      <c r="Z889" s="62"/>
      <c r="AA889" s="62"/>
      <c r="AB889" s="62"/>
      <c r="AC889" s="62"/>
      <c r="AD889" s="62"/>
      <c r="AE889" s="62"/>
      <c r="AF889" s="62"/>
      <c r="AG889" s="62"/>
      <c r="AH889" s="62"/>
      <c r="AI889" s="62"/>
      <c r="AJ889" s="62"/>
      <c r="AK889" s="62"/>
      <c r="AL889" s="62"/>
      <c r="AM889" s="62"/>
      <c r="AN889" s="62"/>
      <c r="AO889" s="62"/>
      <c r="AP889" s="62"/>
      <c r="AQ889" s="62"/>
      <c r="AR889" s="62"/>
      <c r="AS889" s="62"/>
      <c r="AT889" s="62"/>
      <c r="AU889" s="62"/>
      <c r="AV889" s="62"/>
      <c r="AW889" s="62"/>
      <c r="AX889" s="62"/>
    </row>
    <row r="890" spans="1:50" ht="14.25" customHeight="1" x14ac:dyDescent="0.3">
      <c r="A890" s="58"/>
      <c r="B890" s="58"/>
      <c r="C890" s="58"/>
      <c r="D890" s="58"/>
      <c r="E890" s="58"/>
      <c r="F890" s="58"/>
      <c r="G890" s="59"/>
      <c r="H890" s="60"/>
      <c r="I890" s="60"/>
      <c r="J890" s="59"/>
      <c r="K890" s="61"/>
      <c r="M890" s="62"/>
      <c r="N890" s="62"/>
      <c r="O890" s="62"/>
      <c r="P890" s="62"/>
      <c r="Q890" s="62"/>
      <c r="R890" s="62"/>
      <c r="S890" s="62"/>
      <c r="T890" s="62"/>
      <c r="U890" s="62"/>
      <c r="V890" s="62"/>
      <c r="W890" s="62"/>
      <c r="X890" s="62"/>
      <c r="Y890" s="62"/>
      <c r="Z890" s="62"/>
      <c r="AA890" s="62"/>
      <c r="AB890" s="62"/>
      <c r="AC890" s="62"/>
      <c r="AD890" s="62"/>
      <c r="AE890" s="62"/>
      <c r="AF890" s="62"/>
      <c r="AG890" s="62"/>
      <c r="AH890" s="62"/>
      <c r="AI890" s="62"/>
      <c r="AJ890" s="62"/>
      <c r="AK890" s="62"/>
      <c r="AL890" s="62"/>
      <c r="AM890" s="62"/>
      <c r="AN890" s="62"/>
      <c r="AO890" s="62"/>
      <c r="AP890" s="62"/>
      <c r="AQ890" s="62"/>
      <c r="AR890" s="62"/>
      <c r="AS890" s="62"/>
      <c r="AT890" s="62"/>
      <c r="AU890" s="62"/>
      <c r="AV890" s="62"/>
      <c r="AW890" s="62"/>
      <c r="AX890" s="62"/>
    </row>
    <row r="891" spans="1:50" ht="14.25" customHeight="1" x14ac:dyDescent="0.3">
      <c r="A891" s="58"/>
      <c r="B891" s="58"/>
      <c r="C891" s="58"/>
      <c r="D891" s="58"/>
      <c r="E891" s="58"/>
      <c r="F891" s="58"/>
      <c r="G891" s="59"/>
      <c r="H891" s="60"/>
      <c r="I891" s="60"/>
      <c r="J891" s="59"/>
      <c r="K891" s="61"/>
      <c r="M891" s="62"/>
      <c r="N891" s="62"/>
      <c r="O891" s="62"/>
      <c r="P891" s="62"/>
      <c r="Q891" s="62"/>
      <c r="R891" s="62"/>
      <c r="S891" s="62"/>
      <c r="T891" s="62"/>
      <c r="U891" s="62"/>
      <c r="V891" s="62"/>
      <c r="W891" s="62"/>
      <c r="X891" s="62"/>
      <c r="Y891" s="62"/>
      <c r="Z891" s="62"/>
      <c r="AA891" s="62"/>
      <c r="AB891" s="62"/>
      <c r="AC891" s="62"/>
      <c r="AD891" s="62"/>
      <c r="AE891" s="62"/>
      <c r="AF891" s="62"/>
      <c r="AG891" s="62"/>
      <c r="AH891" s="62"/>
      <c r="AI891" s="62"/>
      <c r="AJ891" s="62"/>
      <c r="AK891" s="62"/>
      <c r="AL891" s="62"/>
      <c r="AM891" s="62"/>
      <c r="AN891" s="62"/>
      <c r="AO891" s="62"/>
      <c r="AP891" s="62"/>
      <c r="AQ891" s="62"/>
      <c r="AR891" s="62"/>
      <c r="AS891" s="62"/>
      <c r="AT891" s="62"/>
      <c r="AU891" s="62"/>
      <c r="AV891" s="62"/>
      <c r="AW891" s="62"/>
      <c r="AX891" s="62"/>
    </row>
    <row r="892" spans="1:50" ht="14.25" customHeight="1" x14ac:dyDescent="0.3">
      <c r="A892" s="58"/>
      <c r="B892" s="58"/>
      <c r="C892" s="58"/>
      <c r="D892" s="58"/>
      <c r="E892" s="58"/>
      <c r="F892" s="58"/>
      <c r="G892" s="59"/>
      <c r="H892" s="60"/>
      <c r="I892" s="60"/>
      <c r="J892" s="59"/>
      <c r="K892" s="61"/>
      <c r="M892" s="62"/>
      <c r="N892" s="62"/>
      <c r="O892" s="62"/>
      <c r="P892" s="62"/>
      <c r="Q892" s="62"/>
      <c r="R892" s="62"/>
      <c r="S892" s="62"/>
      <c r="T892" s="62"/>
      <c r="U892" s="62"/>
      <c r="V892" s="62"/>
      <c r="W892" s="62"/>
      <c r="X892" s="62"/>
      <c r="Y892" s="62"/>
      <c r="Z892" s="62"/>
      <c r="AA892" s="62"/>
      <c r="AB892" s="62"/>
      <c r="AC892" s="62"/>
      <c r="AD892" s="62"/>
      <c r="AE892" s="62"/>
      <c r="AF892" s="62"/>
      <c r="AG892" s="62"/>
      <c r="AH892" s="62"/>
      <c r="AI892" s="62"/>
      <c r="AJ892" s="62"/>
      <c r="AK892" s="62"/>
      <c r="AL892" s="62"/>
      <c r="AM892" s="62"/>
      <c r="AN892" s="62"/>
      <c r="AO892" s="62"/>
      <c r="AP892" s="62"/>
      <c r="AQ892" s="62"/>
      <c r="AR892" s="62"/>
      <c r="AS892" s="62"/>
      <c r="AT892" s="62"/>
      <c r="AU892" s="62"/>
      <c r="AV892" s="62"/>
      <c r="AW892" s="62"/>
      <c r="AX892" s="62"/>
    </row>
    <row r="893" spans="1:50" ht="14.25" customHeight="1" x14ac:dyDescent="0.3">
      <c r="A893" s="58"/>
      <c r="B893" s="58"/>
      <c r="C893" s="58"/>
      <c r="D893" s="58"/>
      <c r="E893" s="58"/>
      <c r="F893" s="58"/>
      <c r="G893" s="59"/>
      <c r="H893" s="60"/>
      <c r="I893" s="60"/>
      <c r="J893" s="59"/>
      <c r="K893" s="61"/>
      <c r="M893" s="62"/>
      <c r="N893" s="62"/>
      <c r="O893" s="62"/>
      <c r="P893" s="62"/>
      <c r="Q893" s="62"/>
      <c r="R893" s="62"/>
      <c r="S893" s="62"/>
      <c r="T893" s="62"/>
      <c r="U893" s="62"/>
      <c r="V893" s="62"/>
      <c r="W893" s="62"/>
      <c r="X893" s="62"/>
      <c r="Y893" s="62"/>
      <c r="Z893" s="62"/>
      <c r="AA893" s="62"/>
      <c r="AB893" s="62"/>
      <c r="AC893" s="62"/>
      <c r="AD893" s="62"/>
      <c r="AE893" s="62"/>
      <c r="AF893" s="62"/>
      <c r="AG893" s="62"/>
      <c r="AH893" s="62"/>
      <c r="AI893" s="62"/>
      <c r="AJ893" s="62"/>
      <c r="AK893" s="62"/>
      <c r="AL893" s="62"/>
      <c r="AM893" s="62"/>
      <c r="AN893" s="62"/>
      <c r="AO893" s="62"/>
      <c r="AP893" s="62"/>
      <c r="AQ893" s="62"/>
      <c r="AR893" s="62"/>
      <c r="AS893" s="62"/>
      <c r="AT893" s="62"/>
      <c r="AU893" s="62"/>
      <c r="AV893" s="62"/>
      <c r="AW893" s="62"/>
      <c r="AX893" s="62"/>
    </row>
    <row r="894" spans="1:50" ht="14.25" customHeight="1" x14ac:dyDescent="0.3">
      <c r="A894" s="58"/>
      <c r="B894" s="58"/>
      <c r="C894" s="58"/>
      <c r="D894" s="58"/>
      <c r="E894" s="58"/>
      <c r="F894" s="58"/>
      <c r="G894" s="59"/>
      <c r="H894" s="60"/>
      <c r="I894" s="60"/>
      <c r="J894" s="59"/>
      <c r="K894" s="61"/>
      <c r="M894" s="62"/>
      <c r="N894" s="62"/>
      <c r="O894" s="62"/>
      <c r="P894" s="62"/>
      <c r="Q894" s="62"/>
      <c r="R894" s="62"/>
      <c r="S894" s="62"/>
      <c r="T894" s="62"/>
      <c r="U894" s="62"/>
      <c r="V894" s="62"/>
      <c r="W894" s="62"/>
      <c r="X894" s="62"/>
      <c r="Y894" s="62"/>
      <c r="Z894" s="62"/>
      <c r="AA894" s="62"/>
      <c r="AB894" s="62"/>
      <c r="AC894" s="62"/>
      <c r="AD894" s="62"/>
      <c r="AE894" s="62"/>
      <c r="AF894" s="62"/>
      <c r="AG894" s="62"/>
      <c r="AH894" s="62"/>
      <c r="AI894" s="62"/>
      <c r="AJ894" s="62"/>
      <c r="AK894" s="62"/>
      <c r="AL894" s="62"/>
      <c r="AM894" s="62"/>
      <c r="AN894" s="62"/>
      <c r="AO894" s="62"/>
      <c r="AP894" s="62"/>
      <c r="AQ894" s="62"/>
      <c r="AR894" s="62"/>
      <c r="AS894" s="62"/>
      <c r="AT894" s="62"/>
      <c r="AU894" s="62"/>
      <c r="AV894" s="62"/>
      <c r="AW894" s="62"/>
      <c r="AX894" s="62"/>
    </row>
    <row r="895" spans="1:50" ht="14.25" customHeight="1" x14ac:dyDescent="0.3">
      <c r="A895" s="58"/>
      <c r="B895" s="58"/>
      <c r="C895" s="58"/>
      <c r="D895" s="58"/>
      <c r="E895" s="58"/>
      <c r="F895" s="58"/>
      <c r="G895" s="59"/>
      <c r="H895" s="60"/>
      <c r="I895" s="60"/>
      <c r="J895" s="59"/>
      <c r="K895" s="61"/>
      <c r="M895" s="62"/>
      <c r="N895" s="62"/>
      <c r="O895" s="62"/>
      <c r="P895" s="62"/>
      <c r="Q895" s="62"/>
      <c r="R895" s="62"/>
      <c r="S895" s="62"/>
      <c r="T895" s="62"/>
      <c r="U895" s="62"/>
      <c r="V895" s="62"/>
      <c r="W895" s="62"/>
      <c r="X895" s="62"/>
      <c r="Y895" s="62"/>
      <c r="Z895" s="62"/>
      <c r="AA895" s="62"/>
      <c r="AB895" s="62"/>
      <c r="AC895" s="62"/>
      <c r="AD895" s="62"/>
      <c r="AE895" s="62"/>
      <c r="AF895" s="62"/>
      <c r="AG895" s="62"/>
      <c r="AH895" s="62"/>
      <c r="AI895" s="62"/>
      <c r="AJ895" s="62"/>
      <c r="AK895" s="62"/>
      <c r="AL895" s="62"/>
      <c r="AM895" s="62"/>
      <c r="AN895" s="62"/>
      <c r="AO895" s="62"/>
      <c r="AP895" s="62"/>
      <c r="AQ895" s="62"/>
      <c r="AR895" s="62"/>
      <c r="AS895" s="62"/>
      <c r="AT895" s="62"/>
      <c r="AU895" s="62"/>
      <c r="AV895" s="62"/>
      <c r="AW895" s="62"/>
      <c r="AX895" s="62"/>
    </row>
    <row r="896" spans="1:50" ht="14.25" customHeight="1" x14ac:dyDescent="0.3">
      <c r="A896" s="58"/>
      <c r="B896" s="58"/>
      <c r="C896" s="58"/>
      <c r="D896" s="58"/>
      <c r="E896" s="58"/>
      <c r="F896" s="58"/>
      <c r="G896" s="59"/>
      <c r="H896" s="60"/>
      <c r="I896" s="60"/>
      <c r="J896" s="59"/>
      <c r="K896" s="61"/>
      <c r="M896" s="62"/>
      <c r="N896" s="62"/>
      <c r="O896" s="62"/>
      <c r="P896" s="62"/>
      <c r="Q896" s="62"/>
      <c r="R896" s="62"/>
      <c r="S896" s="62"/>
      <c r="T896" s="62"/>
      <c r="U896" s="62"/>
      <c r="V896" s="62"/>
      <c r="W896" s="62"/>
      <c r="X896" s="62"/>
      <c r="Y896" s="62"/>
      <c r="Z896" s="62"/>
      <c r="AA896" s="62"/>
      <c r="AB896" s="62"/>
      <c r="AC896" s="62"/>
      <c r="AD896" s="62"/>
      <c r="AE896" s="62"/>
      <c r="AF896" s="62"/>
      <c r="AG896" s="62"/>
      <c r="AH896" s="62"/>
      <c r="AI896" s="62"/>
      <c r="AJ896" s="62"/>
      <c r="AK896" s="62"/>
      <c r="AL896" s="62"/>
      <c r="AM896" s="62"/>
      <c r="AN896" s="62"/>
      <c r="AO896" s="62"/>
      <c r="AP896" s="62"/>
      <c r="AQ896" s="62"/>
      <c r="AR896" s="62"/>
      <c r="AS896" s="62"/>
      <c r="AT896" s="62"/>
      <c r="AU896" s="62"/>
      <c r="AV896" s="62"/>
      <c r="AW896" s="62"/>
      <c r="AX896" s="62"/>
    </row>
    <row r="897" spans="1:50" ht="14.25" customHeight="1" x14ac:dyDescent="0.3">
      <c r="A897" s="58"/>
      <c r="B897" s="58"/>
      <c r="C897" s="58"/>
      <c r="D897" s="58"/>
      <c r="E897" s="58"/>
      <c r="F897" s="58"/>
      <c r="G897" s="59"/>
      <c r="H897" s="60"/>
      <c r="I897" s="60"/>
      <c r="J897" s="59"/>
      <c r="K897" s="61"/>
      <c r="M897" s="62"/>
      <c r="N897" s="62"/>
      <c r="O897" s="62"/>
      <c r="P897" s="62"/>
      <c r="Q897" s="62"/>
      <c r="R897" s="62"/>
      <c r="S897" s="62"/>
      <c r="T897" s="62"/>
      <c r="U897" s="62"/>
      <c r="V897" s="62"/>
      <c r="W897" s="62"/>
      <c r="X897" s="62"/>
      <c r="Y897" s="62"/>
      <c r="Z897" s="62"/>
      <c r="AA897" s="62"/>
      <c r="AB897" s="62"/>
      <c r="AC897" s="62"/>
      <c r="AD897" s="62"/>
      <c r="AE897" s="62"/>
      <c r="AF897" s="62"/>
      <c r="AG897" s="62"/>
      <c r="AH897" s="62"/>
      <c r="AI897" s="62"/>
      <c r="AJ897" s="62"/>
      <c r="AK897" s="62"/>
      <c r="AL897" s="62"/>
      <c r="AM897" s="62"/>
      <c r="AN897" s="62"/>
      <c r="AO897" s="62"/>
      <c r="AP897" s="62"/>
      <c r="AQ897" s="62"/>
      <c r="AR897" s="62"/>
      <c r="AS897" s="62"/>
      <c r="AT897" s="62"/>
      <c r="AU897" s="62"/>
      <c r="AV897" s="62"/>
      <c r="AW897" s="62"/>
      <c r="AX897" s="62"/>
    </row>
    <row r="898" spans="1:50" ht="14.25" customHeight="1" x14ac:dyDescent="0.3">
      <c r="A898" s="58"/>
      <c r="B898" s="58"/>
      <c r="C898" s="58"/>
      <c r="D898" s="58"/>
      <c r="E898" s="58"/>
      <c r="F898" s="58"/>
      <c r="G898" s="59"/>
      <c r="H898" s="60"/>
      <c r="I898" s="60"/>
      <c r="J898" s="59"/>
      <c r="K898" s="61"/>
      <c r="M898" s="62"/>
      <c r="N898" s="62"/>
      <c r="O898" s="62"/>
      <c r="P898" s="62"/>
      <c r="Q898" s="62"/>
      <c r="R898" s="62"/>
      <c r="S898" s="62"/>
      <c r="T898" s="62"/>
      <c r="U898" s="62"/>
      <c r="V898" s="62"/>
      <c r="W898" s="62"/>
      <c r="X898" s="62"/>
      <c r="Y898" s="62"/>
      <c r="Z898" s="62"/>
      <c r="AA898" s="62"/>
      <c r="AB898" s="62"/>
      <c r="AC898" s="62"/>
      <c r="AD898" s="62"/>
      <c r="AE898" s="62"/>
      <c r="AF898" s="62"/>
      <c r="AG898" s="62"/>
      <c r="AH898" s="62"/>
      <c r="AI898" s="62"/>
      <c r="AJ898" s="62"/>
      <c r="AK898" s="62"/>
      <c r="AL898" s="62"/>
      <c r="AM898" s="62"/>
      <c r="AN898" s="62"/>
      <c r="AO898" s="62"/>
      <c r="AP898" s="62"/>
      <c r="AQ898" s="62"/>
      <c r="AR898" s="62"/>
      <c r="AS898" s="62"/>
      <c r="AT898" s="62"/>
      <c r="AU898" s="62"/>
      <c r="AV898" s="62"/>
      <c r="AW898" s="62"/>
      <c r="AX898" s="62"/>
    </row>
    <row r="899" spans="1:50" ht="14.25" customHeight="1" x14ac:dyDescent="0.3">
      <c r="A899" s="58"/>
      <c r="B899" s="58"/>
      <c r="C899" s="58"/>
      <c r="D899" s="58"/>
      <c r="E899" s="58"/>
      <c r="F899" s="58"/>
      <c r="G899" s="59"/>
      <c r="H899" s="60"/>
      <c r="I899" s="60"/>
      <c r="J899" s="59"/>
      <c r="K899" s="61"/>
      <c r="M899" s="62"/>
      <c r="N899" s="62"/>
      <c r="O899" s="62"/>
      <c r="P899" s="62"/>
      <c r="Q899" s="62"/>
      <c r="R899" s="62"/>
      <c r="S899" s="62"/>
      <c r="T899" s="62"/>
      <c r="U899" s="62"/>
      <c r="V899" s="62"/>
      <c r="W899" s="62"/>
      <c r="X899" s="62"/>
      <c r="Y899" s="62"/>
      <c r="Z899" s="62"/>
      <c r="AA899" s="62"/>
      <c r="AB899" s="62"/>
      <c r="AC899" s="62"/>
      <c r="AD899" s="62"/>
      <c r="AE899" s="62"/>
      <c r="AF899" s="62"/>
      <c r="AG899" s="62"/>
      <c r="AH899" s="62"/>
      <c r="AI899" s="62"/>
      <c r="AJ899" s="62"/>
      <c r="AK899" s="62"/>
      <c r="AL899" s="62"/>
      <c r="AM899" s="62"/>
      <c r="AN899" s="62"/>
      <c r="AO899" s="62"/>
      <c r="AP899" s="62"/>
      <c r="AQ899" s="62"/>
      <c r="AR899" s="62"/>
      <c r="AS899" s="62"/>
      <c r="AT899" s="62"/>
      <c r="AU899" s="62"/>
      <c r="AV899" s="62"/>
      <c r="AW899" s="62"/>
      <c r="AX899" s="62"/>
    </row>
    <row r="900" spans="1:50" ht="14.25" customHeight="1" x14ac:dyDescent="0.3">
      <c r="A900" s="58"/>
      <c r="B900" s="58"/>
      <c r="C900" s="58"/>
      <c r="D900" s="58"/>
      <c r="E900" s="58"/>
      <c r="F900" s="58"/>
      <c r="G900" s="59"/>
      <c r="H900" s="60"/>
      <c r="I900" s="60"/>
      <c r="J900" s="59"/>
      <c r="K900" s="61"/>
      <c r="M900" s="62"/>
      <c r="N900" s="62"/>
      <c r="O900" s="62"/>
      <c r="P900" s="62"/>
      <c r="Q900" s="62"/>
      <c r="R900" s="62"/>
      <c r="S900" s="62"/>
      <c r="T900" s="62"/>
      <c r="U900" s="62"/>
      <c r="V900" s="62"/>
      <c r="W900" s="62"/>
      <c r="X900" s="62"/>
      <c r="Y900" s="62"/>
      <c r="Z900" s="62"/>
      <c r="AA900" s="62"/>
      <c r="AB900" s="62"/>
      <c r="AC900" s="62"/>
      <c r="AD900" s="62"/>
      <c r="AE900" s="62"/>
      <c r="AF900" s="62"/>
      <c r="AG900" s="62"/>
      <c r="AH900" s="62"/>
      <c r="AI900" s="62"/>
      <c r="AJ900" s="62"/>
      <c r="AK900" s="62"/>
      <c r="AL900" s="62"/>
      <c r="AM900" s="62"/>
      <c r="AN900" s="62"/>
      <c r="AO900" s="62"/>
      <c r="AP900" s="62"/>
      <c r="AQ900" s="62"/>
      <c r="AR900" s="62"/>
      <c r="AS900" s="62"/>
      <c r="AT900" s="62"/>
      <c r="AU900" s="62"/>
      <c r="AV900" s="62"/>
      <c r="AW900" s="62"/>
      <c r="AX900" s="62"/>
    </row>
    <row r="901" spans="1:50" ht="14.25" customHeight="1" x14ac:dyDescent="0.3">
      <c r="A901" s="58"/>
      <c r="B901" s="58"/>
      <c r="C901" s="58"/>
      <c r="D901" s="58"/>
      <c r="E901" s="58"/>
      <c r="F901" s="58"/>
      <c r="G901" s="59"/>
      <c r="H901" s="60"/>
      <c r="I901" s="60"/>
      <c r="J901" s="59"/>
      <c r="K901" s="61"/>
      <c r="M901" s="62"/>
      <c r="N901" s="62"/>
      <c r="O901" s="62"/>
      <c r="P901" s="62"/>
      <c r="Q901" s="62"/>
      <c r="R901" s="62"/>
      <c r="S901" s="62"/>
      <c r="T901" s="62"/>
      <c r="U901" s="62"/>
      <c r="V901" s="62"/>
      <c r="W901" s="62"/>
      <c r="X901" s="62"/>
      <c r="Y901" s="62"/>
      <c r="Z901" s="62"/>
      <c r="AA901" s="62"/>
      <c r="AB901" s="62"/>
      <c r="AC901" s="62"/>
      <c r="AD901" s="62"/>
      <c r="AE901" s="62"/>
      <c r="AF901" s="62"/>
      <c r="AG901" s="62"/>
      <c r="AH901" s="62"/>
      <c r="AI901" s="62"/>
      <c r="AJ901" s="62"/>
      <c r="AK901" s="62"/>
      <c r="AL901" s="62"/>
      <c r="AM901" s="62"/>
      <c r="AN901" s="62"/>
      <c r="AO901" s="62"/>
      <c r="AP901" s="62"/>
      <c r="AQ901" s="62"/>
      <c r="AR901" s="62"/>
      <c r="AS901" s="62"/>
      <c r="AT901" s="62"/>
      <c r="AU901" s="62"/>
      <c r="AV901" s="62"/>
      <c r="AW901" s="62"/>
      <c r="AX901" s="62"/>
    </row>
    <row r="902" spans="1:50" ht="14.25" customHeight="1" x14ac:dyDescent="0.3">
      <c r="A902" s="58"/>
      <c r="B902" s="58"/>
      <c r="C902" s="58"/>
      <c r="D902" s="58"/>
      <c r="E902" s="58"/>
      <c r="F902" s="58"/>
      <c r="G902" s="59"/>
      <c r="H902" s="60"/>
      <c r="I902" s="60"/>
      <c r="J902" s="59"/>
      <c r="K902" s="61"/>
      <c r="M902" s="62"/>
      <c r="N902" s="62"/>
      <c r="O902" s="62"/>
      <c r="P902" s="62"/>
      <c r="Q902" s="62"/>
      <c r="R902" s="62"/>
      <c r="S902" s="62"/>
      <c r="T902" s="62"/>
      <c r="U902" s="62"/>
      <c r="V902" s="62"/>
      <c r="W902" s="62"/>
      <c r="X902" s="62"/>
      <c r="Y902" s="62"/>
      <c r="Z902" s="62"/>
      <c r="AA902" s="62"/>
      <c r="AB902" s="62"/>
      <c r="AC902" s="62"/>
      <c r="AD902" s="62"/>
      <c r="AE902" s="62"/>
      <c r="AF902" s="62"/>
      <c r="AG902" s="62"/>
      <c r="AH902" s="62"/>
      <c r="AI902" s="62"/>
      <c r="AJ902" s="62"/>
      <c r="AK902" s="62"/>
      <c r="AL902" s="62"/>
      <c r="AM902" s="62"/>
      <c r="AN902" s="62"/>
      <c r="AO902" s="62"/>
      <c r="AP902" s="62"/>
      <c r="AQ902" s="62"/>
      <c r="AR902" s="62"/>
      <c r="AS902" s="62"/>
      <c r="AT902" s="62"/>
      <c r="AU902" s="62"/>
      <c r="AV902" s="62"/>
      <c r="AW902" s="62"/>
      <c r="AX902" s="62"/>
    </row>
    <row r="903" spans="1:50" ht="14.25" customHeight="1" x14ac:dyDescent="0.3">
      <c r="A903" s="58"/>
      <c r="B903" s="58"/>
      <c r="C903" s="58"/>
      <c r="D903" s="58"/>
      <c r="E903" s="58"/>
      <c r="F903" s="58"/>
      <c r="G903" s="59"/>
      <c r="H903" s="60"/>
      <c r="I903" s="60"/>
      <c r="J903" s="59"/>
      <c r="K903" s="61"/>
      <c r="M903" s="62"/>
      <c r="N903" s="62"/>
      <c r="O903" s="62"/>
      <c r="P903" s="62"/>
      <c r="Q903" s="62"/>
      <c r="R903" s="62"/>
      <c r="S903" s="62"/>
      <c r="T903" s="62"/>
      <c r="U903" s="62"/>
      <c r="V903" s="62"/>
      <c r="W903" s="62"/>
      <c r="X903" s="62"/>
      <c r="Y903" s="62"/>
      <c r="Z903" s="62"/>
      <c r="AA903" s="62"/>
      <c r="AB903" s="62"/>
      <c r="AC903" s="62"/>
      <c r="AD903" s="62"/>
      <c r="AE903" s="62"/>
      <c r="AF903" s="62"/>
      <c r="AG903" s="62"/>
      <c r="AH903" s="62"/>
      <c r="AI903" s="62"/>
      <c r="AJ903" s="62"/>
      <c r="AK903" s="62"/>
      <c r="AL903" s="62"/>
      <c r="AM903" s="62"/>
      <c r="AN903" s="62"/>
      <c r="AO903" s="62"/>
      <c r="AP903" s="62"/>
      <c r="AQ903" s="62"/>
      <c r="AR903" s="62"/>
      <c r="AS903" s="62"/>
      <c r="AT903" s="62"/>
      <c r="AU903" s="62"/>
      <c r="AV903" s="62"/>
      <c r="AW903" s="62"/>
      <c r="AX903" s="62"/>
    </row>
    <row r="904" spans="1:50" ht="14.25" customHeight="1" x14ac:dyDescent="0.3">
      <c r="A904" s="58"/>
      <c r="B904" s="58"/>
      <c r="C904" s="58"/>
      <c r="D904" s="58"/>
      <c r="E904" s="58"/>
      <c r="F904" s="58"/>
      <c r="G904" s="59"/>
      <c r="H904" s="60"/>
      <c r="I904" s="60"/>
      <c r="J904" s="59"/>
      <c r="K904" s="61"/>
      <c r="M904" s="62"/>
      <c r="N904" s="62"/>
      <c r="O904" s="62"/>
      <c r="P904" s="62"/>
      <c r="Q904" s="62"/>
      <c r="R904" s="62"/>
      <c r="S904" s="62"/>
      <c r="T904" s="62"/>
      <c r="U904" s="62"/>
      <c r="V904" s="62"/>
      <c r="W904" s="62"/>
      <c r="X904" s="62"/>
      <c r="Y904" s="62"/>
      <c r="Z904" s="62"/>
      <c r="AA904" s="62"/>
      <c r="AB904" s="62"/>
      <c r="AC904" s="62"/>
      <c r="AD904" s="62"/>
      <c r="AE904" s="62"/>
      <c r="AF904" s="62"/>
      <c r="AG904" s="62"/>
      <c r="AH904" s="62"/>
      <c r="AI904" s="62"/>
      <c r="AJ904" s="62"/>
      <c r="AK904" s="62"/>
      <c r="AL904" s="62"/>
      <c r="AM904" s="62"/>
      <c r="AN904" s="62"/>
      <c r="AO904" s="62"/>
      <c r="AP904" s="62"/>
      <c r="AQ904" s="62"/>
      <c r="AR904" s="62"/>
      <c r="AS904" s="62"/>
      <c r="AT904" s="62"/>
      <c r="AU904" s="62"/>
      <c r="AV904" s="62"/>
      <c r="AW904" s="62"/>
      <c r="AX904" s="62"/>
    </row>
    <row r="905" spans="1:50" ht="14.25" customHeight="1" x14ac:dyDescent="0.3">
      <c r="A905" s="58"/>
      <c r="B905" s="58"/>
      <c r="C905" s="58"/>
      <c r="D905" s="58"/>
      <c r="E905" s="58"/>
      <c r="F905" s="58"/>
      <c r="G905" s="59"/>
      <c r="H905" s="60"/>
      <c r="I905" s="60"/>
      <c r="J905" s="59"/>
      <c r="K905" s="61"/>
      <c r="M905" s="62"/>
      <c r="N905" s="62"/>
      <c r="O905" s="62"/>
      <c r="P905" s="62"/>
      <c r="Q905" s="62"/>
      <c r="R905" s="62"/>
      <c r="S905" s="62"/>
      <c r="T905" s="62"/>
      <c r="U905" s="62"/>
      <c r="V905" s="62"/>
      <c r="W905" s="62"/>
      <c r="X905" s="62"/>
      <c r="Y905" s="62"/>
      <c r="Z905" s="62"/>
      <c r="AA905" s="62"/>
      <c r="AB905" s="62"/>
      <c r="AC905" s="62"/>
      <c r="AD905" s="62"/>
      <c r="AE905" s="62"/>
      <c r="AF905" s="62"/>
      <c r="AG905" s="62"/>
      <c r="AH905" s="62"/>
      <c r="AI905" s="62"/>
      <c r="AJ905" s="62"/>
      <c r="AK905" s="62"/>
      <c r="AL905" s="62"/>
      <c r="AM905" s="62"/>
      <c r="AN905" s="62"/>
      <c r="AO905" s="62"/>
      <c r="AP905" s="62"/>
      <c r="AQ905" s="62"/>
      <c r="AR905" s="62"/>
      <c r="AS905" s="62"/>
      <c r="AT905" s="62"/>
      <c r="AU905" s="62"/>
      <c r="AV905" s="62"/>
      <c r="AW905" s="62"/>
      <c r="AX905" s="62"/>
    </row>
    <row r="906" spans="1:50" ht="14.25" customHeight="1" x14ac:dyDescent="0.3">
      <c r="A906" s="58"/>
      <c r="B906" s="58"/>
      <c r="C906" s="58"/>
      <c r="D906" s="58"/>
      <c r="E906" s="58"/>
      <c r="F906" s="58"/>
      <c r="G906" s="59"/>
      <c r="H906" s="60"/>
      <c r="I906" s="60"/>
      <c r="J906" s="59"/>
      <c r="K906" s="61"/>
      <c r="M906" s="62"/>
      <c r="N906" s="62"/>
      <c r="O906" s="62"/>
      <c r="P906" s="62"/>
      <c r="Q906" s="62"/>
      <c r="R906" s="62"/>
      <c r="S906" s="62"/>
      <c r="T906" s="62"/>
      <c r="U906" s="62"/>
      <c r="V906" s="62"/>
      <c r="W906" s="62"/>
      <c r="X906" s="62"/>
      <c r="Y906" s="62"/>
      <c r="Z906" s="62"/>
      <c r="AA906" s="62"/>
      <c r="AB906" s="62"/>
      <c r="AC906" s="62"/>
      <c r="AD906" s="62"/>
      <c r="AE906" s="62"/>
      <c r="AF906" s="62"/>
      <c r="AG906" s="62"/>
      <c r="AH906" s="62"/>
      <c r="AI906" s="62"/>
      <c r="AJ906" s="62"/>
      <c r="AK906" s="62"/>
      <c r="AL906" s="62"/>
      <c r="AM906" s="62"/>
      <c r="AN906" s="62"/>
      <c r="AO906" s="62"/>
      <c r="AP906" s="62"/>
      <c r="AQ906" s="62"/>
      <c r="AR906" s="62"/>
      <c r="AS906" s="62"/>
      <c r="AT906" s="62"/>
      <c r="AU906" s="62"/>
      <c r="AV906" s="62"/>
      <c r="AW906" s="62"/>
      <c r="AX906" s="62"/>
    </row>
    <row r="907" spans="1:50" ht="14.25" customHeight="1" x14ac:dyDescent="0.3">
      <c r="A907" s="58"/>
      <c r="B907" s="58"/>
      <c r="C907" s="58"/>
      <c r="D907" s="58"/>
      <c r="E907" s="58"/>
      <c r="F907" s="58"/>
      <c r="G907" s="59"/>
      <c r="H907" s="60"/>
      <c r="I907" s="60"/>
      <c r="J907" s="59"/>
      <c r="K907" s="61"/>
      <c r="M907" s="62"/>
      <c r="N907" s="62"/>
      <c r="O907" s="62"/>
      <c r="P907" s="62"/>
      <c r="Q907" s="62"/>
      <c r="R907" s="62"/>
      <c r="S907" s="62"/>
      <c r="T907" s="62"/>
      <c r="U907" s="62"/>
      <c r="V907" s="62"/>
      <c r="W907" s="62"/>
      <c r="X907" s="62"/>
      <c r="Y907" s="62"/>
      <c r="Z907" s="62"/>
      <c r="AA907" s="62"/>
      <c r="AB907" s="62"/>
      <c r="AC907" s="62"/>
      <c r="AD907" s="62"/>
      <c r="AE907" s="62"/>
      <c r="AF907" s="62"/>
      <c r="AG907" s="62"/>
      <c r="AH907" s="62"/>
      <c r="AI907" s="62"/>
      <c r="AJ907" s="62"/>
      <c r="AK907" s="62"/>
      <c r="AL907" s="62"/>
      <c r="AM907" s="62"/>
      <c r="AN907" s="62"/>
      <c r="AO907" s="62"/>
      <c r="AP907" s="62"/>
      <c r="AQ907" s="62"/>
      <c r="AR907" s="62"/>
      <c r="AS907" s="62"/>
      <c r="AT907" s="62"/>
      <c r="AU907" s="62"/>
      <c r="AV907" s="62"/>
      <c r="AW907" s="62"/>
      <c r="AX907" s="62"/>
    </row>
    <row r="908" spans="1:50" ht="14.25" customHeight="1" x14ac:dyDescent="0.3">
      <c r="A908" s="58"/>
      <c r="B908" s="58"/>
      <c r="C908" s="58"/>
      <c r="D908" s="58"/>
      <c r="E908" s="58"/>
      <c r="F908" s="58"/>
      <c r="G908" s="59"/>
      <c r="H908" s="60"/>
      <c r="I908" s="60"/>
      <c r="J908" s="59"/>
      <c r="K908" s="61"/>
      <c r="M908" s="62"/>
      <c r="N908" s="62"/>
      <c r="O908" s="62"/>
      <c r="P908" s="62"/>
      <c r="Q908" s="62"/>
      <c r="R908" s="62"/>
      <c r="S908" s="62"/>
      <c r="T908" s="62"/>
      <c r="U908" s="62"/>
      <c r="V908" s="62"/>
      <c r="W908" s="62"/>
      <c r="X908" s="62"/>
      <c r="Y908" s="62"/>
      <c r="Z908" s="62"/>
      <c r="AA908" s="62"/>
      <c r="AB908" s="62"/>
      <c r="AC908" s="62"/>
      <c r="AD908" s="62"/>
      <c r="AE908" s="62"/>
      <c r="AF908" s="62"/>
      <c r="AG908" s="62"/>
      <c r="AH908" s="62"/>
      <c r="AI908" s="62"/>
      <c r="AJ908" s="62"/>
      <c r="AK908" s="62"/>
      <c r="AL908" s="62"/>
      <c r="AM908" s="62"/>
      <c r="AN908" s="62"/>
      <c r="AO908" s="62"/>
      <c r="AP908" s="62"/>
      <c r="AQ908" s="62"/>
      <c r="AR908" s="62"/>
      <c r="AS908" s="62"/>
      <c r="AT908" s="62"/>
      <c r="AU908" s="62"/>
      <c r="AV908" s="62"/>
      <c r="AW908" s="62"/>
      <c r="AX908" s="62"/>
    </row>
    <row r="909" spans="1:50" ht="14.25" customHeight="1" x14ac:dyDescent="0.3">
      <c r="A909" s="58"/>
      <c r="B909" s="58"/>
      <c r="C909" s="58"/>
      <c r="D909" s="58"/>
      <c r="E909" s="58"/>
      <c r="F909" s="58"/>
      <c r="G909" s="59"/>
      <c r="H909" s="60"/>
      <c r="I909" s="60"/>
      <c r="J909" s="59"/>
      <c r="K909" s="61"/>
      <c r="M909" s="62"/>
      <c r="N909" s="62"/>
      <c r="O909" s="62"/>
      <c r="P909" s="62"/>
      <c r="Q909" s="62"/>
      <c r="R909" s="62"/>
      <c r="S909" s="62"/>
      <c r="T909" s="62"/>
      <c r="U909" s="62"/>
      <c r="V909" s="62"/>
      <c r="W909" s="62"/>
      <c r="X909" s="62"/>
      <c r="Y909" s="62"/>
      <c r="Z909" s="62"/>
      <c r="AA909" s="62"/>
      <c r="AB909" s="62"/>
      <c r="AC909" s="62"/>
      <c r="AD909" s="62"/>
      <c r="AE909" s="62"/>
      <c r="AF909" s="62"/>
      <c r="AG909" s="62"/>
      <c r="AH909" s="62"/>
      <c r="AI909" s="62"/>
      <c r="AJ909" s="62"/>
      <c r="AK909" s="62"/>
      <c r="AL909" s="62"/>
      <c r="AM909" s="62"/>
      <c r="AN909" s="62"/>
      <c r="AO909" s="62"/>
      <c r="AP909" s="62"/>
      <c r="AQ909" s="62"/>
      <c r="AR909" s="62"/>
      <c r="AS909" s="62"/>
      <c r="AT909" s="62"/>
      <c r="AU909" s="62"/>
      <c r="AV909" s="62"/>
      <c r="AW909" s="62"/>
      <c r="AX909" s="62"/>
    </row>
    <row r="910" spans="1:50" ht="14.25" customHeight="1" x14ac:dyDescent="0.3">
      <c r="A910" s="58"/>
      <c r="B910" s="58"/>
      <c r="C910" s="58"/>
      <c r="D910" s="58"/>
      <c r="E910" s="58"/>
      <c r="F910" s="58"/>
      <c r="G910" s="59"/>
      <c r="H910" s="60"/>
      <c r="I910" s="60"/>
      <c r="J910" s="59"/>
      <c r="K910" s="61"/>
      <c r="M910" s="62"/>
      <c r="N910" s="62"/>
      <c r="O910" s="62"/>
      <c r="P910" s="62"/>
      <c r="Q910" s="62"/>
      <c r="R910" s="62"/>
      <c r="S910" s="62"/>
      <c r="T910" s="62"/>
      <c r="U910" s="62"/>
      <c r="V910" s="62"/>
      <c r="W910" s="62"/>
      <c r="X910" s="62"/>
      <c r="Y910" s="62"/>
      <c r="Z910" s="62"/>
      <c r="AA910" s="62"/>
      <c r="AB910" s="62"/>
      <c r="AC910" s="62"/>
      <c r="AD910" s="62"/>
      <c r="AE910" s="62"/>
      <c r="AF910" s="62"/>
      <c r="AG910" s="62"/>
      <c r="AH910" s="62"/>
      <c r="AI910" s="62"/>
      <c r="AJ910" s="62"/>
      <c r="AK910" s="62"/>
      <c r="AL910" s="62"/>
      <c r="AM910" s="62"/>
      <c r="AN910" s="62"/>
      <c r="AO910" s="62"/>
      <c r="AP910" s="62"/>
      <c r="AQ910" s="62"/>
      <c r="AR910" s="62"/>
      <c r="AS910" s="62"/>
      <c r="AT910" s="62"/>
      <c r="AU910" s="62"/>
      <c r="AV910" s="62"/>
      <c r="AW910" s="62"/>
      <c r="AX910" s="62"/>
    </row>
    <row r="911" spans="1:50" ht="14.25" customHeight="1" x14ac:dyDescent="0.3">
      <c r="A911" s="58"/>
      <c r="B911" s="58"/>
      <c r="C911" s="58"/>
      <c r="D911" s="58"/>
      <c r="E911" s="58"/>
      <c r="F911" s="58"/>
      <c r="G911" s="59"/>
      <c r="H911" s="60"/>
      <c r="I911" s="60"/>
      <c r="J911" s="59"/>
      <c r="K911" s="61"/>
      <c r="M911" s="62"/>
      <c r="N911" s="62"/>
      <c r="O911" s="62"/>
      <c r="P911" s="62"/>
      <c r="Q911" s="62"/>
      <c r="R911" s="62"/>
      <c r="S911" s="62"/>
      <c r="T911" s="62"/>
      <c r="U911" s="62"/>
      <c r="V911" s="62"/>
      <c r="W911" s="62"/>
      <c r="X911" s="62"/>
      <c r="Y911" s="62"/>
      <c r="Z911" s="62"/>
      <c r="AA911" s="62"/>
      <c r="AB911" s="62"/>
      <c r="AC911" s="62"/>
      <c r="AD911" s="62"/>
      <c r="AE911" s="62"/>
      <c r="AF911" s="62"/>
      <c r="AG911" s="62"/>
      <c r="AH911" s="62"/>
      <c r="AI911" s="62"/>
      <c r="AJ911" s="62"/>
      <c r="AK911" s="62"/>
      <c r="AL911" s="62"/>
      <c r="AM911" s="62"/>
      <c r="AN911" s="62"/>
      <c r="AO911" s="62"/>
      <c r="AP911" s="62"/>
      <c r="AQ911" s="62"/>
      <c r="AR911" s="62"/>
      <c r="AS911" s="62"/>
      <c r="AT911" s="62"/>
      <c r="AU911" s="62"/>
      <c r="AV911" s="62"/>
      <c r="AW911" s="62"/>
      <c r="AX911" s="62"/>
    </row>
    <row r="912" spans="1:50" ht="14.25" customHeight="1" x14ac:dyDescent="0.3">
      <c r="A912" s="58"/>
      <c r="B912" s="58"/>
      <c r="C912" s="58"/>
      <c r="D912" s="58"/>
      <c r="E912" s="58"/>
      <c r="F912" s="58"/>
      <c r="G912" s="59"/>
      <c r="H912" s="60"/>
      <c r="I912" s="60"/>
      <c r="J912" s="59"/>
      <c r="K912" s="61"/>
      <c r="M912" s="62"/>
      <c r="N912" s="62"/>
      <c r="O912" s="62"/>
      <c r="P912" s="62"/>
      <c r="Q912" s="62"/>
      <c r="R912" s="62"/>
      <c r="S912" s="62"/>
      <c r="T912" s="62"/>
      <c r="U912" s="62"/>
      <c r="V912" s="62"/>
      <c r="W912" s="62"/>
      <c r="X912" s="62"/>
      <c r="Y912" s="62"/>
      <c r="Z912" s="62"/>
      <c r="AA912" s="62"/>
      <c r="AB912" s="62"/>
      <c r="AC912" s="62"/>
      <c r="AD912" s="62"/>
      <c r="AE912" s="62"/>
      <c r="AF912" s="62"/>
      <c r="AG912" s="62"/>
      <c r="AH912" s="62"/>
      <c r="AI912" s="62"/>
      <c r="AJ912" s="62"/>
      <c r="AK912" s="62"/>
      <c r="AL912" s="62"/>
      <c r="AM912" s="62"/>
      <c r="AN912" s="62"/>
      <c r="AO912" s="62"/>
      <c r="AP912" s="62"/>
      <c r="AQ912" s="62"/>
      <c r="AR912" s="62"/>
      <c r="AS912" s="62"/>
      <c r="AT912" s="62"/>
      <c r="AU912" s="62"/>
      <c r="AV912" s="62"/>
      <c r="AW912" s="62"/>
      <c r="AX912" s="62"/>
    </row>
    <row r="913" spans="1:50" ht="14.25" customHeight="1" x14ac:dyDescent="0.3">
      <c r="A913" s="58"/>
      <c r="B913" s="58"/>
      <c r="C913" s="58"/>
      <c r="D913" s="58"/>
      <c r="E913" s="58"/>
      <c r="F913" s="58"/>
      <c r="G913" s="59"/>
      <c r="H913" s="60"/>
      <c r="I913" s="60"/>
      <c r="J913" s="59"/>
      <c r="K913" s="61"/>
      <c r="M913" s="62"/>
      <c r="N913" s="62"/>
      <c r="O913" s="62"/>
      <c r="P913" s="62"/>
      <c r="Q913" s="62"/>
      <c r="R913" s="62"/>
      <c r="S913" s="62"/>
      <c r="T913" s="62"/>
      <c r="U913" s="62"/>
      <c r="V913" s="62"/>
      <c r="W913" s="62"/>
      <c r="X913" s="62"/>
      <c r="Y913" s="62"/>
      <c r="Z913" s="62"/>
      <c r="AA913" s="62"/>
      <c r="AB913" s="62"/>
      <c r="AC913" s="62"/>
      <c r="AD913" s="62"/>
      <c r="AE913" s="62"/>
      <c r="AF913" s="62"/>
      <c r="AG913" s="62"/>
      <c r="AH913" s="62"/>
      <c r="AI913" s="62"/>
      <c r="AJ913" s="62"/>
      <c r="AK913" s="62"/>
      <c r="AL913" s="62"/>
      <c r="AM913" s="62"/>
      <c r="AN913" s="62"/>
      <c r="AO913" s="62"/>
      <c r="AP913" s="62"/>
      <c r="AQ913" s="62"/>
      <c r="AR913" s="62"/>
      <c r="AS913" s="62"/>
      <c r="AT913" s="62"/>
      <c r="AU913" s="62"/>
      <c r="AV913" s="62"/>
      <c r="AW913" s="62"/>
      <c r="AX913" s="62"/>
    </row>
    <row r="914" spans="1:50" ht="14.25" customHeight="1" x14ac:dyDescent="0.3">
      <c r="A914" s="58"/>
      <c r="B914" s="58"/>
      <c r="C914" s="58"/>
      <c r="D914" s="58"/>
      <c r="E914" s="58"/>
      <c r="F914" s="58"/>
      <c r="G914" s="59"/>
      <c r="H914" s="60"/>
      <c r="I914" s="60"/>
      <c r="J914" s="59"/>
      <c r="K914" s="61"/>
      <c r="M914" s="62"/>
      <c r="N914" s="62"/>
      <c r="O914" s="62"/>
      <c r="P914" s="62"/>
      <c r="Q914" s="62"/>
      <c r="R914" s="62"/>
      <c r="S914" s="62"/>
      <c r="T914" s="62"/>
      <c r="U914" s="62"/>
      <c r="V914" s="62"/>
      <c r="W914" s="62"/>
      <c r="X914" s="62"/>
      <c r="Y914" s="62"/>
      <c r="Z914" s="62"/>
      <c r="AA914" s="62"/>
      <c r="AB914" s="62"/>
      <c r="AC914" s="62"/>
      <c r="AD914" s="62"/>
      <c r="AE914" s="62"/>
      <c r="AF914" s="62"/>
      <c r="AG914" s="62"/>
      <c r="AH914" s="62"/>
      <c r="AI914" s="62"/>
      <c r="AJ914" s="62"/>
      <c r="AK914" s="62"/>
      <c r="AL914" s="62"/>
      <c r="AM914" s="62"/>
      <c r="AN914" s="62"/>
      <c r="AO914" s="62"/>
      <c r="AP914" s="62"/>
      <c r="AQ914" s="62"/>
      <c r="AR914" s="62"/>
      <c r="AS914" s="62"/>
      <c r="AT914" s="62"/>
      <c r="AU914" s="62"/>
      <c r="AV914" s="62"/>
      <c r="AW914" s="62"/>
      <c r="AX914" s="62"/>
    </row>
    <row r="915" spans="1:50" ht="14.25" customHeight="1" x14ac:dyDescent="0.3">
      <c r="A915" s="58"/>
      <c r="B915" s="58"/>
      <c r="C915" s="58"/>
      <c r="D915" s="58"/>
      <c r="E915" s="58"/>
      <c r="F915" s="58"/>
      <c r="G915" s="59"/>
      <c r="H915" s="60"/>
      <c r="I915" s="60"/>
      <c r="J915" s="59"/>
      <c r="K915" s="61"/>
      <c r="M915" s="62"/>
      <c r="N915" s="62"/>
      <c r="O915" s="62"/>
      <c r="P915" s="62"/>
      <c r="Q915" s="62"/>
      <c r="R915" s="62"/>
      <c r="S915" s="62"/>
      <c r="T915" s="62"/>
      <c r="U915" s="62"/>
      <c r="V915" s="62"/>
      <c r="W915" s="62"/>
      <c r="X915" s="62"/>
      <c r="Y915" s="62"/>
      <c r="Z915" s="62"/>
      <c r="AA915" s="62"/>
      <c r="AB915" s="62"/>
      <c r="AC915" s="62"/>
      <c r="AD915" s="62"/>
      <c r="AE915" s="62"/>
      <c r="AF915" s="62"/>
      <c r="AG915" s="62"/>
      <c r="AH915" s="62"/>
      <c r="AI915" s="62"/>
      <c r="AJ915" s="62"/>
      <c r="AK915" s="62"/>
      <c r="AL915" s="62"/>
      <c r="AM915" s="62"/>
      <c r="AN915" s="62"/>
      <c r="AO915" s="62"/>
      <c r="AP915" s="62"/>
      <c r="AQ915" s="62"/>
      <c r="AR915" s="62"/>
      <c r="AS915" s="62"/>
      <c r="AT915" s="62"/>
      <c r="AU915" s="62"/>
      <c r="AV915" s="62"/>
      <c r="AW915" s="62"/>
      <c r="AX915" s="62"/>
    </row>
    <row r="916" spans="1:50" ht="14.25" customHeight="1" x14ac:dyDescent="0.3">
      <c r="A916" s="58"/>
      <c r="B916" s="58"/>
      <c r="C916" s="58"/>
      <c r="D916" s="58"/>
      <c r="E916" s="58"/>
      <c r="F916" s="58"/>
      <c r="G916" s="59"/>
      <c r="H916" s="60"/>
      <c r="I916" s="60"/>
      <c r="J916" s="59"/>
      <c r="K916" s="61"/>
      <c r="M916" s="62"/>
      <c r="N916" s="62"/>
      <c r="O916" s="62"/>
      <c r="P916" s="62"/>
      <c r="Q916" s="62"/>
      <c r="R916" s="62"/>
      <c r="S916" s="62"/>
      <c r="T916" s="62"/>
      <c r="U916" s="62"/>
      <c r="V916" s="62"/>
      <c r="W916" s="62"/>
      <c r="X916" s="62"/>
      <c r="Y916" s="62"/>
      <c r="Z916" s="62"/>
      <c r="AA916" s="62"/>
      <c r="AB916" s="62"/>
      <c r="AC916" s="62"/>
      <c r="AD916" s="62"/>
      <c r="AE916" s="62"/>
      <c r="AF916" s="62"/>
      <c r="AG916" s="62"/>
      <c r="AH916" s="62"/>
      <c r="AI916" s="62"/>
      <c r="AJ916" s="62"/>
      <c r="AK916" s="62"/>
      <c r="AL916" s="62"/>
      <c r="AM916" s="62"/>
      <c r="AN916" s="62"/>
      <c r="AO916" s="62"/>
      <c r="AP916" s="62"/>
      <c r="AQ916" s="62"/>
      <c r="AR916" s="62"/>
      <c r="AS916" s="62"/>
      <c r="AT916" s="62"/>
      <c r="AU916" s="62"/>
      <c r="AV916" s="62"/>
      <c r="AW916" s="62"/>
      <c r="AX916" s="62"/>
    </row>
    <row r="917" spans="1:50" ht="14.25" customHeight="1" x14ac:dyDescent="0.3">
      <c r="A917" s="58"/>
      <c r="B917" s="58"/>
      <c r="C917" s="58"/>
      <c r="D917" s="58"/>
      <c r="E917" s="58"/>
      <c r="F917" s="58"/>
      <c r="G917" s="59"/>
      <c r="H917" s="60"/>
      <c r="I917" s="60"/>
      <c r="J917" s="59"/>
      <c r="K917" s="61"/>
      <c r="M917" s="62"/>
      <c r="N917" s="62"/>
      <c r="O917" s="62"/>
      <c r="P917" s="62"/>
      <c r="Q917" s="62"/>
      <c r="R917" s="62"/>
      <c r="S917" s="62"/>
      <c r="T917" s="62"/>
      <c r="U917" s="62"/>
      <c r="V917" s="62"/>
      <c r="W917" s="62"/>
      <c r="X917" s="62"/>
      <c r="Y917" s="62"/>
      <c r="Z917" s="62"/>
      <c r="AA917" s="62"/>
      <c r="AB917" s="62"/>
      <c r="AC917" s="62"/>
      <c r="AD917" s="62"/>
      <c r="AE917" s="62"/>
      <c r="AF917" s="62"/>
      <c r="AG917" s="62"/>
      <c r="AH917" s="62"/>
      <c r="AI917" s="62"/>
      <c r="AJ917" s="62"/>
      <c r="AK917" s="62"/>
      <c r="AL917" s="62"/>
      <c r="AM917" s="62"/>
      <c r="AN917" s="62"/>
      <c r="AO917" s="62"/>
      <c r="AP917" s="62"/>
      <c r="AQ917" s="62"/>
      <c r="AR917" s="62"/>
      <c r="AS917" s="62"/>
      <c r="AT917" s="62"/>
      <c r="AU917" s="62"/>
      <c r="AV917" s="62"/>
      <c r="AW917" s="62"/>
      <c r="AX917" s="62"/>
    </row>
    <row r="918" spans="1:50" ht="14.25" customHeight="1" x14ac:dyDescent="0.3">
      <c r="A918" s="58"/>
      <c r="B918" s="58"/>
      <c r="C918" s="58"/>
      <c r="D918" s="58"/>
      <c r="E918" s="58"/>
      <c r="F918" s="58"/>
      <c r="G918" s="59"/>
      <c r="H918" s="60"/>
      <c r="I918" s="60"/>
      <c r="J918" s="59"/>
      <c r="K918" s="61"/>
      <c r="M918" s="62"/>
      <c r="N918" s="62"/>
      <c r="O918" s="62"/>
      <c r="P918" s="62"/>
      <c r="Q918" s="62"/>
      <c r="R918" s="62"/>
      <c r="S918" s="62"/>
      <c r="T918" s="62"/>
      <c r="U918" s="62"/>
      <c r="V918" s="62"/>
      <c r="W918" s="62"/>
      <c r="X918" s="62"/>
      <c r="Y918" s="62"/>
      <c r="Z918" s="62"/>
      <c r="AA918" s="62"/>
      <c r="AB918" s="62"/>
      <c r="AC918" s="62"/>
      <c r="AD918" s="62"/>
      <c r="AE918" s="62"/>
      <c r="AF918" s="62"/>
      <c r="AG918" s="62"/>
      <c r="AH918" s="62"/>
      <c r="AI918" s="62"/>
      <c r="AJ918" s="62"/>
      <c r="AK918" s="62"/>
      <c r="AL918" s="62"/>
      <c r="AM918" s="62"/>
      <c r="AN918" s="62"/>
      <c r="AO918" s="62"/>
      <c r="AP918" s="62"/>
      <c r="AQ918" s="62"/>
      <c r="AR918" s="62"/>
      <c r="AS918" s="62"/>
      <c r="AT918" s="62"/>
      <c r="AU918" s="62"/>
      <c r="AV918" s="62"/>
      <c r="AW918" s="62"/>
      <c r="AX918" s="62"/>
    </row>
    <row r="919" spans="1:50" ht="14.25" customHeight="1" x14ac:dyDescent="0.3">
      <c r="A919" s="58"/>
      <c r="B919" s="58"/>
      <c r="C919" s="58"/>
      <c r="D919" s="58"/>
      <c r="E919" s="58"/>
      <c r="F919" s="58"/>
      <c r="G919" s="59"/>
      <c r="H919" s="60"/>
      <c r="I919" s="60"/>
      <c r="J919" s="59"/>
      <c r="K919" s="61"/>
      <c r="M919" s="62"/>
      <c r="N919" s="62"/>
      <c r="O919" s="62"/>
      <c r="P919" s="62"/>
      <c r="Q919" s="62"/>
      <c r="R919" s="62"/>
      <c r="S919" s="62"/>
      <c r="T919" s="62"/>
      <c r="U919" s="62"/>
      <c r="V919" s="62"/>
      <c r="W919" s="62"/>
      <c r="X919" s="62"/>
      <c r="Y919" s="62"/>
      <c r="Z919" s="62"/>
      <c r="AA919" s="62"/>
      <c r="AB919" s="62"/>
      <c r="AC919" s="62"/>
      <c r="AD919" s="62"/>
      <c r="AE919" s="62"/>
      <c r="AF919" s="62"/>
      <c r="AG919" s="62"/>
      <c r="AH919" s="62"/>
      <c r="AI919" s="62"/>
      <c r="AJ919" s="62"/>
      <c r="AK919" s="62"/>
      <c r="AL919" s="62"/>
      <c r="AM919" s="62"/>
      <c r="AN919" s="62"/>
      <c r="AO919" s="62"/>
      <c r="AP919" s="62"/>
      <c r="AQ919" s="62"/>
      <c r="AR919" s="62"/>
      <c r="AS919" s="62"/>
      <c r="AT919" s="62"/>
      <c r="AU919" s="62"/>
      <c r="AV919" s="62"/>
      <c r="AW919" s="62"/>
      <c r="AX919" s="62"/>
    </row>
    <row r="920" spans="1:50" ht="14.25" customHeight="1" x14ac:dyDescent="0.3">
      <c r="A920" s="58"/>
      <c r="B920" s="58"/>
      <c r="C920" s="58"/>
      <c r="D920" s="58"/>
      <c r="E920" s="58"/>
      <c r="F920" s="58"/>
      <c r="G920" s="59"/>
      <c r="H920" s="60"/>
      <c r="I920" s="60"/>
      <c r="J920" s="59"/>
      <c r="K920" s="61"/>
      <c r="M920" s="62"/>
      <c r="N920" s="62"/>
      <c r="O920" s="62"/>
      <c r="P920" s="62"/>
      <c r="Q920" s="62"/>
      <c r="R920" s="62"/>
      <c r="S920" s="62"/>
      <c r="T920" s="62"/>
      <c r="U920" s="62"/>
      <c r="V920" s="62"/>
      <c r="W920" s="62"/>
      <c r="X920" s="62"/>
      <c r="Y920" s="62"/>
      <c r="Z920" s="62"/>
      <c r="AA920" s="62"/>
      <c r="AB920" s="62"/>
      <c r="AC920" s="62"/>
      <c r="AD920" s="62"/>
      <c r="AE920" s="62"/>
      <c r="AF920" s="62"/>
      <c r="AG920" s="62"/>
      <c r="AH920" s="62"/>
      <c r="AI920" s="62"/>
      <c r="AJ920" s="62"/>
      <c r="AK920" s="62"/>
      <c r="AL920" s="62"/>
      <c r="AM920" s="62"/>
      <c r="AN920" s="62"/>
      <c r="AO920" s="62"/>
      <c r="AP920" s="62"/>
      <c r="AQ920" s="62"/>
      <c r="AR920" s="62"/>
      <c r="AS920" s="62"/>
      <c r="AT920" s="62"/>
      <c r="AU920" s="62"/>
      <c r="AV920" s="62"/>
      <c r="AW920" s="62"/>
      <c r="AX920" s="62"/>
    </row>
    <row r="921" spans="1:50" ht="14.25" customHeight="1" x14ac:dyDescent="0.3">
      <c r="A921" s="58"/>
      <c r="B921" s="58"/>
      <c r="C921" s="58"/>
      <c r="D921" s="58"/>
      <c r="E921" s="58"/>
      <c r="F921" s="58"/>
      <c r="G921" s="59"/>
      <c r="H921" s="60"/>
      <c r="I921" s="60"/>
      <c r="J921" s="59"/>
      <c r="K921" s="61"/>
      <c r="M921" s="62"/>
      <c r="N921" s="62"/>
      <c r="O921" s="62"/>
      <c r="P921" s="62"/>
      <c r="Q921" s="62"/>
      <c r="R921" s="62"/>
      <c r="S921" s="62"/>
      <c r="T921" s="62"/>
      <c r="U921" s="62"/>
      <c r="V921" s="62"/>
      <c r="W921" s="62"/>
      <c r="X921" s="62"/>
      <c r="Y921" s="62"/>
      <c r="Z921" s="62"/>
      <c r="AA921" s="62"/>
      <c r="AB921" s="62"/>
      <c r="AC921" s="62"/>
      <c r="AD921" s="62"/>
      <c r="AE921" s="62"/>
      <c r="AF921" s="62"/>
      <c r="AG921" s="62"/>
      <c r="AH921" s="62"/>
      <c r="AI921" s="62"/>
      <c r="AJ921" s="62"/>
      <c r="AK921" s="62"/>
      <c r="AL921" s="62"/>
      <c r="AM921" s="62"/>
      <c r="AN921" s="62"/>
      <c r="AO921" s="62"/>
      <c r="AP921" s="62"/>
      <c r="AQ921" s="62"/>
      <c r="AR921" s="62"/>
      <c r="AS921" s="62"/>
      <c r="AT921" s="62"/>
      <c r="AU921" s="62"/>
      <c r="AV921" s="62"/>
      <c r="AW921" s="62"/>
      <c r="AX921" s="62"/>
    </row>
    <row r="922" spans="1:50" ht="14.25" customHeight="1" x14ac:dyDescent="0.3">
      <c r="A922" s="58"/>
      <c r="B922" s="58"/>
      <c r="C922" s="58"/>
      <c r="D922" s="58"/>
      <c r="E922" s="58"/>
      <c r="F922" s="58"/>
      <c r="G922" s="59"/>
      <c r="H922" s="60"/>
      <c r="I922" s="60"/>
      <c r="J922" s="59"/>
      <c r="K922" s="61"/>
      <c r="M922" s="62"/>
      <c r="N922" s="62"/>
      <c r="O922" s="62"/>
      <c r="P922" s="62"/>
      <c r="Q922" s="62"/>
      <c r="R922" s="62"/>
      <c r="S922" s="62"/>
      <c r="T922" s="62"/>
      <c r="U922" s="62"/>
      <c r="V922" s="62"/>
      <c r="W922" s="62"/>
      <c r="X922" s="62"/>
      <c r="Y922" s="62"/>
      <c r="Z922" s="62"/>
      <c r="AA922" s="62"/>
      <c r="AB922" s="62"/>
      <c r="AC922" s="62"/>
      <c r="AD922" s="62"/>
      <c r="AE922" s="62"/>
      <c r="AF922" s="62"/>
      <c r="AG922" s="62"/>
      <c r="AH922" s="62"/>
      <c r="AI922" s="62"/>
      <c r="AJ922" s="62"/>
      <c r="AK922" s="62"/>
      <c r="AL922" s="62"/>
      <c r="AM922" s="62"/>
      <c r="AN922" s="62"/>
      <c r="AO922" s="62"/>
      <c r="AP922" s="62"/>
      <c r="AQ922" s="62"/>
      <c r="AR922" s="62"/>
      <c r="AS922" s="62"/>
      <c r="AT922" s="62"/>
      <c r="AU922" s="62"/>
      <c r="AV922" s="62"/>
      <c r="AW922" s="62"/>
      <c r="AX922" s="62"/>
    </row>
    <row r="923" spans="1:50" ht="14.25" customHeight="1" x14ac:dyDescent="0.3">
      <c r="A923" s="58"/>
      <c r="B923" s="58"/>
      <c r="C923" s="58"/>
      <c r="D923" s="58"/>
      <c r="E923" s="58"/>
      <c r="F923" s="58"/>
      <c r="G923" s="59"/>
      <c r="H923" s="60"/>
      <c r="I923" s="60"/>
      <c r="J923" s="59"/>
      <c r="K923" s="61"/>
      <c r="M923" s="62"/>
      <c r="N923" s="62"/>
      <c r="O923" s="62"/>
      <c r="P923" s="62"/>
      <c r="Q923" s="62"/>
      <c r="R923" s="62"/>
      <c r="S923" s="62"/>
      <c r="T923" s="62"/>
      <c r="U923" s="62"/>
      <c r="V923" s="62"/>
      <c r="W923" s="62"/>
      <c r="X923" s="62"/>
      <c r="Y923" s="62"/>
      <c r="Z923" s="62"/>
      <c r="AA923" s="62"/>
      <c r="AB923" s="62"/>
      <c r="AC923" s="62"/>
      <c r="AD923" s="62"/>
      <c r="AE923" s="62"/>
      <c r="AF923" s="62"/>
      <c r="AG923" s="62"/>
      <c r="AH923" s="62"/>
      <c r="AI923" s="62"/>
      <c r="AJ923" s="62"/>
      <c r="AK923" s="62"/>
      <c r="AL923" s="62"/>
      <c r="AM923" s="62"/>
      <c r="AN923" s="62"/>
      <c r="AO923" s="62"/>
      <c r="AP923" s="62"/>
      <c r="AQ923" s="62"/>
      <c r="AR923" s="62"/>
      <c r="AS923" s="62"/>
      <c r="AT923" s="62"/>
      <c r="AU923" s="62"/>
      <c r="AV923" s="62"/>
      <c r="AW923" s="62"/>
      <c r="AX923" s="62"/>
    </row>
    <row r="924" spans="1:50" ht="14.25" customHeight="1" x14ac:dyDescent="0.3">
      <c r="A924" s="58"/>
      <c r="B924" s="58"/>
      <c r="C924" s="58"/>
      <c r="D924" s="58"/>
      <c r="E924" s="58"/>
      <c r="F924" s="58"/>
      <c r="G924" s="59"/>
      <c r="H924" s="60"/>
      <c r="I924" s="60"/>
      <c r="J924" s="59"/>
      <c r="K924" s="61"/>
      <c r="M924" s="62"/>
      <c r="N924" s="62"/>
      <c r="O924" s="62"/>
      <c r="P924" s="62"/>
      <c r="Q924" s="62"/>
      <c r="R924" s="62"/>
      <c r="S924" s="62"/>
      <c r="T924" s="62"/>
      <c r="U924" s="62"/>
      <c r="V924" s="62"/>
      <c r="W924" s="62"/>
      <c r="X924" s="62"/>
      <c r="Y924" s="62"/>
      <c r="Z924" s="62"/>
      <c r="AA924" s="62"/>
      <c r="AB924" s="62"/>
      <c r="AC924" s="62"/>
      <c r="AD924" s="62"/>
      <c r="AE924" s="62"/>
      <c r="AF924" s="62"/>
      <c r="AG924" s="62"/>
      <c r="AH924" s="62"/>
      <c r="AI924" s="62"/>
      <c r="AJ924" s="62"/>
      <c r="AK924" s="62"/>
      <c r="AL924" s="62"/>
      <c r="AM924" s="62"/>
      <c r="AN924" s="62"/>
      <c r="AO924" s="62"/>
      <c r="AP924" s="62"/>
      <c r="AQ924" s="62"/>
      <c r="AR924" s="62"/>
      <c r="AS924" s="62"/>
      <c r="AT924" s="62"/>
      <c r="AU924" s="62"/>
      <c r="AV924" s="62"/>
      <c r="AW924" s="62"/>
      <c r="AX924" s="62"/>
    </row>
    <row r="925" spans="1:50" ht="14.25" customHeight="1" x14ac:dyDescent="0.3">
      <c r="A925" s="58"/>
      <c r="B925" s="58"/>
      <c r="C925" s="58"/>
      <c r="D925" s="58"/>
      <c r="E925" s="58"/>
      <c r="F925" s="58"/>
      <c r="G925" s="59"/>
      <c r="H925" s="60"/>
      <c r="I925" s="60"/>
      <c r="J925" s="59"/>
      <c r="K925" s="61"/>
      <c r="M925" s="62"/>
      <c r="N925" s="62"/>
      <c r="O925" s="62"/>
      <c r="P925" s="62"/>
      <c r="Q925" s="62"/>
      <c r="R925" s="62"/>
      <c r="S925" s="62"/>
      <c r="T925" s="62"/>
      <c r="U925" s="62"/>
      <c r="V925" s="62"/>
      <c r="W925" s="62"/>
      <c r="X925" s="62"/>
      <c r="Y925" s="62"/>
      <c r="Z925" s="62"/>
      <c r="AA925" s="62"/>
      <c r="AB925" s="62"/>
      <c r="AC925" s="62"/>
      <c r="AD925" s="62"/>
      <c r="AE925" s="62"/>
      <c r="AF925" s="62"/>
      <c r="AG925" s="62"/>
      <c r="AH925" s="62"/>
      <c r="AI925" s="62"/>
      <c r="AJ925" s="62"/>
      <c r="AK925" s="62"/>
      <c r="AL925" s="62"/>
      <c r="AM925" s="62"/>
      <c r="AN925" s="62"/>
      <c r="AO925" s="62"/>
      <c r="AP925" s="62"/>
      <c r="AQ925" s="62"/>
      <c r="AR925" s="62"/>
      <c r="AS925" s="62"/>
      <c r="AT925" s="62"/>
      <c r="AU925" s="62"/>
      <c r="AV925" s="62"/>
      <c r="AW925" s="62"/>
      <c r="AX925" s="62"/>
    </row>
    <row r="926" spans="1:50" ht="14.25" customHeight="1" x14ac:dyDescent="0.3">
      <c r="A926" s="58"/>
      <c r="B926" s="58"/>
      <c r="C926" s="58"/>
      <c r="D926" s="58"/>
      <c r="E926" s="58"/>
      <c r="F926" s="58"/>
      <c r="G926" s="59"/>
      <c r="H926" s="60"/>
      <c r="I926" s="60"/>
      <c r="J926" s="59"/>
      <c r="K926" s="61"/>
      <c r="M926" s="62"/>
      <c r="N926" s="62"/>
      <c r="O926" s="62"/>
      <c r="P926" s="62"/>
      <c r="Q926" s="62"/>
      <c r="R926" s="62"/>
      <c r="S926" s="62"/>
      <c r="T926" s="62"/>
      <c r="U926" s="62"/>
      <c r="V926" s="62"/>
      <c r="W926" s="62"/>
      <c r="X926" s="62"/>
      <c r="Y926" s="62"/>
      <c r="Z926" s="62"/>
      <c r="AA926" s="62"/>
      <c r="AB926" s="62"/>
      <c r="AC926" s="62"/>
      <c r="AD926" s="62"/>
      <c r="AE926" s="62"/>
      <c r="AF926" s="62"/>
      <c r="AG926" s="62"/>
      <c r="AH926" s="62"/>
      <c r="AI926" s="62"/>
      <c r="AJ926" s="62"/>
      <c r="AK926" s="62"/>
      <c r="AL926" s="62"/>
      <c r="AM926" s="62"/>
      <c r="AN926" s="62"/>
      <c r="AO926" s="62"/>
      <c r="AP926" s="62"/>
      <c r="AQ926" s="62"/>
      <c r="AR926" s="62"/>
      <c r="AS926" s="62"/>
      <c r="AT926" s="62"/>
      <c r="AU926" s="62"/>
      <c r="AV926" s="62"/>
      <c r="AW926" s="62"/>
      <c r="AX926" s="62"/>
    </row>
    <row r="927" spans="1:50" ht="14.25" customHeight="1" x14ac:dyDescent="0.3">
      <c r="A927" s="58"/>
      <c r="B927" s="58"/>
      <c r="C927" s="58"/>
      <c r="D927" s="58"/>
      <c r="E927" s="58"/>
      <c r="F927" s="58"/>
      <c r="G927" s="59"/>
      <c r="H927" s="60"/>
      <c r="I927" s="60"/>
      <c r="J927" s="59"/>
      <c r="K927" s="61"/>
      <c r="M927" s="62"/>
      <c r="N927" s="62"/>
      <c r="O927" s="62"/>
      <c r="P927" s="62"/>
      <c r="Q927" s="62"/>
      <c r="R927" s="62"/>
      <c r="S927" s="62"/>
      <c r="T927" s="62"/>
      <c r="U927" s="62"/>
      <c r="V927" s="62"/>
      <c r="W927" s="62"/>
      <c r="X927" s="62"/>
      <c r="Y927" s="62"/>
      <c r="Z927" s="62"/>
      <c r="AA927" s="62"/>
      <c r="AB927" s="62"/>
      <c r="AC927" s="62"/>
      <c r="AD927" s="62"/>
      <c r="AE927" s="62"/>
      <c r="AF927" s="62"/>
      <c r="AG927" s="62"/>
      <c r="AH927" s="62"/>
      <c r="AI927" s="62"/>
      <c r="AJ927" s="62"/>
      <c r="AK927" s="62"/>
      <c r="AL927" s="62"/>
      <c r="AM927" s="62"/>
      <c r="AN927" s="62"/>
      <c r="AO927" s="62"/>
      <c r="AP927" s="62"/>
      <c r="AQ927" s="62"/>
      <c r="AR927" s="62"/>
      <c r="AS927" s="62"/>
      <c r="AT927" s="62"/>
      <c r="AU927" s="62"/>
      <c r="AV927" s="62"/>
      <c r="AW927" s="62"/>
      <c r="AX927" s="62"/>
    </row>
    <row r="928" spans="1:50" ht="14.25" customHeight="1" x14ac:dyDescent="0.3">
      <c r="A928" s="58"/>
      <c r="B928" s="58"/>
      <c r="C928" s="58"/>
      <c r="D928" s="58"/>
      <c r="E928" s="58"/>
      <c r="F928" s="58"/>
      <c r="G928" s="59"/>
      <c r="H928" s="60"/>
      <c r="I928" s="60"/>
      <c r="J928" s="59"/>
      <c r="K928" s="61"/>
      <c r="M928" s="62"/>
      <c r="N928" s="62"/>
      <c r="O928" s="62"/>
      <c r="P928" s="62"/>
      <c r="Q928" s="62"/>
      <c r="R928" s="62"/>
      <c r="S928" s="62"/>
      <c r="T928" s="62"/>
      <c r="U928" s="62"/>
      <c r="V928" s="62"/>
      <c r="W928" s="62"/>
      <c r="X928" s="62"/>
      <c r="Y928" s="62"/>
      <c r="Z928" s="62"/>
      <c r="AA928" s="62"/>
      <c r="AB928" s="62"/>
      <c r="AC928" s="62"/>
      <c r="AD928" s="62"/>
      <c r="AE928" s="62"/>
      <c r="AF928" s="62"/>
      <c r="AG928" s="62"/>
      <c r="AH928" s="62"/>
      <c r="AI928" s="62"/>
      <c r="AJ928" s="62"/>
      <c r="AK928" s="62"/>
      <c r="AL928" s="62"/>
      <c r="AM928" s="62"/>
      <c r="AN928" s="62"/>
      <c r="AO928" s="62"/>
      <c r="AP928" s="62"/>
      <c r="AQ928" s="62"/>
      <c r="AR928" s="62"/>
      <c r="AS928" s="62"/>
      <c r="AT928" s="62"/>
      <c r="AU928" s="62"/>
      <c r="AV928" s="62"/>
      <c r="AW928" s="62"/>
      <c r="AX928" s="62"/>
    </row>
    <row r="929" spans="1:50" ht="14.25" customHeight="1" x14ac:dyDescent="0.3">
      <c r="A929" s="58"/>
      <c r="B929" s="58"/>
      <c r="C929" s="58"/>
      <c r="D929" s="58"/>
      <c r="E929" s="58"/>
      <c r="F929" s="58"/>
      <c r="G929" s="59"/>
      <c r="H929" s="60"/>
      <c r="I929" s="60"/>
      <c r="J929" s="59"/>
      <c r="K929" s="61"/>
      <c r="M929" s="62"/>
      <c r="N929" s="62"/>
      <c r="O929" s="62"/>
      <c r="P929" s="62"/>
      <c r="Q929" s="62"/>
      <c r="R929" s="62"/>
      <c r="S929" s="62"/>
      <c r="T929" s="62"/>
      <c r="U929" s="62"/>
      <c r="V929" s="62"/>
      <c r="W929" s="62"/>
      <c r="X929" s="62"/>
      <c r="Y929" s="62"/>
      <c r="Z929" s="62"/>
      <c r="AA929" s="62"/>
      <c r="AB929" s="62"/>
      <c r="AC929" s="62"/>
      <c r="AD929" s="62"/>
      <c r="AE929" s="62"/>
      <c r="AF929" s="62"/>
      <c r="AG929" s="62"/>
      <c r="AH929" s="62"/>
      <c r="AI929" s="62"/>
      <c r="AJ929" s="62"/>
      <c r="AK929" s="62"/>
      <c r="AL929" s="62"/>
      <c r="AM929" s="62"/>
      <c r="AN929" s="62"/>
      <c r="AO929" s="62"/>
      <c r="AP929" s="62"/>
      <c r="AQ929" s="62"/>
      <c r="AR929" s="62"/>
      <c r="AS929" s="62"/>
      <c r="AT929" s="62"/>
      <c r="AU929" s="62"/>
      <c r="AV929" s="62"/>
      <c r="AW929" s="62"/>
      <c r="AX929" s="62"/>
    </row>
    <row r="930" spans="1:50" ht="14.25" customHeight="1" x14ac:dyDescent="0.3">
      <c r="A930" s="58"/>
      <c r="B930" s="58"/>
      <c r="C930" s="58"/>
      <c r="D930" s="58"/>
      <c r="E930" s="58"/>
      <c r="F930" s="58"/>
      <c r="G930" s="59"/>
      <c r="H930" s="60"/>
      <c r="I930" s="60"/>
      <c r="J930" s="59"/>
      <c r="K930" s="61"/>
      <c r="M930" s="62"/>
      <c r="N930" s="62"/>
      <c r="O930" s="62"/>
      <c r="P930" s="62"/>
      <c r="Q930" s="62"/>
      <c r="R930" s="62"/>
      <c r="S930" s="62"/>
      <c r="T930" s="62"/>
      <c r="U930" s="62"/>
      <c r="V930" s="62"/>
      <c r="W930" s="62"/>
      <c r="X930" s="62"/>
      <c r="Y930" s="62"/>
      <c r="Z930" s="62"/>
      <c r="AA930" s="62"/>
      <c r="AB930" s="62"/>
      <c r="AC930" s="62"/>
      <c r="AD930" s="62"/>
      <c r="AE930" s="62"/>
      <c r="AF930" s="62"/>
      <c r="AG930" s="62"/>
      <c r="AH930" s="62"/>
      <c r="AI930" s="62"/>
      <c r="AJ930" s="62"/>
      <c r="AK930" s="62"/>
      <c r="AL930" s="62"/>
      <c r="AM930" s="62"/>
      <c r="AN930" s="62"/>
      <c r="AO930" s="62"/>
      <c r="AP930" s="62"/>
      <c r="AQ930" s="62"/>
      <c r="AR930" s="62"/>
      <c r="AS930" s="62"/>
      <c r="AT930" s="62"/>
      <c r="AU930" s="62"/>
      <c r="AV930" s="62"/>
      <c r="AW930" s="62"/>
      <c r="AX930" s="62"/>
    </row>
    <row r="931" spans="1:50" ht="14.25" customHeight="1" x14ac:dyDescent="0.3">
      <c r="A931" s="58"/>
      <c r="B931" s="58"/>
      <c r="C931" s="58"/>
      <c r="D931" s="58"/>
      <c r="E931" s="58"/>
      <c r="F931" s="58"/>
      <c r="G931" s="59"/>
      <c r="H931" s="60"/>
      <c r="I931" s="60"/>
      <c r="J931" s="59"/>
      <c r="K931" s="61"/>
      <c r="M931" s="62"/>
      <c r="N931" s="62"/>
      <c r="O931" s="62"/>
      <c r="P931" s="62"/>
      <c r="Q931" s="62"/>
      <c r="R931" s="62"/>
      <c r="S931" s="62"/>
      <c r="T931" s="62"/>
      <c r="U931" s="62"/>
      <c r="V931" s="62"/>
      <c r="W931" s="62"/>
      <c r="X931" s="62"/>
      <c r="Y931" s="62"/>
      <c r="Z931" s="62"/>
      <c r="AA931" s="62"/>
      <c r="AB931" s="62"/>
      <c r="AC931" s="62"/>
      <c r="AD931" s="62"/>
      <c r="AE931" s="62"/>
      <c r="AF931" s="62"/>
      <c r="AG931" s="62"/>
      <c r="AH931" s="62"/>
      <c r="AI931" s="62"/>
      <c r="AJ931" s="62"/>
      <c r="AK931" s="62"/>
      <c r="AL931" s="62"/>
      <c r="AM931" s="62"/>
      <c r="AN931" s="62"/>
      <c r="AO931" s="62"/>
      <c r="AP931" s="62"/>
      <c r="AQ931" s="62"/>
      <c r="AR931" s="62"/>
      <c r="AS931" s="62"/>
      <c r="AT931" s="62"/>
      <c r="AU931" s="62"/>
      <c r="AV931" s="62"/>
      <c r="AW931" s="62"/>
      <c r="AX931" s="62"/>
    </row>
    <row r="932" spans="1:50" ht="14.25" customHeight="1" x14ac:dyDescent="0.3">
      <c r="A932" s="58"/>
      <c r="B932" s="58"/>
      <c r="C932" s="58"/>
      <c r="D932" s="58"/>
      <c r="E932" s="58"/>
      <c r="F932" s="58"/>
      <c r="G932" s="59"/>
      <c r="H932" s="60"/>
      <c r="I932" s="60"/>
      <c r="J932" s="59"/>
      <c r="K932" s="61"/>
      <c r="M932" s="62"/>
      <c r="N932" s="62"/>
      <c r="O932" s="62"/>
      <c r="P932" s="62"/>
      <c r="Q932" s="62"/>
      <c r="R932" s="62"/>
      <c r="S932" s="62"/>
      <c r="T932" s="62"/>
      <c r="U932" s="62"/>
      <c r="V932" s="62"/>
      <c r="W932" s="62"/>
      <c r="X932" s="62"/>
      <c r="Y932" s="62"/>
      <c r="Z932" s="62"/>
      <c r="AA932" s="62"/>
      <c r="AB932" s="62"/>
      <c r="AC932" s="62"/>
      <c r="AD932" s="62"/>
      <c r="AE932" s="62"/>
      <c r="AF932" s="62"/>
      <c r="AG932" s="62"/>
      <c r="AH932" s="62"/>
      <c r="AI932" s="62"/>
      <c r="AJ932" s="62"/>
      <c r="AK932" s="62"/>
      <c r="AL932" s="62"/>
      <c r="AM932" s="62"/>
      <c r="AN932" s="62"/>
      <c r="AO932" s="62"/>
      <c r="AP932" s="62"/>
      <c r="AQ932" s="62"/>
      <c r="AR932" s="62"/>
      <c r="AS932" s="62"/>
      <c r="AT932" s="62"/>
      <c r="AU932" s="62"/>
      <c r="AV932" s="62"/>
      <c r="AW932" s="62"/>
      <c r="AX932" s="62"/>
    </row>
    <row r="933" spans="1:50" ht="14.25" customHeight="1" x14ac:dyDescent="0.3">
      <c r="A933" s="58"/>
      <c r="B933" s="58"/>
      <c r="C933" s="58"/>
      <c r="D933" s="58"/>
      <c r="E933" s="58"/>
      <c r="F933" s="58"/>
      <c r="G933" s="59"/>
      <c r="H933" s="60"/>
      <c r="I933" s="60"/>
      <c r="J933" s="59"/>
      <c r="K933" s="61"/>
      <c r="M933" s="62"/>
      <c r="N933" s="62"/>
      <c r="O933" s="62"/>
      <c r="P933" s="62"/>
      <c r="Q933" s="62"/>
      <c r="R933" s="62"/>
      <c r="S933" s="62"/>
      <c r="T933" s="62"/>
      <c r="U933" s="62"/>
      <c r="V933" s="62"/>
      <c r="W933" s="62"/>
      <c r="X933" s="62"/>
      <c r="Y933" s="62"/>
      <c r="Z933" s="62"/>
      <c r="AA933" s="62"/>
      <c r="AB933" s="62"/>
      <c r="AC933" s="62"/>
      <c r="AD933" s="62"/>
      <c r="AE933" s="62"/>
      <c r="AF933" s="62"/>
      <c r="AG933" s="62"/>
      <c r="AH933" s="62"/>
      <c r="AI933" s="62"/>
      <c r="AJ933" s="62"/>
      <c r="AK933" s="62"/>
      <c r="AL933" s="62"/>
      <c r="AM933" s="62"/>
      <c r="AN933" s="62"/>
      <c r="AO933" s="62"/>
      <c r="AP933" s="62"/>
      <c r="AQ933" s="62"/>
      <c r="AR933" s="62"/>
      <c r="AS933" s="62"/>
      <c r="AT933" s="62"/>
      <c r="AU933" s="62"/>
      <c r="AV933" s="62"/>
      <c r="AW933" s="62"/>
      <c r="AX933" s="62"/>
    </row>
    <row r="934" spans="1:50" ht="14.25" customHeight="1" x14ac:dyDescent="0.3">
      <c r="A934" s="58"/>
      <c r="B934" s="58"/>
      <c r="C934" s="58"/>
      <c r="D934" s="58"/>
      <c r="E934" s="58"/>
      <c r="F934" s="58"/>
      <c r="G934" s="59"/>
      <c r="H934" s="60"/>
      <c r="I934" s="60"/>
      <c r="J934" s="59"/>
      <c r="K934" s="61"/>
      <c r="M934" s="62"/>
      <c r="N934" s="62"/>
      <c r="O934" s="62"/>
      <c r="P934" s="62"/>
      <c r="Q934" s="62"/>
      <c r="R934" s="62"/>
      <c r="S934" s="62"/>
      <c r="T934" s="62"/>
      <c r="U934" s="62"/>
      <c r="V934" s="62"/>
      <c r="W934" s="62"/>
      <c r="X934" s="62"/>
      <c r="Y934" s="62"/>
      <c r="Z934" s="62"/>
      <c r="AA934" s="62"/>
      <c r="AB934" s="62"/>
      <c r="AC934" s="62"/>
      <c r="AD934" s="62"/>
      <c r="AE934" s="62"/>
      <c r="AF934" s="62"/>
      <c r="AG934" s="62"/>
      <c r="AH934" s="62"/>
      <c r="AI934" s="62"/>
      <c r="AJ934" s="62"/>
      <c r="AK934" s="62"/>
      <c r="AL934" s="62"/>
      <c r="AM934" s="62"/>
      <c r="AN934" s="62"/>
      <c r="AO934" s="62"/>
      <c r="AP934" s="62"/>
      <c r="AQ934" s="62"/>
      <c r="AR934" s="62"/>
      <c r="AS934" s="62"/>
      <c r="AT934" s="62"/>
      <c r="AU934" s="62"/>
      <c r="AV934" s="62"/>
      <c r="AW934" s="62"/>
      <c r="AX934" s="62"/>
    </row>
    <row r="935" spans="1:50" ht="14.25" customHeight="1" x14ac:dyDescent="0.3">
      <c r="A935" s="58"/>
      <c r="B935" s="58"/>
      <c r="C935" s="58"/>
      <c r="D935" s="58"/>
      <c r="E935" s="58"/>
      <c r="F935" s="58"/>
      <c r="G935" s="59"/>
      <c r="H935" s="60"/>
      <c r="I935" s="60"/>
      <c r="J935" s="59"/>
      <c r="K935" s="61"/>
      <c r="M935" s="62"/>
      <c r="N935" s="62"/>
      <c r="O935" s="62"/>
      <c r="P935" s="62"/>
      <c r="Q935" s="62"/>
      <c r="R935" s="62"/>
      <c r="S935" s="62"/>
      <c r="T935" s="62"/>
      <c r="U935" s="62"/>
      <c r="V935" s="62"/>
      <c r="W935" s="62"/>
      <c r="X935" s="62"/>
      <c r="Y935" s="62"/>
      <c r="Z935" s="62"/>
      <c r="AA935" s="62"/>
      <c r="AB935" s="62"/>
      <c r="AC935" s="62"/>
      <c r="AD935" s="62"/>
      <c r="AE935" s="62"/>
      <c r="AF935" s="62"/>
      <c r="AG935" s="62"/>
      <c r="AH935" s="62"/>
      <c r="AI935" s="62"/>
      <c r="AJ935" s="62"/>
      <c r="AK935" s="62"/>
      <c r="AL935" s="62"/>
      <c r="AM935" s="62"/>
      <c r="AN935" s="62"/>
      <c r="AO935" s="62"/>
      <c r="AP935" s="62"/>
      <c r="AQ935" s="62"/>
      <c r="AR935" s="62"/>
      <c r="AS935" s="62"/>
      <c r="AT935" s="62"/>
      <c r="AU935" s="62"/>
      <c r="AV935" s="62"/>
      <c r="AW935" s="62"/>
      <c r="AX935" s="62"/>
    </row>
    <row r="936" spans="1:50" ht="14.25" customHeight="1" x14ac:dyDescent="0.3">
      <c r="A936" s="58"/>
      <c r="B936" s="58"/>
      <c r="C936" s="58"/>
      <c r="D936" s="58"/>
      <c r="E936" s="58"/>
      <c r="F936" s="58"/>
      <c r="G936" s="59"/>
      <c r="H936" s="60"/>
      <c r="I936" s="60"/>
      <c r="J936" s="59"/>
      <c r="K936" s="61"/>
      <c r="M936" s="62"/>
      <c r="N936" s="62"/>
      <c r="O936" s="62"/>
      <c r="P936" s="62"/>
      <c r="Q936" s="62"/>
      <c r="R936" s="62"/>
      <c r="S936" s="62"/>
      <c r="T936" s="62"/>
      <c r="U936" s="62"/>
      <c r="V936" s="62"/>
      <c r="W936" s="62"/>
      <c r="X936" s="62"/>
      <c r="Y936" s="62"/>
      <c r="Z936" s="62"/>
      <c r="AA936" s="62"/>
      <c r="AB936" s="62"/>
      <c r="AC936" s="62"/>
      <c r="AD936" s="62"/>
      <c r="AE936" s="62"/>
      <c r="AF936" s="62"/>
      <c r="AG936" s="62"/>
      <c r="AH936" s="62"/>
      <c r="AI936" s="62"/>
      <c r="AJ936" s="62"/>
      <c r="AK936" s="62"/>
      <c r="AL936" s="62"/>
      <c r="AM936" s="62"/>
      <c r="AN936" s="62"/>
      <c r="AO936" s="62"/>
      <c r="AP936" s="62"/>
      <c r="AQ936" s="62"/>
      <c r="AR936" s="62"/>
      <c r="AS936" s="62"/>
      <c r="AT936" s="62"/>
      <c r="AU936" s="62"/>
      <c r="AV936" s="62"/>
      <c r="AW936" s="62"/>
      <c r="AX936" s="62"/>
    </row>
    <row r="937" spans="1:50" ht="14.25" customHeight="1" x14ac:dyDescent="0.3">
      <c r="A937" s="58"/>
      <c r="B937" s="58"/>
      <c r="C937" s="58"/>
      <c r="D937" s="58"/>
      <c r="E937" s="58"/>
      <c r="F937" s="58"/>
      <c r="G937" s="59"/>
      <c r="H937" s="60"/>
      <c r="I937" s="60"/>
      <c r="J937" s="59"/>
      <c r="K937" s="61"/>
      <c r="M937" s="62"/>
      <c r="N937" s="62"/>
      <c r="O937" s="62"/>
      <c r="P937" s="62"/>
      <c r="Q937" s="62"/>
      <c r="R937" s="62"/>
      <c r="S937" s="62"/>
      <c r="T937" s="62"/>
      <c r="U937" s="62"/>
      <c r="V937" s="62"/>
      <c r="W937" s="62"/>
      <c r="X937" s="62"/>
      <c r="Y937" s="62"/>
      <c r="Z937" s="62"/>
      <c r="AA937" s="62"/>
      <c r="AB937" s="62"/>
      <c r="AC937" s="62"/>
      <c r="AD937" s="62"/>
      <c r="AE937" s="62"/>
      <c r="AF937" s="62"/>
      <c r="AG937" s="62"/>
      <c r="AH937" s="62"/>
      <c r="AI937" s="62"/>
      <c r="AJ937" s="62"/>
      <c r="AK937" s="62"/>
      <c r="AL937" s="62"/>
      <c r="AM937" s="62"/>
      <c r="AN937" s="62"/>
      <c r="AO937" s="62"/>
      <c r="AP937" s="62"/>
      <c r="AQ937" s="62"/>
      <c r="AR937" s="62"/>
      <c r="AS937" s="62"/>
      <c r="AT937" s="62"/>
      <c r="AU937" s="62"/>
      <c r="AV937" s="62"/>
      <c r="AW937" s="62"/>
      <c r="AX937" s="62"/>
    </row>
    <row r="938" spans="1:50" ht="14.25" customHeight="1" x14ac:dyDescent="0.3">
      <c r="A938" s="58"/>
      <c r="B938" s="58"/>
      <c r="C938" s="58"/>
      <c r="D938" s="58"/>
      <c r="E938" s="58"/>
      <c r="F938" s="58"/>
      <c r="G938" s="59"/>
      <c r="H938" s="60"/>
      <c r="I938" s="60"/>
      <c r="J938" s="59"/>
      <c r="K938" s="61"/>
      <c r="M938" s="62"/>
      <c r="N938" s="62"/>
      <c r="O938" s="62"/>
      <c r="P938" s="62"/>
      <c r="Q938" s="62"/>
      <c r="R938" s="62"/>
      <c r="S938" s="62"/>
      <c r="T938" s="62"/>
      <c r="U938" s="62"/>
      <c r="V938" s="62"/>
      <c r="W938" s="62"/>
      <c r="X938" s="62"/>
      <c r="Y938" s="62"/>
      <c r="Z938" s="62"/>
      <c r="AA938" s="62"/>
      <c r="AB938" s="62"/>
      <c r="AC938" s="62"/>
      <c r="AD938" s="62"/>
      <c r="AE938" s="62"/>
      <c r="AF938" s="62"/>
      <c r="AG938" s="62"/>
      <c r="AH938" s="62"/>
      <c r="AI938" s="62"/>
      <c r="AJ938" s="62"/>
      <c r="AK938" s="62"/>
      <c r="AL938" s="62"/>
      <c r="AM938" s="62"/>
      <c r="AN938" s="62"/>
      <c r="AO938" s="62"/>
      <c r="AP938" s="62"/>
      <c r="AQ938" s="62"/>
      <c r="AR938" s="62"/>
      <c r="AS938" s="62"/>
      <c r="AT938" s="62"/>
      <c r="AU938" s="62"/>
      <c r="AV938" s="62"/>
      <c r="AW938" s="62"/>
      <c r="AX938" s="62"/>
    </row>
    <row r="939" spans="1:50" ht="14.25" customHeight="1" x14ac:dyDescent="0.3">
      <c r="A939" s="58"/>
      <c r="B939" s="58"/>
      <c r="C939" s="58"/>
      <c r="D939" s="58"/>
      <c r="E939" s="58"/>
      <c r="F939" s="58"/>
      <c r="G939" s="59"/>
      <c r="H939" s="60"/>
      <c r="I939" s="60"/>
      <c r="J939" s="59"/>
      <c r="K939" s="61"/>
      <c r="M939" s="62"/>
      <c r="N939" s="62"/>
      <c r="O939" s="62"/>
      <c r="P939" s="62"/>
      <c r="Q939" s="62"/>
      <c r="R939" s="62"/>
      <c r="S939" s="62"/>
      <c r="T939" s="62"/>
      <c r="U939" s="62"/>
      <c r="V939" s="62"/>
      <c r="W939" s="62"/>
      <c r="X939" s="62"/>
      <c r="Y939" s="62"/>
      <c r="Z939" s="62"/>
      <c r="AA939" s="62"/>
      <c r="AB939" s="62"/>
      <c r="AC939" s="62"/>
      <c r="AD939" s="62"/>
      <c r="AE939" s="62"/>
      <c r="AF939" s="62"/>
      <c r="AG939" s="62"/>
      <c r="AH939" s="62"/>
      <c r="AI939" s="62"/>
      <c r="AJ939" s="62"/>
      <c r="AK939" s="62"/>
      <c r="AL939" s="62"/>
      <c r="AM939" s="62"/>
      <c r="AN939" s="62"/>
      <c r="AO939" s="62"/>
      <c r="AP939" s="62"/>
      <c r="AQ939" s="62"/>
      <c r="AR939" s="62"/>
      <c r="AS939" s="62"/>
      <c r="AT939" s="62"/>
      <c r="AU939" s="62"/>
      <c r="AV939" s="62"/>
      <c r="AW939" s="62"/>
      <c r="AX939" s="62"/>
    </row>
    <row r="940" spans="1:50" ht="14.25" customHeight="1" x14ac:dyDescent="0.3">
      <c r="A940" s="58"/>
      <c r="B940" s="58"/>
      <c r="C940" s="58"/>
      <c r="D940" s="58"/>
      <c r="E940" s="58"/>
      <c r="F940" s="58"/>
      <c r="G940" s="59"/>
      <c r="H940" s="60"/>
      <c r="I940" s="60"/>
      <c r="J940" s="59"/>
      <c r="K940" s="61"/>
      <c r="M940" s="62"/>
      <c r="N940" s="62"/>
      <c r="O940" s="62"/>
      <c r="P940" s="62"/>
      <c r="Q940" s="62"/>
      <c r="R940" s="62"/>
      <c r="S940" s="62"/>
      <c r="T940" s="62"/>
      <c r="U940" s="62"/>
      <c r="V940" s="62"/>
      <c r="W940" s="62"/>
      <c r="X940" s="62"/>
      <c r="Y940" s="62"/>
      <c r="Z940" s="62"/>
      <c r="AA940" s="62"/>
      <c r="AB940" s="62"/>
      <c r="AC940" s="62"/>
      <c r="AD940" s="62"/>
      <c r="AE940" s="62"/>
      <c r="AF940" s="62"/>
      <c r="AG940" s="62"/>
      <c r="AH940" s="62"/>
      <c r="AI940" s="62"/>
      <c r="AJ940" s="62"/>
      <c r="AK940" s="62"/>
      <c r="AL940" s="62"/>
      <c r="AM940" s="62"/>
      <c r="AN940" s="62"/>
      <c r="AO940" s="62"/>
      <c r="AP940" s="62"/>
      <c r="AQ940" s="62"/>
      <c r="AR940" s="62"/>
      <c r="AS940" s="62"/>
      <c r="AT940" s="62"/>
      <c r="AU940" s="62"/>
      <c r="AV940" s="62"/>
      <c r="AW940" s="62"/>
      <c r="AX940" s="62"/>
    </row>
    <row r="941" spans="1:50" ht="14.25" customHeight="1" x14ac:dyDescent="0.3">
      <c r="A941" s="58"/>
      <c r="B941" s="58"/>
      <c r="C941" s="58"/>
      <c r="D941" s="58"/>
      <c r="E941" s="58"/>
      <c r="F941" s="58"/>
      <c r="G941" s="59"/>
      <c r="H941" s="60"/>
      <c r="I941" s="60"/>
      <c r="J941" s="59"/>
      <c r="K941" s="61"/>
      <c r="M941" s="62"/>
      <c r="N941" s="62"/>
      <c r="O941" s="62"/>
      <c r="P941" s="62"/>
      <c r="Q941" s="62"/>
      <c r="R941" s="62"/>
      <c r="S941" s="62"/>
      <c r="T941" s="62"/>
      <c r="U941" s="62"/>
      <c r="V941" s="62"/>
      <c r="W941" s="62"/>
      <c r="X941" s="62"/>
      <c r="Y941" s="62"/>
      <c r="Z941" s="62"/>
      <c r="AA941" s="62"/>
      <c r="AB941" s="62"/>
      <c r="AC941" s="62"/>
      <c r="AD941" s="62"/>
      <c r="AE941" s="62"/>
      <c r="AF941" s="62"/>
      <c r="AG941" s="62"/>
      <c r="AH941" s="62"/>
      <c r="AI941" s="62"/>
      <c r="AJ941" s="62"/>
      <c r="AK941" s="62"/>
      <c r="AL941" s="62"/>
      <c r="AM941" s="62"/>
      <c r="AN941" s="62"/>
      <c r="AO941" s="62"/>
      <c r="AP941" s="62"/>
      <c r="AQ941" s="62"/>
      <c r="AR941" s="62"/>
      <c r="AS941" s="62"/>
      <c r="AT941" s="62"/>
      <c r="AU941" s="62"/>
      <c r="AV941" s="62"/>
      <c r="AW941" s="62"/>
      <c r="AX941" s="62"/>
    </row>
    <row r="942" spans="1:50" ht="14.25" customHeight="1" x14ac:dyDescent="0.3">
      <c r="A942" s="58"/>
      <c r="B942" s="58"/>
      <c r="C942" s="58"/>
      <c r="D942" s="58"/>
      <c r="E942" s="58"/>
      <c r="F942" s="58"/>
      <c r="G942" s="59"/>
      <c r="H942" s="60"/>
      <c r="I942" s="60"/>
      <c r="J942" s="59"/>
      <c r="K942" s="61"/>
      <c r="M942" s="62"/>
      <c r="N942" s="62"/>
      <c r="O942" s="62"/>
      <c r="P942" s="62"/>
      <c r="Q942" s="62"/>
      <c r="R942" s="62"/>
      <c r="S942" s="62"/>
      <c r="T942" s="62"/>
      <c r="U942" s="62"/>
      <c r="V942" s="62"/>
      <c r="W942" s="62"/>
      <c r="X942" s="62"/>
      <c r="Y942" s="62"/>
      <c r="Z942" s="62"/>
      <c r="AA942" s="62"/>
      <c r="AB942" s="62"/>
      <c r="AC942" s="62"/>
      <c r="AD942" s="62"/>
      <c r="AE942" s="62"/>
      <c r="AF942" s="62"/>
      <c r="AG942" s="62"/>
      <c r="AH942" s="62"/>
      <c r="AI942" s="62"/>
      <c r="AJ942" s="62"/>
      <c r="AK942" s="62"/>
      <c r="AL942" s="62"/>
      <c r="AM942" s="62"/>
      <c r="AN942" s="62"/>
      <c r="AO942" s="62"/>
      <c r="AP942" s="62"/>
      <c r="AQ942" s="62"/>
      <c r="AR942" s="62"/>
      <c r="AS942" s="62"/>
      <c r="AT942" s="62"/>
      <c r="AU942" s="62"/>
      <c r="AV942" s="62"/>
      <c r="AW942" s="62"/>
      <c r="AX942" s="62"/>
    </row>
    <row r="943" spans="1:50" ht="14.25" customHeight="1" x14ac:dyDescent="0.3">
      <c r="A943" s="58"/>
      <c r="B943" s="58"/>
      <c r="C943" s="58"/>
      <c r="D943" s="58"/>
      <c r="E943" s="58"/>
      <c r="F943" s="58"/>
      <c r="G943" s="59"/>
      <c r="H943" s="60"/>
      <c r="I943" s="60"/>
      <c r="J943" s="59"/>
      <c r="K943" s="61"/>
      <c r="M943" s="62"/>
      <c r="N943" s="62"/>
      <c r="O943" s="62"/>
      <c r="P943" s="62"/>
      <c r="Q943" s="62"/>
      <c r="R943" s="62"/>
      <c r="S943" s="62"/>
      <c r="T943" s="62"/>
      <c r="U943" s="62"/>
      <c r="V943" s="62"/>
      <c r="W943" s="62"/>
      <c r="X943" s="62"/>
      <c r="Y943" s="62"/>
      <c r="Z943" s="62"/>
      <c r="AA943" s="62"/>
      <c r="AB943" s="62"/>
      <c r="AC943" s="62"/>
      <c r="AD943" s="62"/>
      <c r="AE943" s="62"/>
      <c r="AF943" s="62"/>
      <c r="AG943" s="62"/>
      <c r="AH943" s="62"/>
      <c r="AI943" s="62"/>
      <c r="AJ943" s="62"/>
      <c r="AK943" s="62"/>
      <c r="AL943" s="62"/>
      <c r="AM943" s="62"/>
      <c r="AN943" s="62"/>
      <c r="AO943" s="62"/>
      <c r="AP943" s="62"/>
      <c r="AQ943" s="62"/>
      <c r="AR943" s="62"/>
      <c r="AS943" s="62"/>
      <c r="AT943" s="62"/>
      <c r="AU943" s="62"/>
      <c r="AV943" s="62"/>
      <c r="AW943" s="62"/>
      <c r="AX943" s="62"/>
    </row>
    <row r="944" spans="1:50" ht="14.25" customHeight="1" x14ac:dyDescent="0.3">
      <c r="A944" s="58"/>
      <c r="B944" s="58"/>
      <c r="C944" s="58"/>
      <c r="D944" s="58"/>
      <c r="E944" s="58"/>
      <c r="F944" s="58"/>
      <c r="G944" s="59"/>
      <c r="H944" s="60"/>
      <c r="I944" s="60"/>
      <c r="J944" s="59"/>
      <c r="K944" s="61"/>
      <c r="M944" s="62"/>
      <c r="N944" s="62"/>
      <c r="O944" s="62"/>
      <c r="P944" s="62"/>
      <c r="Q944" s="62"/>
      <c r="R944" s="62"/>
      <c r="S944" s="62"/>
      <c r="T944" s="62"/>
      <c r="U944" s="62"/>
      <c r="V944" s="62"/>
      <c r="W944" s="62"/>
      <c r="X944" s="62"/>
      <c r="Y944" s="62"/>
      <c r="Z944" s="62"/>
      <c r="AA944" s="62"/>
      <c r="AB944" s="62"/>
      <c r="AC944" s="62"/>
      <c r="AD944" s="62"/>
      <c r="AE944" s="62"/>
      <c r="AF944" s="62"/>
      <c r="AG944" s="62"/>
      <c r="AH944" s="62"/>
      <c r="AI944" s="62"/>
      <c r="AJ944" s="62"/>
      <c r="AK944" s="62"/>
      <c r="AL944" s="62"/>
      <c r="AM944" s="62"/>
      <c r="AN944" s="62"/>
      <c r="AO944" s="62"/>
      <c r="AP944" s="62"/>
      <c r="AQ944" s="62"/>
      <c r="AR944" s="62"/>
      <c r="AS944" s="62"/>
      <c r="AT944" s="62"/>
      <c r="AU944" s="62"/>
      <c r="AV944" s="62"/>
      <c r="AW944" s="62"/>
      <c r="AX944" s="62"/>
    </row>
    <row r="945" spans="1:50" ht="14.25" customHeight="1" x14ac:dyDescent="0.3">
      <c r="A945" s="58"/>
      <c r="B945" s="58"/>
      <c r="C945" s="58"/>
      <c r="D945" s="58"/>
      <c r="E945" s="58"/>
      <c r="F945" s="58"/>
      <c r="G945" s="59"/>
      <c r="H945" s="60"/>
      <c r="I945" s="60"/>
      <c r="J945" s="59"/>
      <c r="K945" s="61"/>
      <c r="M945" s="62"/>
      <c r="N945" s="62"/>
      <c r="O945" s="62"/>
      <c r="P945" s="62"/>
      <c r="Q945" s="62"/>
      <c r="R945" s="62"/>
      <c r="S945" s="62"/>
      <c r="T945" s="62"/>
      <c r="U945" s="62"/>
      <c r="V945" s="62"/>
      <c r="W945" s="62"/>
      <c r="X945" s="62"/>
      <c r="Y945" s="62"/>
      <c r="Z945" s="62"/>
      <c r="AA945" s="62"/>
      <c r="AB945" s="62"/>
      <c r="AC945" s="62"/>
      <c r="AD945" s="62"/>
      <c r="AE945" s="62"/>
      <c r="AF945" s="62"/>
      <c r="AG945" s="62"/>
      <c r="AH945" s="62"/>
      <c r="AI945" s="62"/>
      <c r="AJ945" s="62"/>
      <c r="AK945" s="62"/>
      <c r="AL945" s="62"/>
      <c r="AM945" s="62"/>
      <c r="AN945" s="62"/>
      <c r="AO945" s="62"/>
      <c r="AP945" s="62"/>
      <c r="AQ945" s="62"/>
      <c r="AR945" s="62"/>
      <c r="AS945" s="62"/>
      <c r="AT945" s="62"/>
      <c r="AU945" s="62"/>
      <c r="AV945" s="62"/>
      <c r="AW945" s="62"/>
      <c r="AX945" s="62"/>
    </row>
    <row r="946" spans="1:50" ht="14.25" customHeight="1" x14ac:dyDescent="0.3">
      <c r="A946" s="58"/>
      <c r="B946" s="58"/>
      <c r="C946" s="58"/>
      <c r="D946" s="58"/>
      <c r="E946" s="58"/>
      <c r="F946" s="58"/>
      <c r="G946" s="59"/>
      <c r="H946" s="60"/>
      <c r="I946" s="60"/>
      <c r="J946" s="59"/>
      <c r="K946" s="61"/>
      <c r="M946" s="62"/>
      <c r="N946" s="62"/>
      <c r="O946" s="62"/>
      <c r="P946" s="62"/>
      <c r="Q946" s="62"/>
      <c r="R946" s="62"/>
      <c r="S946" s="62"/>
      <c r="T946" s="62"/>
      <c r="U946" s="62"/>
      <c r="V946" s="62"/>
      <c r="W946" s="62"/>
      <c r="X946" s="62"/>
      <c r="Y946" s="62"/>
      <c r="Z946" s="62"/>
      <c r="AA946" s="62"/>
      <c r="AB946" s="62"/>
      <c r="AC946" s="62"/>
      <c r="AD946" s="62"/>
      <c r="AE946" s="62"/>
      <c r="AF946" s="62"/>
      <c r="AG946" s="62"/>
      <c r="AH946" s="62"/>
      <c r="AI946" s="62"/>
      <c r="AJ946" s="62"/>
      <c r="AK946" s="62"/>
      <c r="AL946" s="62"/>
      <c r="AM946" s="62"/>
      <c r="AN946" s="62"/>
      <c r="AO946" s="62"/>
      <c r="AP946" s="62"/>
      <c r="AQ946" s="62"/>
      <c r="AR946" s="62"/>
      <c r="AS946" s="62"/>
      <c r="AT946" s="62"/>
      <c r="AU946" s="62"/>
      <c r="AV946" s="62"/>
      <c r="AW946" s="62"/>
      <c r="AX946" s="62"/>
    </row>
    <row r="947" spans="1:50" ht="14.25" customHeight="1" x14ac:dyDescent="0.3">
      <c r="A947" s="58"/>
      <c r="B947" s="58"/>
      <c r="C947" s="58"/>
      <c r="D947" s="58"/>
      <c r="E947" s="58"/>
      <c r="F947" s="58"/>
      <c r="G947" s="59"/>
      <c r="H947" s="60"/>
      <c r="I947" s="60"/>
      <c r="J947" s="59"/>
      <c r="K947" s="61"/>
      <c r="M947" s="62"/>
      <c r="N947" s="62"/>
      <c r="O947" s="62"/>
      <c r="P947" s="62"/>
      <c r="Q947" s="62"/>
      <c r="R947" s="62"/>
      <c r="S947" s="62"/>
      <c r="T947" s="62"/>
      <c r="U947" s="62"/>
      <c r="V947" s="62"/>
      <c r="W947" s="62"/>
      <c r="X947" s="62"/>
      <c r="Y947" s="62"/>
      <c r="Z947" s="62"/>
      <c r="AA947" s="62"/>
      <c r="AB947" s="62"/>
      <c r="AC947" s="62"/>
      <c r="AD947" s="62"/>
      <c r="AE947" s="62"/>
      <c r="AF947" s="62"/>
      <c r="AG947" s="62"/>
      <c r="AH947" s="62"/>
      <c r="AI947" s="62"/>
      <c r="AJ947" s="62"/>
      <c r="AK947" s="62"/>
      <c r="AL947" s="62"/>
      <c r="AM947" s="62"/>
      <c r="AN947" s="62"/>
      <c r="AO947" s="62"/>
      <c r="AP947" s="62"/>
      <c r="AQ947" s="62"/>
      <c r="AR947" s="62"/>
      <c r="AS947" s="62"/>
      <c r="AT947" s="62"/>
      <c r="AU947" s="62"/>
      <c r="AV947" s="62"/>
      <c r="AW947" s="62"/>
      <c r="AX947" s="62"/>
    </row>
    <row r="948" spans="1:50" ht="14.25" customHeight="1" x14ac:dyDescent="0.3">
      <c r="A948" s="58"/>
      <c r="B948" s="58"/>
      <c r="C948" s="58"/>
      <c r="D948" s="58"/>
      <c r="E948" s="58"/>
      <c r="F948" s="58"/>
      <c r="G948" s="59"/>
      <c r="H948" s="60"/>
      <c r="I948" s="60"/>
      <c r="J948" s="59"/>
      <c r="K948" s="61"/>
      <c r="M948" s="62"/>
      <c r="N948" s="62"/>
      <c r="O948" s="62"/>
      <c r="P948" s="62"/>
      <c r="Q948" s="62"/>
      <c r="R948" s="62"/>
      <c r="S948" s="62"/>
      <c r="T948" s="62"/>
      <c r="U948" s="62"/>
      <c r="V948" s="62"/>
      <c r="W948" s="62"/>
      <c r="X948" s="62"/>
      <c r="Y948" s="62"/>
      <c r="Z948" s="62"/>
      <c r="AA948" s="62"/>
      <c r="AB948" s="62"/>
      <c r="AC948" s="62"/>
      <c r="AD948" s="62"/>
      <c r="AE948" s="62"/>
      <c r="AF948" s="62"/>
      <c r="AG948" s="62"/>
      <c r="AH948" s="62"/>
      <c r="AI948" s="62"/>
      <c r="AJ948" s="62"/>
      <c r="AK948" s="62"/>
      <c r="AL948" s="62"/>
      <c r="AM948" s="62"/>
      <c r="AN948" s="62"/>
      <c r="AO948" s="62"/>
      <c r="AP948" s="62"/>
      <c r="AQ948" s="62"/>
      <c r="AR948" s="62"/>
      <c r="AS948" s="62"/>
      <c r="AT948" s="62"/>
      <c r="AU948" s="62"/>
      <c r="AV948" s="62"/>
      <c r="AW948" s="62"/>
      <c r="AX948" s="62"/>
    </row>
    <row r="949" spans="1:50" ht="14.25" customHeight="1" x14ac:dyDescent="0.3">
      <c r="A949" s="58"/>
      <c r="B949" s="58"/>
      <c r="C949" s="58"/>
      <c r="D949" s="58"/>
      <c r="E949" s="58"/>
      <c r="F949" s="58"/>
      <c r="G949" s="59"/>
      <c r="H949" s="60"/>
      <c r="I949" s="60"/>
      <c r="J949" s="59"/>
      <c r="K949" s="61"/>
      <c r="M949" s="62"/>
      <c r="N949" s="62"/>
      <c r="O949" s="62"/>
      <c r="P949" s="62"/>
      <c r="Q949" s="62"/>
      <c r="R949" s="62"/>
      <c r="S949" s="62"/>
      <c r="T949" s="62"/>
      <c r="U949" s="62"/>
      <c r="V949" s="62"/>
      <c r="W949" s="62"/>
      <c r="X949" s="62"/>
      <c r="Y949" s="62"/>
      <c r="Z949" s="62"/>
      <c r="AA949" s="62"/>
      <c r="AB949" s="62"/>
      <c r="AC949" s="62"/>
      <c r="AD949" s="62"/>
      <c r="AE949" s="62"/>
      <c r="AF949" s="62"/>
      <c r="AG949" s="62"/>
      <c r="AH949" s="62"/>
      <c r="AI949" s="62"/>
      <c r="AJ949" s="62"/>
      <c r="AK949" s="62"/>
      <c r="AL949" s="62"/>
      <c r="AM949" s="62"/>
      <c r="AN949" s="62"/>
      <c r="AO949" s="62"/>
      <c r="AP949" s="62"/>
      <c r="AQ949" s="62"/>
      <c r="AR949" s="62"/>
      <c r="AS949" s="62"/>
      <c r="AT949" s="62"/>
      <c r="AU949" s="62"/>
      <c r="AV949" s="62"/>
      <c r="AW949" s="62"/>
      <c r="AX949" s="62"/>
    </row>
    <row r="950" spans="1:50" ht="14.25" customHeight="1" x14ac:dyDescent="0.3">
      <c r="A950" s="58"/>
      <c r="B950" s="58"/>
      <c r="C950" s="58"/>
      <c r="D950" s="58"/>
      <c r="E950" s="58"/>
      <c r="F950" s="58"/>
      <c r="G950" s="59"/>
      <c r="H950" s="60"/>
      <c r="I950" s="60"/>
      <c r="J950" s="59"/>
      <c r="K950" s="61"/>
      <c r="M950" s="62"/>
      <c r="N950" s="62"/>
      <c r="O950" s="62"/>
      <c r="P950" s="62"/>
      <c r="Q950" s="62"/>
      <c r="R950" s="62"/>
      <c r="S950" s="62"/>
      <c r="T950" s="62"/>
      <c r="U950" s="62"/>
      <c r="V950" s="62"/>
      <c r="W950" s="62"/>
      <c r="X950" s="62"/>
      <c r="Y950" s="62"/>
      <c r="Z950" s="62"/>
      <c r="AA950" s="62"/>
      <c r="AB950" s="62"/>
      <c r="AC950" s="62"/>
      <c r="AD950" s="62"/>
      <c r="AE950" s="62"/>
      <c r="AF950" s="62"/>
      <c r="AG950" s="62"/>
      <c r="AH950" s="62"/>
      <c r="AI950" s="62"/>
      <c r="AJ950" s="62"/>
      <c r="AK950" s="62"/>
      <c r="AL950" s="62"/>
      <c r="AM950" s="62"/>
      <c r="AN950" s="62"/>
      <c r="AO950" s="62"/>
      <c r="AP950" s="62"/>
      <c r="AQ950" s="62"/>
      <c r="AR950" s="62"/>
      <c r="AS950" s="62"/>
      <c r="AT950" s="62"/>
      <c r="AU950" s="62"/>
      <c r="AV950" s="62"/>
      <c r="AW950" s="62"/>
      <c r="AX950" s="62"/>
    </row>
    <row r="951" spans="1:50" ht="14.25" customHeight="1" x14ac:dyDescent="0.3">
      <c r="A951" s="58"/>
      <c r="B951" s="58"/>
      <c r="C951" s="58"/>
      <c r="D951" s="58"/>
      <c r="E951" s="58"/>
      <c r="F951" s="58"/>
      <c r="G951" s="59"/>
      <c r="H951" s="60"/>
      <c r="I951" s="60"/>
      <c r="J951" s="59"/>
      <c r="K951" s="61"/>
      <c r="M951" s="62"/>
      <c r="N951" s="62"/>
      <c r="O951" s="62"/>
      <c r="P951" s="62"/>
      <c r="Q951" s="62"/>
      <c r="R951" s="62"/>
      <c r="S951" s="62"/>
      <c r="T951" s="62"/>
      <c r="U951" s="62"/>
      <c r="V951" s="62"/>
      <c r="W951" s="62"/>
      <c r="X951" s="62"/>
      <c r="Y951" s="62"/>
      <c r="Z951" s="62"/>
      <c r="AA951" s="62"/>
      <c r="AB951" s="62"/>
      <c r="AC951" s="62"/>
      <c r="AD951" s="62"/>
      <c r="AE951" s="62"/>
      <c r="AF951" s="62"/>
      <c r="AG951" s="62"/>
      <c r="AH951" s="62"/>
      <c r="AI951" s="62"/>
      <c r="AJ951" s="62"/>
      <c r="AK951" s="62"/>
      <c r="AL951" s="62"/>
      <c r="AM951" s="62"/>
      <c r="AN951" s="62"/>
      <c r="AO951" s="62"/>
      <c r="AP951" s="62"/>
      <c r="AQ951" s="62"/>
      <c r="AR951" s="62"/>
      <c r="AS951" s="62"/>
      <c r="AT951" s="62"/>
      <c r="AU951" s="62"/>
      <c r="AV951" s="62"/>
      <c r="AW951" s="62"/>
      <c r="AX951" s="62"/>
    </row>
    <row r="952" spans="1:50" ht="14.25" customHeight="1" x14ac:dyDescent="0.3">
      <c r="A952" s="58"/>
      <c r="B952" s="58"/>
      <c r="C952" s="58"/>
      <c r="D952" s="58"/>
      <c r="E952" s="58"/>
      <c r="F952" s="58"/>
      <c r="G952" s="59"/>
      <c r="H952" s="60"/>
      <c r="I952" s="60"/>
      <c r="J952" s="59"/>
      <c r="K952" s="61"/>
      <c r="M952" s="62"/>
      <c r="N952" s="62"/>
      <c r="O952" s="62"/>
      <c r="P952" s="62"/>
      <c r="Q952" s="62"/>
      <c r="R952" s="62"/>
      <c r="S952" s="62"/>
      <c r="T952" s="62"/>
      <c r="U952" s="62"/>
      <c r="V952" s="62"/>
      <c r="W952" s="62"/>
      <c r="X952" s="62"/>
      <c r="Y952" s="62"/>
      <c r="Z952" s="62"/>
      <c r="AA952" s="62"/>
      <c r="AB952" s="62"/>
      <c r="AC952" s="62"/>
      <c r="AD952" s="62"/>
      <c r="AE952" s="62"/>
      <c r="AF952" s="62"/>
      <c r="AG952" s="62"/>
      <c r="AH952" s="62"/>
      <c r="AI952" s="62"/>
      <c r="AJ952" s="62"/>
      <c r="AK952" s="62"/>
      <c r="AL952" s="62"/>
      <c r="AM952" s="62"/>
      <c r="AN952" s="62"/>
      <c r="AO952" s="62"/>
      <c r="AP952" s="62"/>
      <c r="AQ952" s="62"/>
      <c r="AR952" s="62"/>
      <c r="AS952" s="62"/>
      <c r="AT952" s="62"/>
      <c r="AU952" s="62"/>
      <c r="AV952" s="62"/>
      <c r="AW952" s="62"/>
      <c r="AX952" s="62"/>
    </row>
    <row r="953" spans="1:50" ht="14.25" customHeight="1" x14ac:dyDescent="0.3">
      <c r="A953" s="58"/>
      <c r="B953" s="58"/>
      <c r="C953" s="58"/>
      <c r="D953" s="58"/>
      <c r="E953" s="58"/>
      <c r="F953" s="58"/>
      <c r="G953" s="59"/>
      <c r="H953" s="60"/>
      <c r="I953" s="60"/>
      <c r="J953" s="59"/>
      <c r="K953" s="61"/>
      <c r="M953" s="62"/>
      <c r="N953" s="62"/>
      <c r="O953" s="62"/>
      <c r="P953" s="62"/>
      <c r="Q953" s="62"/>
      <c r="R953" s="62"/>
      <c r="S953" s="62"/>
      <c r="T953" s="62"/>
      <c r="U953" s="62"/>
      <c r="V953" s="62"/>
      <c r="W953" s="62"/>
      <c r="X953" s="62"/>
      <c r="Y953" s="62"/>
      <c r="Z953" s="62"/>
      <c r="AA953" s="62"/>
      <c r="AB953" s="62"/>
      <c r="AC953" s="62"/>
      <c r="AD953" s="62"/>
      <c r="AE953" s="62"/>
      <c r="AF953" s="62"/>
      <c r="AG953" s="62"/>
      <c r="AH953" s="62"/>
      <c r="AI953" s="62"/>
      <c r="AJ953" s="62"/>
      <c r="AK953" s="62"/>
      <c r="AL953" s="62"/>
      <c r="AM953" s="62"/>
      <c r="AN953" s="62"/>
      <c r="AO953" s="62"/>
      <c r="AP953" s="62"/>
      <c r="AQ953" s="62"/>
      <c r="AR953" s="62"/>
      <c r="AS953" s="62"/>
      <c r="AT953" s="62"/>
      <c r="AU953" s="62"/>
      <c r="AV953" s="62"/>
      <c r="AW953" s="62"/>
      <c r="AX953" s="62"/>
    </row>
    <row r="954" spans="1:50" ht="14.25" customHeight="1" x14ac:dyDescent="0.3">
      <c r="A954" s="58"/>
      <c r="B954" s="58"/>
      <c r="C954" s="58"/>
      <c r="D954" s="58"/>
      <c r="E954" s="58"/>
      <c r="F954" s="58"/>
      <c r="G954" s="59"/>
      <c r="H954" s="60"/>
      <c r="I954" s="60"/>
      <c r="J954" s="59"/>
      <c r="K954" s="61"/>
      <c r="M954" s="62"/>
      <c r="N954" s="62"/>
      <c r="O954" s="62"/>
      <c r="P954" s="62"/>
      <c r="Q954" s="62"/>
      <c r="R954" s="62"/>
      <c r="S954" s="62"/>
      <c r="T954" s="62"/>
      <c r="U954" s="62"/>
      <c r="V954" s="62"/>
      <c r="W954" s="62"/>
      <c r="X954" s="62"/>
      <c r="Y954" s="62"/>
      <c r="Z954" s="62"/>
      <c r="AA954" s="62"/>
      <c r="AB954" s="62"/>
      <c r="AC954" s="62"/>
      <c r="AD954" s="62"/>
      <c r="AE954" s="62"/>
      <c r="AF954" s="62"/>
      <c r="AG954" s="62"/>
      <c r="AH954" s="62"/>
      <c r="AI954" s="62"/>
      <c r="AJ954" s="62"/>
      <c r="AK954" s="62"/>
      <c r="AL954" s="62"/>
      <c r="AM954" s="62"/>
      <c r="AN954" s="62"/>
      <c r="AO954" s="62"/>
      <c r="AP954" s="62"/>
      <c r="AQ954" s="62"/>
      <c r="AR954" s="62"/>
      <c r="AS954" s="62"/>
      <c r="AT954" s="62"/>
      <c r="AU954" s="62"/>
      <c r="AV954" s="62"/>
      <c r="AW954" s="62"/>
      <c r="AX954" s="62"/>
    </row>
    <row r="955" spans="1:50" ht="14.25" customHeight="1" x14ac:dyDescent="0.3">
      <c r="A955" s="58"/>
      <c r="B955" s="58"/>
      <c r="C955" s="58"/>
      <c r="D955" s="58"/>
      <c r="E955" s="58"/>
      <c r="F955" s="58"/>
      <c r="G955" s="59"/>
      <c r="H955" s="60"/>
      <c r="I955" s="60"/>
      <c r="J955" s="59"/>
      <c r="K955" s="61"/>
      <c r="M955" s="62"/>
      <c r="N955" s="62"/>
      <c r="O955" s="62"/>
      <c r="P955" s="62"/>
      <c r="Q955" s="62"/>
      <c r="R955" s="62"/>
      <c r="S955" s="62"/>
      <c r="T955" s="62"/>
      <c r="U955" s="62"/>
      <c r="V955" s="62"/>
      <c r="W955" s="62"/>
      <c r="X955" s="62"/>
      <c r="Y955" s="62"/>
      <c r="Z955" s="62"/>
      <c r="AA955" s="62"/>
      <c r="AB955" s="62"/>
      <c r="AC955" s="62"/>
      <c r="AD955" s="62"/>
      <c r="AE955" s="62"/>
      <c r="AF955" s="62"/>
      <c r="AG955" s="62"/>
      <c r="AH955" s="62"/>
      <c r="AI955" s="62"/>
      <c r="AJ955" s="62"/>
      <c r="AK955" s="62"/>
      <c r="AL955" s="62"/>
      <c r="AM955" s="62"/>
      <c r="AN955" s="62"/>
      <c r="AO955" s="62"/>
      <c r="AP955" s="62"/>
      <c r="AQ955" s="62"/>
      <c r="AR955" s="62"/>
      <c r="AS955" s="62"/>
      <c r="AT955" s="62"/>
      <c r="AU955" s="62"/>
      <c r="AV955" s="62"/>
      <c r="AW955" s="62"/>
      <c r="AX955" s="62"/>
    </row>
    <row r="956" spans="1:50" ht="14.25" customHeight="1" x14ac:dyDescent="0.3">
      <c r="A956" s="58"/>
      <c r="B956" s="58"/>
      <c r="C956" s="58"/>
      <c r="D956" s="58"/>
      <c r="E956" s="58"/>
      <c r="F956" s="58"/>
      <c r="G956" s="59"/>
      <c r="H956" s="60"/>
      <c r="I956" s="60"/>
      <c r="J956" s="59"/>
      <c r="K956" s="61"/>
      <c r="M956" s="62"/>
      <c r="N956" s="62"/>
      <c r="O956" s="62"/>
      <c r="P956" s="62"/>
      <c r="Q956" s="62"/>
      <c r="R956" s="62"/>
      <c r="S956" s="62"/>
      <c r="T956" s="62"/>
      <c r="U956" s="62"/>
      <c r="V956" s="62"/>
      <c r="W956" s="62"/>
      <c r="X956" s="62"/>
      <c r="Y956" s="62"/>
      <c r="Z956" s="62"/>
      <c r="AA956" s="62"/>
      <c r="AB956" s="62"/>
      <c r="AC956" s="62"/>
      <c r="AD956" s="62"/>
      <c r="AE956" s="62"/>
      <c r="AF956" s="62"/>
      <c r="AG956" s="62"/>
      <c r="AH956" s="62"/>
      <c r="AI956" s="62"/>
      <c r="AJ956" s="62"/>
      <c r="AK956" s="62"/>
      <c r="AL956" s="62"/>
      <c r="AM956" s="62"/>
      <c r="AN956" s="62"/>
      <c r="AO956" s="62"/>
      <c r="AP956" s="62"/>
      <c r="AQ956" s="62"/>
      <c r="AR956" s="62"/>
      <c r="AS956" s="62"/>
      <c r="AT956" s="62"/>
      <c r="AU956" s="62"/>
      <c r="AV956" s="62"/>
      <c r="AW956" s="62"/>
      <c r="AX956" s="62"/>
    </row>
    <row r="957" spans="1:50" ht="14.25" customHeight="1" x14ac:dyDescent="0.3">
      <c r="A957" s="58"/>
      <c r="B957" s="58"/>
      <c r="C957" s="58"/>
      <c r="D957" s="58"/>
      <c r="E957" s="58"/>
      <c r="F957" s="58"/>
      <c r="G957" s="59"/>
      <c r="H957" s="60"/>
      <c r="I957" s="60"/>
      <c r="J957" s="59"/>
      <c r="K957" s="61"/>
      <c r="M957" s="62"/>
      <c r="N957" s="62"/>
      <c r="O957" s="62"/>
      <c r="P957" s="62"/>
      <c r="Q957" s="62"/>
      <c r="R957" s="62"/>
      <c r="S957" s="62"/>
      <c r="T957" s="62"/>
      <c r="U957" s="62"/>
      <c r="V957" s="62"/>
      <c r="W957" s="62"/>
      <c r="X957" s="62"/>
      <c r="Y957" s="62"/>
      <c r="Z957" s="62"/>
      <c r="AA957" s="62"/>
      <c r="AB957" s="62"/>
      <c r="AC957" s="62"/>
      <c r="AD957" s="62"/>
      <c r="AE957" s="62"/>
      <c r="AF957" s="62"/>
      <c r="AG957" s="62"/>
      <c r="AH957" s="62"/>
      <c r="AI957" s="62"/>
      <c r="AJ957" s="62"/>
      <c r="AK957" s="62"/>
      <c r="AL957" s="62"/>
      <c r="AM957" s="62"/>
      <c r="AN957" s="62"/>
      <c r="AO957" s="62"/>
      <c r="AP957" s="62"/>
      <c r="AQ957" s="62"/>
      <c r="AR957" s="62"/>
      <c r="AS957" s="62"/>
      <c r="AT957" s="62"/>
      <c r="AU957" s="62"/>
      <c r="AV957" s="62"/>
      <c r="AW957" s="62"/>
      <c r="AX957" s="62"/>
    </row>
    <row r="958" spans="1:50" ht="14.25" customHeight="1" x14ac:dyDescent="0.3">
      <c r="A958" s="58"/>
      <c r="B958" s="58"/>
      <c r="C958" s="58"/>
      <c r="D958" s="58"/>
      <c r="E958" s="58"/>
      <c r="F958" s="58"/>
      <c r="G958" s="59"/>
      <c r="H958" s="60"/>
      <c r="I958" s="60"/>
      <c r="J958" s="59"/>
      <c r="K958" s="61"/>
      <c r="M958" s="62"/>
      <c r="N958" s="62"/>
      <c r="O958" s="62"/>
      <c r="P958" s="62"/>
      <c r="Q958" s="62"/>
      <c r="R958" s="62"/>
      <c r="S958" s="62"/>
      <c r="T958" s="62"/>
      <c r="U958" s="62"/>
      <c r="V958" s="62"/>
      <c r="W958" s="62"/>
      <c r="X958" s="62"/>
      <c r="Y958" s="62"/>
      <c r="Z958" s="62"/>
      <c r="AA958" s="62"/>
      <c r="AB958" s="62"/>
      <c r="AC958" s="62"/>
      <c r="AD958" s="62"/>
      <c r="AE958" s="62"/>
      <c r="AF958" s="62"/>
      <c r="AG958" s="62"/>
      <c r="AH958" s="62"/>
      <c r="AI958" s="62"/>
      <c r="AJ958" s="62"/>
      <c r="AK958" s="62"/>
      <c r="AL958" s="62"/>
      <c r="AM958" s="62"/>
      <c r="AN958" s="62"/>
      <c r="AO958" s="62"/>
      <c r="AP958" s="62"/>
      <c r="AQ958" s="62"/>
      <c r="AR958" s="62"/>
      <c r="AS958" s="62"/>
      <c r="AT958" s="62"/>
      <c r="AU958" s="62"/>
      <c r="AV958" s="62"/>
      <c r="AW958" s="62"/>
      <c r="AX958" s="62"/>
    </row>
    <row r="959" spans="1:50" ht="14.25" customHeight="1" x14ac:dyDescent="0.3">
      <c r="A959" s="58"/>
      <c r="B959" s="58"/>
      <c r="C959" s="58"/>
      <c r="D959" s="58"/>
      <c r="E959" s="58"/>
      <c r="F959" s="58"/>
      <c r="G959" s="59"/>
      <c r="H959" s="60"/>
      <c r="I959" s="60"/>
      <c r="J959" s="59"/>
      <c r="K959" s="61"/>
      <c r="M959" s="62"/>
      <c r="N959" s="62"/>
      <c r="O959" s="62"/>
      <c r="P959" s="62"/>
      <c r="Q959" s="62"/>
      <c r="R959" s="62"/>
      <c r="S959" s="62"/>
      <c r="T959" s="62"/>
      <c r="U959" s="62"/>
      <c r="V959" s="62"/>
      <c r="W959" s="62"/>
      <c r="X959" s="62"/>
      <c r="Y959" s="62"/>
      <c r="Z959" s="62"/>
      <c r="AA959" s="62"/>
      <c r="AB959" s="62"/>
      <c r="AC959" s="62"/>
      <c r="AD959" s="62"/>
      <c r="AE959" s="62"/>
      <c r="AF959" s="62"/>
      <c r="AG959" s="62"/>
      <c r="AH959" s="62"/>
      <c r="AI959" s="62"/>
      <c r="AJ959" s="62"/>
      <c r="AK959" s="62"/>
      <c r="AL959" s="62"/>
      <c r="AM959" s="62"/>
      <c r="AN959" s="62"/>
      <c r="AO959" s="62"/>
      <c r="AP959" s="62"/>
      <c r="AQ959" s="62"/>
      <c r="AR959" s="62"/>
      <c r="AS959" s="62"/>
      <c r="AT959" s="62"/>
      <c r="AU959" s="62"/>
      <c r="AV959" s="62"/>
      <c r="AW959" s="62"/>
      <c r="AX959" s="62"/>
    </row>
    <row r="960" spans="1:50" ht="14.25" customHeight="1" x14ac:dyDescent="0.3">
      <c r="A960" s="58"/>
      <c r="B960" s="58"/>
      <c r="C960" s="58"/>
      <c r="D960" s="58"/>
      <c r="E960" s="58"/>
      <c r="F960" s="58"/>
      <c r="G960" s="59"/>
      <c r="H960" s="60"/>
      <c r="I960" s="60"/>
      <c r="J960" s="59"/>
      <c r="K960" s="61"/>
      <c r="M960" s="62"/>
      <c r="N960" s="62"/>
      <c r="O960" s="62"/>
      <c r="P960" s="62"/>
      <c r="Q960" s="62"/>
      <c r="R960" s="62"/>
      <c r="S960" s="62"/>
      <c r="T960" s="62"/>
      <c r="U960" s="62"/>
      <c r="V960" s="62"/>
      <c r="W960" s="62"/>
      <c r="X960" s="62"/>
      <c r="Y960" s="62"/>
      <c r="Z960" s="62"/>
      <c r="AA960" s="62"/>
      <c r="AB960" s="62"/>
      <c r="AC960" s="62"/>
      <c r="AD960" s="62"/>
      <c r="AE960" s="62"/>
      <c r="AF960" s="62"/>
      <c r="AG960" s="62"/>
      <c r="AH960" s="62"/>
      <c r="AI960" s="62"/>
      <c r="AJ960" s="62"/>
      <c r="AK960" s="62"/>
      <c r="AL960" s="62"/>
      <c r="AM960" s="62"/>
      <c r="AN960" s="62"/>
      <c r="AO960" s="62"/>
      <c r="AP960" s="62"/>
      <c r="AQ960" s="62"/>
      <c r="AR960" s="62"/>
      <c r="AS960" s="62"/>
      <c r="AT960" s="62"/>
      <c r="AU960" s="62"/>
      <c r="AV960" s="62"/>
      <c r="AW960" s="62"/>
      <c r="AX960" s="62"/>
    </row>
    <row r="961" spans="1:50" ht="14.25" customHeight="1" x14ac:dyDescent="0.3">
      <c r="A961" s="58"/>
      <c r="B961" s="58"/>
      <c r="C961" s="58"/>
      <c r="D961" s="58"/>
      <c r="E961" s="58"/>
      <c r="F961" s="58"/>
      <c r="G961" s="59"/>
      <c r="H961" s="60"/>
      <c r="I961" s="60"/>
      <c r="J961" s="59"/>
      <c r="K961" s="61"/>
      <c r="M961" s="62"/>
      <c r="N961" s="62"/>
      <c r="O961" s="62"/>
      <c r="P961" s="62"/>
      <c r="Q961" s="62"/>
      <c r="R961" s="62"/>
      <c r="S961" s="62"/>
      <c r="T961" s="62"/>
      <c r="U961" s="62"/>
      <c r="V961" s="62"/>
      <c r="W961" s="62"/>
      <c r="X961" s="62"/>
      <c r="Y961" s="62"/>
      <c r="Z961" s="62"/>
      <c r="AA961" s="62"/>
      <c r="AB961" s="62"/>
      <c r="AC961" s="62"/>
      <c r="AD961" s="62"/>
      <c r="AE961" s="62"/>
      <c r="AF961" s="62"/>
      <c r="AG961" s="62"/>
      <c r="AH961" s="62"/>
      <c r="AI961" s="62"/>
      <c r="AJ961" s="62"/>
      <c r="AK961" s="62"/>
      <c r="AL961" s="62"/>
      <c r="AM961" s="62"/>
      <c r="AN961" s="62"/>
      <c r="AO961" s="62"/>
      <c r="AP961" s="62"/>
      <c r="AQ961" s="62"/>
      <c r="AR961" s="62"/>
      <c r="AS961" s="62"/>
      <c r="AT961" s="62"/>
      <c r="AU961" s="62"/>
      <c r="AV961" s="62"/>
      <c r="AW961" s="62"/>
      <c r="AX961" s="62"/>
    </row>
    <row r="962" spans="1:50" ht="14.25" customHeight="1" x14ac:dyDescent="0.3">
      <c r="A962" s="58"/>
      <c r="B962" s="58"/>
      <c r="C962" s="58"/>
      <c r="D962" s="58"/>
      <c r="E962" s="58"/>
      <c r="F962" s="58"/>
      <c r="G962" s="59"/>
      <c r="H962" s="60"/>
      <c r="I962" s="60"/>
      <c r="J962" s="59"/>
      <c r="K962" s="61"/>
      <c r="M962" s="62"/>
      <c r="N962" s="62"/>
      <c r="O962" s="62"/>
      <c r="P962" s="62"/>
      <c r="Q962" s="62"/>
      <c r="R962" s="62"/>
      <c r="S962" s="62"/>
      <c r="T962" s="62"/>
      <c r="U962" s="62"/>
      <c r="V962" s="62"/>
      <c r="W962" s="62"/>
      <c r="X962" s="62"/>
      <c r="Y962" s="62"/>
      <c r="Z962" s="62"/>
      <c r="AA962" s="62"/>
      <c r="AB962" s="62"/>
      <c r="AC962" s="62"/>
      <c r="AD962" s="62"/>
      <c r="AE962" s="62"/>
      <c r="AF962" s="62"/>
      <c r="AG962" s="62"/>
      <c r="AH962" s="62"/>
      <c r="AI962" s="62"/>
      <c r="AJ962" s="62"/>
      <c r="AK962" s="62"/>
      <c r="AL962" s="62"/>
      <c r="AM962" s="62"/>
      <c r="AN962" s="62"/>
      <c r="AO962" s="62"/>
      <c r="AP962" s="62"/>
      <c r="AQ962" s="62"/>
      <c r="AR962" s="62"/>
      <c r="AS962" s="62"/>
      <c r="AT962" s="62"/>
      <c r="AU962" s="62"/>
      <c r="AV962" s="62"/>
      <c r="AW962" s="62"/>
      <c r="AX962" s="62"/>
    </row>
    <row r="963" spans="1:50" ht="14.25" customHeight="1" x14ac:dyDescent="0.3">
      <c r="A963" s="58"/>
      <c r="B963" s="58"/>
      <c r="C963" s="58"/>
      <c r="D963" s="58"/>
      <c r="E963" s="58"/>
      <c r="F963" s="58"/>
      <c r="G963" s="59"/>
      <c r="H963" s="60"/>
      <c r="I963" s="60"/>
      <c r="J963" s="59"/>
      <c r="K963" s="61"/>
      <c r="M963" s="62"/>
      <c r="N963" s="62"/>
      <c r="O963" s="62"/>
      <c r="P963" s="62"/>
      <c r="Q963" s="62"/>
      <c r="R963" s="62"/>
      <c r="S963" s="62"/>
      <c r="T963" s="62"/>
      <c r="U963" s="62"/>
      <c r="V963" s="62"/>
      <c r="W963" s="62"/>
      <c r="X963" s="62"/>
      <c r="Y963" s="62"/>
      <c r="Z963" s="62"/>
      <c r="AA963" s="62"/>
      <c r="AB963" s="62"/>
      <c r="AC963" s="62"/>
      <c r="AD963" s="62"/>
      <c r="AE963" s="62"/>
      <c r="AF963" s="62"/>
      <c r="AG963" s="62"/>
      <c r="AH963" s="62"/>
      <c r="AI963" s="62"/>
      <c r="AJ963" s="62"/>
      <c r="AK963" s="62"/>
      <c r="AL963" s="62"/>
      <c r="AM963" s="62"/>
      <c r="AN963" s="62"/>
      <c r="AO963" s="62"/>
      <c r="AP963" s="62"/>
      <c r="AQ963" s="62"/>
      <c r="AR963" s="62"/>
      <c r="AS963" s="62"/>
      <c r="AT963" s="62"/>
      <c r="AU963" s="62"/>
      <c r="AV963" s="62"/>
      <c r="AW963" s="62"/>
      <c r="AX963" s="62"/>
    </row>
    <row r="964" spans="1:50" ht="14.25" customHeight="1" x14ac:dyDescent="0.3">
      <c r="A964" s="58"/>
      <c r="B964" s="58"/>
      <c r="C964" s="58"/>
      <c r="D964" s="58"/>
      <c r="E964" s="58"/>
      <c r="F964" s="58"/>
      <c r="G964" s="59"/>
      <c r="H964" s="60"/>
      <c r="I964" s="60"/>
      <c r="J964" s="59"/>
      <c r="K964" s="61"/>
      <c r="M964" s="62"/>
      <c r="N964" s="62"/>
      <c r="O964" s="62"/>
      <c r="P964" s="62"/>
      <c r="Q964" s="62"/>
      <c r="R964" s="62"/>
      <c r="S964" s="62"/>
      <c r="T964" s="62"/>
      <c r="U964" s="62"/>
      <c r="V964" s="62"/>
      <c r="W964" s="62"/>
      <c r="X964" s="62"/>
      <c r="Y964" s="62"/>
      <c r="Z964" s="62"/>
      <c r="AA964" s="62"/>
      <c r="AB964" s="62"/>
      <c r="AC964" s="62"/>
      <c r="AD964" s="62"/>
      <c r="AE964" s="62"/>
      <c r="AF964" s="62"/>
      <c r="AG964" s="62"/>
      <c r="AH964" s="62"/>
      <c r="AI964" s="62"/>
      <c r="AJ964" s="62"/>
      <c r="AK964" s="62"/>
      <c r="AL964" s="62"/>
      <c r="AM964" s="62"/>
      <c r="AN964" s="62"/>
      <c r="AO964" s="62"/>
      <c r="AP964" s="62"/>
      <c r="AQ964" s="62"/>
      <c r="AR964" s="62"/>
      <c r="AS964" s="62"/>
      <c r="AT964" s="62"/>
      <c r="AU964" s="62"/>
      <c r="AV964" s="62"/>
      <c r="AW964" s="62"/>
      <c r="AX964" s="62"/>
    </row>
    <row r="965" spans="1:50" ht="14.25" customHeight="1" x14ac:dyDescent="0.3">
      <c r="A965" s="58"/>
      <c r="B965" s="58"/>
      <c r="C965" s="58"/>
      <c r="D965" s="58"/>
      <c r="E965" s="58"/>
      <c r="F965" s="58"/>
      <c r="G965" s="59"/>
      <c r="H965" s="60"/>
      <c r="I965" s="60"/>
      <c r="J965" s="59"/>
      <c r="K965" s="61"/>
      <c r="M965" s="62"/>
      <c r="N965" s="62"/>
      <c r="O965" s="62"/>
      <c r="P965" s="62"/>
      <c r="Q965" s="62"/>
      <c r="R965" s="62"/>
      <c r="S965" s="62"/>
      <c r="T965" s="62"/>
      <c r="U965" s="62"/>
      <c r="V965" s="62"/>
      <c r="W965" s="62"/>
      <c r="X965" s="62"/>
      <c r="Y965" s="62"/>
      <c r="Z965" s="62"/>
      <c r="AA965" s="62"/>
      <c r="AB965" s="62"/>
      <c r="AC965" s="62"/>
      <c r="AD965" s="62"/>
      <c r="AE965" s="62"/>
      <c r="AF965" s="62"/>
      <c r="AG965" s="62"/>
      <c r="AH965" s="62"/>
      <c r="AI965" s="62"/>
      <c r="AJ965" s="62"/>
      <c r="AK965" s="62"/>
      <c r="AL965" s="62"/>
      <c r="AM965" s="62"/>
      <c r="AN965" s="62"/>
      <c r="AO965" s="62"/>
      <c r="AP965" s="62"/>
      <c r="AQ965" s="62"/>
      <c r="AR965" s="62"/>
      <c r="AS965" s="62"/>
      <c r="AT965" s="62"/>
      <c r="AU965" s="62"/>
      <c r="AV965" s="62"/>
      <c r="AW965" s="62"/>
      <c r="AX965" s="62"/>
    </row>
    <row r="966" spans="1:50" ht="14.25" customHeight="1" x14ac:dyDescent="0.3">
      <c r="A966" s="58"/>
      <c r="B966" s="58"/>
      <c r="C966" s="58"/>
      <c r="D966" s="58"/>
      <c r="E966" s="58"/>
      <c r="F966" s="58"/>
      <c r="G966" s="59"/>
      <c r="H966" s="60"/>
      <c r="I966" s="60"/>
      <c r="J966" s="59"/>
      <c r="K966" s="61"/>
      <c r="M966" s="62"/>
      <c r="N966" s="62"/>
      <c r="O966" s="62"/>
      <c r="P966" s="62"/>
      <c r="Q966" s="62"/>
      <c r="R966" s="62"/>
      <c r="S966" s="62"/>
      <c r="T966" s="62"/>
      <c r="U966" s="62"/>
      <c r="V966" s="62"/>
      <c r="W966" s="62"/>
      <c r="X966" s="62"/>
      <c r="Y966" s="62"/>
      <c r="Z966" s="62"/>
      <c r="AA966" s="62"/>
      <c r="AB966" s="62"/>
      <c r="AC966" s="62"/>
      <c r="AD966" s="62"/>
      <c r="AE966" s="62"/>
      <c r="AF966" s="62"/>
      <c r="AG966" s="62"/>
      <c r="AH966" s="62"/>
      <c r="AI966" s="62"/>
      <c r="AJ966" s="62"/>
      <c r="AK966" s="62"/>
      <c r="AL966" s="62"/>
      <c r="AM966" s="62"/>
      <c r="AN966" s="62"/>
      <c r="AO966" s="62"/>
      <c r="AP966" s="62"/>
      <c r="AQ966" s="62"/>
      <c r="AR966" s="62"/>
      <c r="AS966" s="62"/>
      <c r="AT966" s="62"/>
      <c r="AU966" s="62"/>
      <c r="AV966" s="62"/>
      <c r="AW966" s="62"/>
      <c r="AX966" s="62"/>
    </row>
    <row r="967" spans="1:50" ht="14.25" customHeight="1" x14ac:dyDescent="0.3">
      <c r="A967" s="58"/>
      <c r="B967" s="58"/>
      <c r="C967" s="58"/>
      <c r="D967" s="58"/>
      <c r="E967" s="58"/>
      <c r="F967" s="58"/>
      <c r="G967" s="59"/>
      <c r="H967" s="60"/>
      <c r="I967" s="60"/>
      <c r="J967" s="59"/>
      <c r="K967" s="61"/>
      <c r="M967" s="62"/>
      <c r="N967" s="62"/>
      <c r="O967" s="62"/>
      <c r="P967" s="62"/>
      <c r="Q967" s="62"/>
      <c r="R967" s="62"/>
      <c r="S967" s="62"/>
      <c r="T967" s="62"/>
      <c r="U967" s="62"/>
      <c r="V967" s="62"/>
      <c r="W967" s="62"/>
      <c r="X967" s="62"/>
      <c r="Y967" s="62"/>
      <c r="Z967" s="62"/>
      <c r="AA967" s="62"/>
      <c r="AB967" s="62"/>
      <c r="AC967" s="62"/>
      <c r="AD967" s="62"/>
      <c r="AE967" s="62"/>
      <c r="AF967" s="62"/>
      <c r="AG967" s="62"/>
      <c r="AH967" s="62"/>
      <c r="AI967" s="62"/>
      <c r="AJ967" s="62"/>
      <c r="AK967" s="62"/>
      <c r="AL967" s="62"/>
      <c r="AM967" s="62"/>
      <c r="AN967" s="62"/>
      <c r="AO967" s="62"/>
      <c r="AP967" s="62"/>
      <c r="AQ967" s="62"/>
      <c r="AR967" s="62"/>
      <c r="AS967" s="62"/>
      <c r="AT967" s="62"/>
      <c r="AU967" s="62"/>
      <c r="AV967" s="62"/>
      <c r="AW967" s="62"/>
      <c r="AX967" s="62"/>
    </row>
    <row r="968" spans="1:50" ht="14.25" customHeight="1" x14ac:dyDescent="0.3">
      <c r="A968" s="58"/>
      <c r="B968" s="58"/>
      <c r="C968" s="58"/>
      <c r="D968" s="58"/>
      <c r="E968" s="58"/>
      <c r="F968" s="58"/>
      <c r="G968" s="59"/>
      <c r="H968" s="60"/>
      <c r="I968" s="60"/>
      <c r="J968" s="59"/>
      <c r="K968" s="61"/>
      <c r="M968" s="62"/>
      <c r="N968" s="62"/>
      <c r="O968" s="62"/>
      <c r="P968" s="62"/>
      <c r="Q968" s="62"/>
      <c r="R968" s="62"/>
      <c r="S968" s="62"/>
      <c r="T968" s="62"/>
      <c r="U968" s="62"/>
      <c r="V968" s="62"/>
      <c r="W968" s="62"/>
      <c r="X968" s="62"/>
      <c r="Y968" s="62"/>
      <c r="Z968" s="62"/>
      <c r="AA968" s="62"/>
      <c r="AB968" s="62"/>
      <c r="AC968" s="62"/>
      <c r="AD968" s="62"/>
      <c r="AE968" s="62"/>
      <c r="AF968" s="62"/>
      <c r="AG968" s="62"/>
      <c r="AH968" s="62"/>
      <c r="AI968" s="62"/>
      <c r="AJ968" s="62"/>
      <c r="AK968" s="62"/>
      <c r="AL968" s="62"/>
      <c r="AM968" s="62"/>
      <c r="AN968" s="62"/>
      <c r="AO968" s="62"/>
      <c r="AP968" s="62"/>
      <c r="AQ968" s="62"/>
      <c r="AR968" s="62"/>
      <c r="AS968" s="62"/>
      <c r="AT968" s="62"/>
      <c r="AU968" s="62"/>
      <c r="AV968" s="62"/>
      <c r="AW968" s="62"/>
      <c r="AX968" s="62"/>
    </row>
    <row r="969" spans="1:50" ht="14.25" customHeight="1" x14ac:dyDescent="0.3">
      <c r="A969" s="58"/>
      <c r="B969" s="58"/>
      <c r="C969" s="58"/>
      <c r="D969" s="58"/>
      <c r="E969" s="58"/>
      <c r="F969" s="58"/>
      <c r="G969" s="59"/>
      <c r="H969" s="60"/>
      <c r="I969" s="60"/>
      <c r="J969" s="59"/>
      <c r="K969" s="61"/>
      <c r="M969" s="62"/>
      <c r="N969" s="62"/>
      <c r="O969" s="62"/>
      <c r="P969" s="62"/>
      <c r="Q969" s="62"/>
      <c r="R969" s="62"/>
      <c r="S969" s="62"/>
      <c r="T969" s="62"/>
      <c r="U969" s="62"/>
      <c r="V969" s="62"/>
      <c r="W969" s="62"/>
      <c r="X969" s="62"/>
      <c r="Y969" s="62"/>
      <c r="Z969" s="62"/>
      <c r="AA969" s="62"/>
      <c r="AB969" s="62"/>
      <c r="AC969" s="62"/>
      <c r="AD969" s="62"/>
      <c r="AE969" s="62"/>
      <c r="AF969" s="62"/>
      <c r="AG969" s="62"/>
      <c r="AH969" s="62"/>
      <c r="AI969" s="62"/>
      <c r="AJ969" s="62"/>
      <c r="AK969" s="62"/>
      <c r="AL969" s="62"/>
      <c r="AM969" s="62"/>
      <c r="AN969" s="62"/>
      <c r="AO969" s="62"/>
      <c r="AP969" s="62"/>
      <c r="AQ969" s="62"/>
      <c r="AR969" s="62"/>
      <c r="AS969" s="62"/>
      <c r="AT969" s="62"/>
      <c r="AU969" s="62"/>
      <c r="AV969" s="62"/>
      <c r="AW969" s="62"/>
      <c r="AX969" s="62"/>
    </row>
    <row r="970" spans="1:50" ht="14.25" customHeight="1" x14ac:dyDescent="0.3">
      <c r="A970" s="58"/>
      <c r="B970" s="58"/>
      <c r="C970" s="58"/>
      <c r="D970" s="58"/>
      <c r="E970" s="58"/>
      <c r="F970" s="58"/>
      <c r="G970" s="59"/>
      <c r="H970" s="60"/>
      <c r="I970" s="60"/>
      <c r="J970" s="59"/>
      <c r="K970" s="61"/>
      <c r="M970" s="62"/>
      <c r="N970" s="62"/>
      <c r="O970" s="62"/>
      <c r="P970" s="62"/>
      <c r="Q970" s="62"/>
      <c r="R970" s="62"/>
      <c r="S970" s="62"/>
      <c r="T970" s="62"/>
      <c r="U970" s="62"/>
      <c r="V970" s="62"/>
      <c r="W970" s="62"/>
      <c r="X970" s="62"/>
      <c r="Y970" s="62"/>
      <c r="Z970" s="62"/>
      <c r="AA970" s="62"/>
      <c r="AB970" s="62"/>
      <c r="AC970" s="62"/>
      <c r="AD970" s="62"/>
      <c r="AE970" s="62"/>
      <c r="AF970" s="62"/>
      <c r="AG970" s="62"/>
      <c r="AH970" s="62"/>
      <c r="AI970" s="62"/>
      <c r="AJ970" s="62"/>
      <c r="AK970" s="62"/>
      <c r="AL970" s="62"/>
      <c r="AM970" s="62"/>
      <c r="AN970" s="62"/>
      <c r="AO970" s="62"/>
      <c r="AP970" s="62"/>
      <c r="AQ970" s="62"/>
      <c r="AR970" s="62"/>
      <c r="AS970" s="62"/>
      <c r="AT970" s="62"/>
      <c r="AU970" s="62"/>
      <c r="AV970" s="62"/>
      <c r="AW970" s="62"/>
      <c r="AX970" s="62"/>
    </row>
    <row r="971" spans="1:50" ht="14.25" customHeight="1" x14ac:dyDescent="0.3">
      <c r="A971" s="58"/>
      <c r="B971" s="58"/>
      <c r="C971" s="58"/>
      <c r="D971" s="58"/>
      <c r="E971" s="58"/>
      <c r="F971" s="58"/>
      <c r="G971" s="59"/>
      <c r="H971" s="60"/>
      <c r="I971" s="60"/>
      <c r="J971" s="59"/>
      <c r="K971" s="61"/>
      <c r="M971" s="62"/>
      <c r="N971" s="62"/>
      <c r="O971" s="62"/>
      <c r="P971" s="62"/>
      <c r="Q971" s="62"/>
      <c r="R971" s="62"/>
      <c r="S971" s="62"/>
      <c r="T971" s="62"/>
      <c r="U971" s="62"/>
      <c r="V971" s="62"/>
      <c r="W971" s="62"/>
      <c r="X971" s="62"/>
      <c r="Y971" s="62"/>
      <c r="Z971" s="62"/>
      <c r="AA971" s="62"/>
      <c r="AB971" s="62"/>
      <c r="AC971" s="62"/>
      <c r="AD971" s="62"/>
      <c r="AE971" s="62"/>
      <c r="AF971" s="62"/>
      <c r="AG971" s="62"/>
      <c r="AH971" s="62"/>
      <c r="AI971" s="62"/>
      <c r="AJ971" s="62"/>
      <c r="AK971" s="62"/>
      <c r="AL971" s="62"/>
      <c r="AM971" s="62"/>
      <c r="AN971" s="62"/>
      <c r="AO971" s="62"/>
      <c r="AP971" s="62"/>
      <c r="AQ971" s="62"/>
      <c r="AR971" s="62"/>
      <c r="AS971" s="62"/>
      <c r="AT971" s="62"/>
      <c r="AU971" s="62"/>
      <c r="AV971" s="62"/>
      <c r="AW971" s="62"/>
      <c r="AX971" s="62"/>
    </row>
    <row r="972" spans="1:50" ht="14.25" customHeight="1" x14ac:dyDescent="0.3">
      <c r="A972" s="58"/>
      <c r="B972" s="58"/>
      <c r="C972" s="58"/>
      <c r="D972" s="58"/>
      <c r="E972" s="58"/>
      <c r="F972" s="58"/>
      <c r="G972" s="59"/>
      <c r="H972" s="60"/>
      <c r="I972" s="60"/>
      <c r="J972" s="59"/>
      <c r="K972" s="61"/>
      <c r="M972" s="62"/>
      <c r="N972" s="62"/>
      <c r="O972" s="62"/>
      <c r="P972" s="62"/>
      <c r="Q972" s="62"/>
      <c r="R972" s="62"/>
      <c r="S972" s="62"/>
      <c r="T972" s="62"/>
      <c r="U972" s="62"/>
      <c r="V972" s="62"/>
      <c r="W972" s="62"/>
      <c r="X972" s="62"/>
      <c r="Y972" s="62"/>
      <c r="Z972" s="62"/>
      <c r="AA972" s="62"/>
      <c r="AB972" s="62"/>
      <c r="AC972" s="62"/>
      <c r="AD972" s="62"/>
      <c r="AE972" s="62"/>
      <c r="AF972" s="62"/>
      <c r="AG972" s="62"/>
      <c r="AH972" s="62"/>
      <c r="AI972" s="62"/>
      <c r="AJ972" s="62"/>
      <c r="AK972" s="62"/>
      <c r="AL972" s="62"/>
      <c r="AM972" s="62"/>
      <c r="AN972" s="62"/>
      <c r="AO972" s="62"/>
      <c r="AP972" s="62"/>
      <c r="AQ972" s="62"/>
      <c r="AR972" s="62"/>
      <c r="AS972" s="62"/>
      <c r="AT972" s="62"/>
      <c r="AU972" s="62"/>
      <c r="AV972" s="62"/>
      <c r="AW972" s="62"/>
      <c r="AX972" s="62"/>
    </row>
    <row r="973" spans="1:50" ht="14.25" customHeight="1" x14ac:dyDescent="0.3">
      <c r="A973" s="58"/>
      <c r="B973" s="58"/>
      <c r="C973" s="58"/>
      <c r="D973" s="58"/>
      <c r="E973" s="58"/>
      <c r="F973" s="58"/>
      <c r="G973" s="59"/>
      <c r="H973" s="60"/>
      <c r="I973" s="60"/>
      <c r="J973" s="59"/>
      <c r="K973" s="61"/>
      <c r="M973" s="62"/>
      <c r="N973" s="62"/>
      <c r="O973" s="62"/>
      <c r="P973" s="62"/>
      <c r="Q973" s="62"/>
      <c r="R973" s="62"/>
      <c r="S973" s="62"/>
      <c r="T973" s="62"/>
      <c r="U973" s="62"/>
      <c r="V973" s="62"/>
      <c r="W973" s="62"/>
      <c r="X973" s="62"/>
      <c r="Y973" s="62"/>
      <c r="Z973" s="62"/>
      <c r="AA973" s="62"/>
      <c r="AB973" s="62"/>
      <c r="AC973" s="62"/>
      <c r="AD973" s="62"/>
      <c r="AE973" s="62"/>
      <c r="AF973" s="62"/>
      <c r="AG973" s="62"/>
      <c r="AH973" s="62"/>
      <c r="AI973" s="62"/>
      <c r="AJ973" s="62"/>
      <c r="AK973" s="62"/>
      <c r="AL973" s="62"/>
      <c r="AM973" s="62"/>
      <c r="AN973" s="62"/>
      <c r="AO973" s="62"/>
      <c r="AP973" s="62"/>
      <c r="AQ973" s="62"/>
      <c r="AR973" s="62"/>
      <c r="AS973" s="62"/>
      <c r="AT973" s="62"/>
      <c r="AU973" s="62"/>
      <c r="AV973" s="62"/>
      <c r="AW973" s="62"/>
      <c r="AX973" s="62"/>
    </row>
    <row r="974" spans="1:50" ht="14.25" customHeight="1" x14ac:dyDescent="0.3">
      <c r="A974" s="58"/>
      <c r="B974" s="58"/>
      <c r="C974" s="58"/>
      <c r="D974" s="58"/>
      <c r="E974" s="58"/>
      <c r="F974" s="58"/>
      <c r="G974" s="59"/>
      <c r="H974" s="60"/>
      <c r="I974" s="60"/>
      <c r="J974" s="59"/>
      <c r="K974" s="61"/>
      <c r="M974" s="62"/>
      <c r="N974" s="62"/>
      <c r="O974" s="62"/>
      <c r="P974" s="62"/>
      <c r="Q974" s="62"/>
      <c r="R974" s="62"/>
      <c r="S974" s="62"/>
      <c r="T974" s="62"/>
      <c r="U974" s="62"/>
      <c r="V974" s="62"/>
      <c r="W974" s="62"/>
      <c r="X974" s="62"/>
      <c r="Y974" s="62"/>
      <c r="Z974" s="62"/>
      <c r="AA974" s="62"/>
      <c r="AB974" s="62"/>
      <c r="AC974" s="62"/>
      <c r="AD974" s="62"/>
      <c r="AE974" s="62"/>
      <c r="AF974" s="62"/>
      <c r="AG974" s="62"/>
      <c r="AH974" s="62"/>
      <c r="AI974" s="62"/>
      <c r="AJ974" s="62"/>
      <c r="AK974" s="62"/>
      <c r="AL974" s="62"/>
      <c r="AM974" s="62"/>
      <c r="AN974" s="62"/>
      <c r="AO974" s="62"/>
      <c r="AP974" s="62"/>
      <c r="AQ974" s="62"/>
      <c r="AR974" s="62"/>
      <c r="AS974" s="62"/>
      <c r="AT974" s="62"/>
      <c r="AU974" s="62"/>
      <c r="AV974" s="62"/>
      <c r="AW974" s="62"/>
      <c r="AX974" s="62"/>
    </row>
    <row r="975" spans="1:50" ht="14.25" customHeight="1" x14ac:dyDescent="0.3">
      <c r="A975" s="58"/>
      <c r="B975" s="58"/>
      <c r="C975" s="58"/>
      <c r="D975" s="58"/>
      <c r="E975" s="58"/>
      <c r="F975" s="58"/>
      <c r="G975" s="59"/>
      <c r="H975" s="60"/>
      <c r="I975" s="60"/>
      <c r="J975" s="59"/>
      <c r="K975" s="61"/>
      <c r="M975" s="62"/>
      <c r="N975" s="62"/>
      <c r="O975" s="62"/>
      <c r="P975" s="62"/>
      <c r="Q975" s="62"/>
      <c r="R975" s="62"/>
      <c r="S975" s="62"/>
      <c r="T975" s="62"/>
      <c r="U975" s="62"/>
      <c r="V975" s="62"/>
      <c r="W975" s="62"/>
      <c r="X975" s="62"/>
      <c r="Y975" s="62"/>
      <c r="Z975" s="62"/>
      <c r="AA975" s="62"/>
      <c r="AB975" s="62"/>
      <c r="AC975" s="62"/>
      <c r="AD975" s="62"/>
      <c r="AE975" s="62"/>
      <c r="AF975" s="62"/>
      <c r="AG975" s="62"/>
      <c r="AH975" s="62"/>
      <c r="AI975" s="62"/>
      <c r="AJ975" s="62"/>
      <c r="AK975" s="62"/>
      <c r="AL975" s="62"/>
      <c r="AM975" s="62"/>
      <c r="AN975" s="62"/>
      <c r="AO975" s="62"/>
      <c r="AP975" s="62"/>
      <c r="AQ975" s="62"/>
      <c r="AR975" s="62"/>
      <c r="AS975" s="62"/>
      <c r="AT975" s="62"/>
      <c r="AU975" s="62"/>
      <c r="AV975" s="62"/>
      <c r="AW975" s="62"/>
      <c r="AX975" s="62"/>
    </row>
    <row r="976" spans="1:50" ht="14.25" customHeight="1" x14ac:dyDescent="0.3">
      <c r="A976" s="58"/>
      <c r="B976" s="58"/>
      <c r="C976" s="58"/>
      <c r="D976" s="58"/>
      <c r="E976" s="58"/>
      <c r="F976" s="58"/>
      <c r="G976" s="59"/>
      <c r="H976" s="60"/>
      <c r="I976" s="60"/>
      <c r="J976" s="59"/>
      <c r="K976" s="61"/>
      <c r="M976" s="62"/>
      <c r="N976" s="62"/>
      <c r="O976" s="62"/>
      <c r="P976" s="62"/>
      <c r="Q976" s="62"/>
      <c r="R976" s="62"/>
      <c r="S976" s="62"/>
      <c r="T976" s="62"/>
      <c r="U976" s="62"/>
      <c r="V976" s="62"/>
      <c r="W976" s="62"/>
      <c r="X976" s="62"/>
      <c r="Y976" s="62"/>
      <c r="Z976" s="62"/>
      <c r="AA976" s="62"/>
      <c r="AB976" s="62"/>
      <c r="AC976" s="62"/>
      <c r="AD976" s="62"/>
      <c r="AE976" s="62"/>
      <c r="AF976" s="62"/>
      <c r="AG976" s="62"/>
      <c r="AH976" s="62"/>
      <c r="AI976" s="62"/>
      <c r="AJ976" s="62"/>
      <c r="AK976" s="62"/>
      <c r="AL976" s="62"/>
      <c r="AM976" s="62"/>
      <c r="AN976" s="62"/>
      <c r="AO976" s="62"/>
      <c r="AP976" s="62"/>
      <c r="AQ976" s="62"/>
      <c r="AR976" s="62"/>
      <c r="AS976" s="62"/>
      <c r="AT976" s="62"/>
      <c r="AU976" s="62"/>
      <c r="AV976" s="62"/>
      <c r="AW976" s="62"/>
      <c r="AX976" s="62"/>
    </row>
    <row r="977" spans="1:50" ht="14.25" customHeight="1" x14ac:dyDescent="0.3">
      <c r="A977" s="58"/>
      <c r="B977" s="58"/>
      <c r="C977" s="58"/>
      <c r="D977" s="58"/>
      <c r="E977" s="58"/>
      <c r="F977" s="58"/>
      <c r="G977" s="59"/>
      <c r="H977" s="60"/>
      <c r="I977" s="60"/>
      <c r="J977" s="59"/>
      <c r="K977" s="61"/>
      <c r="M977" s="62"/>
      <c r="N977" s="62"/>
      <c r="O977" s="62"/>
      <c r="P977" s="62"/>
      <c r="Q977" s="62"/>
      <c r="R977" s="62"/>
      <c r="S977" s="62"/>
      <c r="T977" s="62"/>
      <c r="U977" s="62"/>
      <c r="V977" s="62"/>
      <c r="W977" s="62"/>
      <c r="X977" s="62"/>
      <c r="Y977" s="62"/>
      <c r="Z977" s="62"/>
      <c r="AA977" s="62"/>
      <c r="AB977" s="62"/>
      <c r="AC977" s="62"/>
      <c r="AD977" s="62"/>
      <c r="AE977" s="62"/>
      <c r="AF977" s="62"/>
      <c r="AG977" s="62"/>
      <c r="AH977" s="62"/>
      <c r="AI977" s="62"/>
      <c r="AJ977" s="62"/>
      <c r="AK977" s="62"/>
      <c r="AL977" s="62"/>
      <c r="AM977" s="62"/>
      <c r="AN977" s="62"/>
      <c r="AO977" s="62"/>
      <c r="AP977" s="62"/>
      <c r="AQ977" s="62"/>
      <c r="AR977" s="62"/>
      <c r="AS977" s="62"/>
      <c r="AT977" s="62"/>
      <c r="AU977" s="62"/>
      <c r="AV977" s="62"/>
      <c r="AW977" s="62"/>
      <c r="AX977" s="62"/>
    </row>
    <row r="978" spans="1:50" ht="14.25" customHeight="1" x14ac:dyDescent="0.3">
      <c r="A978" s="58"/>
      <c r="B978" s="58"/>
      <c r="C978" s="58"/>
      <c r="D978" s="58"/>
      <c r="E978" s="58"/>
      <c r="F978" s="58"/>
      <c r="G978" s="59"/>
      <c r="H978" s="60"/>
      <c r="I978" s="60"/>
      <c r="J978" s="59"/>
      <c r="K978" s="61"/>
      <c r="M978" s="62"/>
      <c r="N978" s="62"/>
      <c r="O978" s="62"/>
      <c r="P978" s="62"/>
      <c r="Q978" s="62"/>
      <c r="R978" s="62"/>
      <c r="S978" s="62"/>
      <c r="T978" s="62"/>
      <c r="U978" s="62"/>
      <c r="V978" s="62"/>
      <c r="W978" s="62"/>
      <c r="X978" s="62"/>
      <c r="Y978" s="62"/>
      <c r="Z978" s="62"/>
      <c r="AA978" s="62"/>
      <c r="AB978" s="62"/>
      <c r="AC978" s="62"/>
      <c r="AD978" s="62"/>
      <c r="AE978" s="62"/>
      <c r="AF978" s="62"/>
      <c r="AG978" s="62"/>
      <c r="AH978" s="62"/>
      <c r="AI978" s="62"/>
      <c r="AJ978" s="62"/>
      <c r="AK978" s="62"/>
      <c r="AL978" s="62"/>
      <c r="AM978" s="62"/>
      <c r="AN978" s="62"/>
      <c r="AO978" s="62"/>
      <c r="AP978" s="62"/>
      <c r="AQ978" s="62"/>
      <c r="AR978" s="62"/>
      <c r="AS978" s="62"/>
      <c r="AT978" s="62"/>
      <c r="AU978" s="62"/>
      <c r="AV978" s="62"/>
      <c r="AW978" s="62"/>
      <c r="AX978" s="62"/>
    </row>
    <row r="979" spans="1:50" ht="14.25" customHeight="1" x14ac:dyDescent="0.3">
      <c r="A979" s="58"/>
      <c r="B979" s="58"/>
      <c r="C979" s="58"/>
      <c r="D979" s="58"/>
      <c r="E979" s="58"/>
      <c r="F979" s="58"/>
      <c r="G979" s="59"/>
      <c r="H979" s="60"/>
      <c r="I979" s="60"/>
      <c r="J979" s="59"/>
      <c r="K979" s="61"/>
      <c r="M979" s="62"/>
      <c r="N979" s="62"/>
      <c r="O979" s="62"/>
      <c r="P979" s="62"/>
      <c r="Q979" s="62"/>
      <c r="R979" s="62"/>
      <c r="S979" s="62"/>
      <c r="T979" s="62"/>
      <c r="U979" s="62"/>
      <c r="V979" s="62"/>
      <c r="W979" s="62"/>
      <c r="X979" s="62"/>
      <c r="Y979" s="62"/>
      <c r="Z979" s="62"/>
      <c r="AA979" s="62"/>
      <c r="AB979" s="62"/>
      <c r="AC979" s="62"/>
      <c r="AD979" s="62"/>
      <c r="AE979" s="62"/>
      <c r="AF979" s="62"/>
      <c r="AG979" s="62"/>
      <c r="AH979" s="62"/>
      <c r="AI979" s="62"/>
      <c r="AJ979" s="62"/>
      <c r="AK979" s="62"/>
      <c r="AL979" s="62"/>
      <c r="AM979" s="62"/>
      <c r="AN979" s="62"/>
      <c r="AO979" s="62"/>
      <c r="AP979" s="62"/>
      <c r="AQ979" s="62"/>
      <c r="AR979" s="62"/>
      <c r="AS979" s="62"/>
      <c r="AT979" s="62"/>
      <c r="AU979" s="62"/>
      <c r="AV979" s="62"/>
      <c r="AW979" s="62"/>
      <c r="AX979" s="62"/>
    </row>
    <row r="980" spans="1:50" ht="14.25" customHeight="1" x14ac:dyDescent="0.3">
      <c r="A980" s="58"/>
      <c r="B980" s="58"/>
      <c r="C980" s="58"/>
      <c r="D980" s="58"/>
      <c r="E980" s="58"/>
      <c r="F980" s="58"/>
      <c r="G980" s="59"/>
      <c r="H980" s="60"/>
      <c r="I980" s="60"/>
      <c r="J980" s="59"/>
      <c r="K980" s="61"/>
      <c r="M980" s="62"/>
      <c r="N980" s="62"/>
      <c r="O980" s="62"/>
      <c r="P980" s="62"/>
      <c r="Q980" s="62"/>
      <c r="R980" s="62"/>
      <c r="S980" s="62"/>
      <c r="T980" s="62"/>
      <c r="U980" s="62"/>
      <c r="V980" s="62"/>
      <c r="W980" s="62"/>
      <c r="X980" s="62"/>
      <c r="Y980" s="62"/>
      <c r="Z980" s="62"/>
      <c r="AA980" s="62"/>
      <c r="AB980" s="62"/>
      <c r="AC980" s="62"/>
      <c r="AD980" s="62"/>
      <c r="AE980" s="62"/>
      <c r="AF980" s="62"/>
      <c r="AG980" s="62"/>
      <c r="AH980" s="62"/>
      <c r="AI980" s="62"/>
      <c r="AJ980" s="62"/>
      <c r="AK980" s="62"/>
      <c r="AL980" s="62"/>
      <c r="AM980" s="62"/>
      <c r="AN980" s="62"/>
      <c r="AO980" s="62"/>
      <c r="AP980" s="62"/>
      <c r="AQ980" s="62"/>
      <c r="AR980" s="62"/>
      <c r="AS980" s="62"/>
      <c r="AT980" s="62"/>
      <c r="AU980" s="62"/>
      <c r="AV980" s="62"/>
      <c r="AW980" s="62"/>
      <c r="AX980" s="62"/>
    </row>
    <row r="981" spans="1:50" ht="14.25" customHeight="1" x14ac:dyDescent="0.3">
      <c r="A981" s="58"/>
      <c r="B981" s="58"/>
      <c r="C981" s="58"/>
      <c r="D981" s="58"/>
      <c r="E981" s="58"/>
      <c r="F981" s="58"/>
      <c r="G981" s="59"/>
      <c r="H981" s="60"/>
      <c r="I981" s="60"/>
      <c r="J981" s="59"/>
      <c r="K981" s="61"/>
      <c r="M981" s="62"/>
      <c r="N981" s="62"/>
      <c r="O981" s="62"/>
      <c r="P981" s="62"/>
      <c r="Q981" s="62"/>
      <c r="R981" s="62"/>
      <c r="S981" s="62"/>
      <c r="T981" s="62"/>
      <c r="U981" s="62"/>
      <c r="V981" s="62"/>
      <c r="W981" s="62"/>
      <c r="X981" s="62"/>
      <c r="Y981" s="62"/>
      <c r="Z981" s="62"/>
      <c r="AA981" s="62"/>
      <c r="AB981" s="62"/>
      <c r="AC981" s="62"/>
      <c r="AD981" s="62"/>
      <c r="AE981" s="62"/>
      <c r="AF981" s="62"/>
      <c r="AG981" s="62"/>
      <c r="AH981" s="62"/>
      <c r="AI981" s="62"/>
      <c r="AJ981" s="62"/>
      <c r="AK981" s="62"/>
      <c r="AL981" s="62"/>
      <c r="AM981" s="62"/>
      <c r="AN981" s="62"/>
      <c r="AO981" s="62"/>
      <c r="AP981" s="62"/>
      <c r="AQ981" s="62"/>
      <c r="AR981" s="62"/>
      <c r="AS981" s="62"/>
      <c r="AT981" s="62"/>
      <c r="AU981" s="62"/>
      <c r="AV981" s="62"/>
      <c r="AW981" s="62"/>
      <c r="AX981" s="62"/>
    </row>
    <row r="982" spans="1:50" ht="14.25" customHeight="1" x14ac:dyDescent="0.3">
      <c r="A982" s="58"/>
      <c r="B982" s="58"/>
      <c r="C982" s="58"/>
      <c r="D982" s="58"/>
      <c r="E982" s="58"/>
      <c r="F982" s="58"/>
      <c r="G982" s="59"/>
      <c r="H982" s="60"/>
      <c r="I982" s="60"/>
      <c r="J982" s="59"/>
      <c r="K982" s="61"/>
      <c r="M982" s="62"/>
      <c r="N982" s="62"/>
      <c r="O982" s="62"/>
      <c r="P982" s="62"/>
      <c r="Q982" s="62"/>
      <c r="R982" s="62"/>
      <c r="S982" s="62"/>
      <c r="T982" s="62"/>
      <c r="U982" s="62"/>
      <c r="V982" s="62"/>
      <c r="W982" s="62"/>
      <c r="X982" s="62"/>
      <c r="Y982" s="62"/>
      <c r="Z982" s="62"/>
      <c r="AA982" s="62"/>
      <c r="AB982" s="62"/>
      <c r="AC982" s="62"/>
      <c r="AD982" s="62"/>
      <c r="AE982" s="62"/>
      <c r="AF982" s="62"/>
      <c r="AG982" s="62"/>
      <c r="AH982" s="62"/>
      <c r="AI982" s="62"/>
      <c r="AJ982" s="62"/>
      <c r="AK982" s="62"/>
      <c r="AL982" s="62"/>
      <c r="AM982" s="62"/>
      <c r="AN982" s="62"/>
      <c r="AO982" s="62"/>
      <c r="AP982" s="62"/>
      <c r="AQ982" s="62"/>
      <c r="AR982" s="62"/>
      <c r="AS982" s="62"/>
      <c r="AT982" s="62"/>
      <c r="AU982" s="62"/>
      <c r="AV982" s="62"/>
      <c r="AW982" s="62"/>
      <c r="AX982" s="62"/>
    </row>
    <row r="983" spans="1:50" ht="14.25" customHeight="1" x14ac:dyDescent="0.3">
      <c r="A983" s="58"/>
      <c r="B983" s="58"/>
      <c r="C983" s="58"/>
      <c r="D983" s="58"/>
      <c r="E983" s="58"/>
      <c r="F983" s="58"/>
      <c r="G983" s="59"/>
      <c r="H983" s="60"/>
      <c r="I983" s="60"/>
      <c r="J983" s="59"/>
      <c r="K983" s="61"/>
      <c r="M983" s="62"/>
      <c r="N983" s="62"/>
      <c r="O983" s="62"/>
      <c r="P983" s="62"/>
      <c r="Q983" s="62"/>
      <c r="R983" s="62"/>
      <c r="S983" s="62"/>
      <c r="T983" s="62"/>
      <c r="U983" s="62"/>
      <c r="V983" s="62"/>
      <c r="W983" s="62"/>
      <c r="X983" s="62"/>
      <c r="Y983" s="62"/>
      <c r="Z983" s="62"/>
      <c r="AA983" s="62"/>
      <c r="AB983" s="62"/>
      <c r="AC983" s="62"/>
      <c r="AD983" s="62"/>
      <c r="AE983" s="62"/>
      <c r="AF983" s="62"/>
      <c r="AG983" s="62"/>
      <c r="AH983" s="62"/>
      <c r="AI983" s="62"/>
      <c r="AJ983" s="62"/>
      <c r="AK983" s="62"/>
      <c r="AL983" s="62"/>
      <c r="AM983" s="62"/>
      <c r="AN983" s="62"/>
      <c r="AO983" s="62"/>
      <c r="AP983" s="62"/>
      <c r="AQ983" s="62"/>
      <c r="AR983" s="62"/>
      <c r="AS983" s="62"/>
      <c r="AT983" s="62"/>
      <c r="AU983" s="62"/>
      <c r="AV983" s="62"/>
      <c r="AW983" s="62"/>
      <c r="AX983" s="62"/>
    </row>
    <row r="984" spans="1:50" ht="14.25" customHeight="1" x14ac:dyDescent="0.3">
      <c r="A984" s="58"/>
      <c r="B984" s="58"/>
      <c r="C984" s="58"/>
      <c r="D984" s="58"/>
      <c r="E984" s="58"/>
      <c r="F984" s="58"/>
      <c r="G984" s="59"/>
      <c r="H984" s="60"/>
      <c r="I984" s="60"/>
      <c r="J984" s="59"/>
      <c r="K984" s="61"/>
      <c r="M984" s="62"/>
      <c r="N984" s="62"/>
      <c r="O984" s="62"/>
      <c r="P984" s="62"/>
      <c r="Q984" s="62"/>
      <c r="R984" s="62"/>
      <c r="S984" s="62"/>
      <c r="T984" s="62"/>
      <c r="U984" s="62"/>
      <c r="V984" s="62"/>
      <c r="W984" s="62"/>
      <c r="X984" s="62"/>
      <c r="Y984" s="62"/>
      <c r="Z984" s="62"/>
      <c r="AA984" s="62"/>
      <c r="AB984" s="62"/>
      <c r="AC984" s="62"/>
      <c r="AD984" s="62"/>
      <c r="AE984" s="62"/>
      <c r="AF984" s="62"/>
      <c r="AG984" s="62"/>
      <c r="AH984" s="62"/>
      <c r="AI984" s="62"/>
      <c r="AJ984" s="62"/>
      <c r="AK984" s="62"/>
      <c r="AL984" s="62"/>
      <c r="AM984" s="62"/>
      <c r="AN984" s="62"/>
      <c r="AO984" s="62"/>
      <c r="AP984" s="62"/>
      <c r="AQ984" s="62"/>
      <c r="AR984" s="62"/>
      <c r="AS984" s="62"/>
      <c r="AT984" s="62"/>
      <c r="AU984" s="62"/>
      <c r="AV984" s="62"/>
      <c r="AW984" s="62"/>
      <c r="AX984" s="62"/>
    </row>
    <row r="985" spans="1:50" ht="14.25" customHeight="1" x14ac:dyDescent="0.3">
      <c r="A985" s="58"/>
      <c r="B985" s="58"/>
      <c r="C985" s="58"/>
      <c r="D985" s="58"/>
      <c r="E985" s="58"/>
      <c r="F985" s="58"/>
      <c r="G985" s="59"/>
      <c r="H985" s="60"/>
      <c r="I985" s="60"/>
      <c r="J985" s="59"/>
      <c r="K985" s="61"/>
      <c r="M985" s="62"/>
      <c r="N985" s="62"/>
      <c r="O985" s="62"/>
      <c r="P985" s="62"/>
      <c r="Q985" s="62"/>
      <c r="R985" s="62"/>
      <c r="S985" s="62"/>
      <c r="T985" s="62"/>
      <c r="U985" s="62"/>
      <c r="V985" s="62"/>
      <c r="W985" s="62"/>
      <c r="X985" s="62"/>
      <c r="Y985" s="62"/>
      <c r="Z985" s="62"/>
      <c r="AA985" s="62"/>
      <c r="AB985" s="62"/>
      <c r="AC985" s="62"/>
      <c r="AD985" s="62"/>
      <c r="AE985" s="62"/>
      <c r="AF985" s="62"/>
      <c r="AG985" s="62"/>
      <c r="AH985" s="62"/>
      <c r="AI985" s="62"/>
      <c r="AJ985" s="62"/>
      <c r="AK985" s="62"/>
      <c r="AL985" s="62"/>
      <c r="AM985" s="62"/>
      <c r="AN985" s="62"/>
      <c r="AO985" s="62"/>
      <c r="AP985" s="62"/>
      <c r="AQ985" s="62"/>
      <c r="AR985" s="62"/>
      <c r="AS985" s="62"/>
      <c r="AT985" s="62"/>
      <c r="AU985" s="62"/>
      <c r="AV985" s="62"/>
      <c r="AW985" s="62"/>
      <c r="AX985" s="62"/>
    </row>
    <row r="986" spans="1:50" ht="14.25" customHeight="1" x14ac:dyDescent="0.3">
      <c r="A986" s="58"/>
      <c r="B986" s="58"/>
      <c r="C986" s="58"/>
      <c r="D986" s="58"/>
      <c r="E986" s="58"/>
      <c r="F986" s="58"/>
      <c r="G986" s="59"/>
      <c r="H986" s="60"/>
      <c r="I986" s="60"/>
      <c r="J986" s="59"/>
      <c r="K986" s="61"/>
      <c r="M986" s="62"/>
      <c r="N986" s="62"/>
      <c r="O986" s="62"/>
      <c r="P986" s="62"/>
      <c r="Q986" s="62"/>
      <c r="R986" s="62"/>
      <c r="S986" s="62"/>
      <c r="T986" s="62"/>
      <c r="U986" s="62"/>
      <c r="V986" s="62"/>
      <c r="W986" s="62"/>
      <c r="X986" s="62"/>
      <c r="Y986" s="62"/>
      <c r="Z986" s="62"/>
      <c r="AA986" s="62"/>
      <c r="AB986" s="62"/>
      <c r="AC986" s="62"/>
      <c r="AD986" s="62"/>
      <c r="AE986" s="62"/>
      <c r="AF986" s="62"/>
      <c r="AG986" s="62"/>
      <c r="AH986" s="62"/>
      <c r="AI986" s="62"/>
      <c r="AJ986" s="62"/>
      <c r="AK986" s="62"/>
      <c r="AL986" s="62"/>
      <c r="AM986" s="62"/>
      <c r="AN986" s="62"/>
      <c r="AO986" s="62"/>
      <c r="AP986" s="62"/>
      <c r="AQ986" s="62"/>
      <c r="AR986" s="62"/>
      <c r="AS986" s="62"/>
      <c r="AT986" s="62"/>
      <c r="AU986" s="62"/>
      <c r="AV986" s="62"/>
      <c r="AW986" s="62"/>
      <c r="AX986" s="62"/>
    </row>
    <row r="987" spans="1:50" ht="14.25" customHeight="1" x14ac:dyDescent="0.3">
      <c r="A987" s="58"/>
      <c r="B987" s="58"/>
      <c r="C987" s="58"/>
      <c r="D987" s="58"/>
      <c r="E987" s="58"/>
      <c r="F987" s="58"/>
      <c r="G987" s="59"/>
      <c r="H987" s="60"/>
      <c r="I987" s="60"/>
      <c r="J987" s="59"/>
      <c r="K987" s="61"/>
      <c r="M987" s="62"/>
      <c r="N987" s="62"/>
      <c r="O987" s="62"/>
      <c r="P987" s="62"/>
      <c r="Q987" s="62"/>
      <c r="R987" s="62"/>
      <c r="S987" s="62"/>
      <c r="T987" s="62"/>
      <c r="U987" s="62"/>
      <c r="V987" s="62"/>
      <c r="W987" s="62"/>
      <c r="X987" s="62"/>
      <c r="Y987" s="62"/>
      <c r="Z987" s="62"/>
      <c r="AA987" s="62"/>
      <c r="AB987" s="62"/>
      <c r="AC987" s="62"/>
      <c r="AD987" s="62"/>
      <c r="AE987" s="62"/>
      <c r="AF987" s="62"/>
      <c r="AG987" s="62"/>
      <c r="AH987" s="62"/>
      <c r="AI987" s="62"/>
      <c r="AJ987" s="62"/>
      <c r="AK987" s="62"/>
      <c r="AL987" s="62"/>
      <c r="AM987" s="62"/>
      <c r="AN987" s="62"/>
      <c r="AO987" s="62"/>
      <c r="AP987" s="62"/>
      <c r="AQ987" s="62"/>
      <c r="AR987" s="62"/>
      <c r="AS987" s="62"/>
      <c r="AT987" s="62"/>
      <c r="AU987" s="62"/>
      <c r="AV987" s="62"/>
      <c r="AW987" s="62"/>
      <c r="AX987" s="62"/>
    </row>
    <row r="988" spans="1:50" ht="14.25" customHeight="1" x14ac:dyDescent="0.3">
      <c r="A988" s="58"/>
      <c r="B988" s="58"/>
      <c r="C988" s="58"/>
      <c r="D988" s="58"/>
      <c r="E988" s="58"/>
      <c r="F988" s="58"/>
      <c r="G988" s="59"/>
      <c r="H988" s="60"/>
      <c r="I988" s="60"/>
      <c r="J988" s="59"/>
      <c r="K988" s="61"/>
      <c r="M988" s="62"/>
      <c r="N988" s="62"/>
      <c r="O988" s="62"/>
      <c r="P988" s="62"/>
      <c r="Q988" s="62"/>
      <c r="R988" s="62"/>
      <c r="S988" s="62"/>
      <c r="T988" s="62"/>
      <c r="U988" s="62"/>
      <c r="V988" s="62"/>
      <c r="W988" s="62"/>
      <c r="X988" s="62"/>
      <c r="Y988" s="62"/>
      <c r="Z988" s="62"/>
      <c r="AA988" s="62"/>
      <c r="AB988" s="62"/>
      <c r="AC988" s="62"/>
      <c r="AD988" s="62"/>
      <c r="AE988" s="62"/>
      <c r="AF988" s="62"/>
      <c r="AG988" s="62"/>
      <c r="AH988" s="62"/>
      <c r="AI988" s="62"/>
      <c r="AJ988" s="62"/>
      <c r="AK988" s="62"/>
      <c r="AL988" s="62"/>
      <c r="AM988" s="62"/>
      <c r="AN988" s="62"/>
      <c r="AO988" s="62"/>
      <c r="AP988" s="62"/>
      <c r="AQ988" s="62"/>
      <c r="AR988" s="62"/>
      <c r="AS988" s="62"/>
      <c r="AT988" s="62"/>
      <c r="AU988" s="62"/>
      <c r="AV988" s="62"/>
      <c r="AW988" s="62"/>
      <c r="AX988" s="62"/>
    </row>
    <row r="989" spans="1:50" ht="14.25" customHeight="1" x14ac:dyDescent="0.3">
      <c r="A989" s="58"/>
      <c r="B989" s="58"/>
      <c r="C989" s="58"/>
      <c r="D989" s="58"/>
      <c r="E989" s="58"/>
      <c r="F989" s="58"/>
      <c r="G989" s="59"/>
      <c r="H989" s="60"/>
      <c r="I989" s="60"/>
      <c r="J989" s="59"/>
      <c r="K989" s="61"/>
      <c r="M989" s="62"/>
      <c r="N989" s="62"/>
      <c r="O989" s="62"/>
      <c r="P989" s="62"/>
      <c r="Q989" s="62"/>
      <c r="R989" s="62"/>
      <c r="S989" s="62"/>
      <c r="T989" s="62"/>
      <c r="U989" s="62"/>
      <c r="V989" s="62"/>
      <c r="W989" s="62"/>
      <c r="X989" s="62"/>
      <c r="Y989" s="62"/>
      <c r="Z989" s="62"/>
      <c r="AA989" s="62"/>
      <c r="AB989" s="62"/>
      <c r="AC989" s="62"/>
      <c r="AD989" s="62"/>
      <c r="AE989" s="62"/>
      <c r="AF989" s="62"/>
      <c r="AG989" s="62"/>
      <c r="AH989" s="62"/>
      <c r="AI989" s="62"/>
      <c r="AJ989" s="62"/>
      <c r="AK989" s="62"/>
      <c r="AL989" s="62"/>
      <c r="AM989" s="62"/>
      <c r="AN989" s="62"/>
      <c r="AO989" s="62"/>
      <c r="AP989" s="62"/>
      <c r="AQ989" s="62"/>
      <c r="AR989" s="62"/>
      <c r="AS989" s="62"/>
      <c r="AT989" s="62"/>
      <c r="AU989" s="62"/>
      <c r="AV989" s="62"/>
      <c r="AW989" s="62"/>
      <c r="AX989" s="62"/>
    </row>
    <row r="990" spans="1:50" ht="14.25" customHeight="1" x14ac:dyDescent="0.3">
      <c r="A990" s="58"/>
      <c r="B990" s="58"/>
      <c r="C990" s="58"/>
      <c r="D990" s="58"/>
      <c r="E990" s="58"/>
      <c r="F990" s="58"/>
      <c r="G990" s="59"/>
      <c r="H990" s="60"/>
      <c r="I990" s="60"/>
      <c r="J990" s="59"/>
      <c r="K990" s="61"/>
      <c r="M990" s="62"/>
      <c r="N990" s="62"/>
      <c r="O990" s="62"/>
      <c r="P990" s="62"/>
      <c r="Q990" s="62"/>
      <c r="R990" s="62"/>
      <c r="S990" s="62"/>
      <c r="T990" s="62"/>
      <c r="U990" s="62"/>
      <c r="V990" s="62"/>
      <c r="W990" s="62"/>
      <c r="X990" s="62"/>
      <c r="Y990" s="62"/>
      <c r="Z990" s="62"/>
      <c r="AA990" s="62"/>
      <c r="AB990" s="62"/>
      <c r="AC990" s="62"/>
      <c r="AD990" s="62"/>
      <c r="AE990" s="62"/>
      <c r="AF990" s="62"/>
      <c r="AG990" s="62"/>
      <c r="AH990" s="62"/>
      <c r="AI990" s="62"/>
      <c r="AJ990" s="62"/>
      <c r="AK990" s="62"/>
      <c r="AL990" s="62"/>
      <c r="AM990" s="62"/>
      <c r="AN990" s="62"/>
      <c r="AO990" s="62"/>
      <c r="AP990" s="62"/>
      <c r="AQ990" s="62"/>
      <c r="AR990" s="62"/>
      <c r="AS990" s="62"/>
      <c r="AT990" s="62"/>
      <c r="AU990" s="62"/>
      <c r="AV990" s="62"/>
      <c r="AW990" s="62"/>
      <c r="AX990" s="62"/>
    </row>
    <row r="991" spans="1:50" ht="14.25" customHeight="1" x14ac:dyDescent="0.3">
      <c r="A991" s="58"/>
      <c r="B991" s="58"/>
      <c r="C991" s="58"/>
      <c r="D991" s="58"/>
      <c r="E991" s="58"/>
      <c r="F991" s="58"/>
      <c r="G991" s="59"/>
      <c r="H991" s="60"/>
      <c r="I991" s="60"/>
      <c r="J991" s="59"/>
      <c r="K991" s="61"/>
      <c r="M991" s="62"/>
      <c r="N991" s="62"/>
      <c r="O991" s="62"/>
      <c r="P991" s="62"/>
      <c r="Q991" s="62"/>
      <c r="R991" s="62"/>
      <c r="S991" s="62"/>
      <c r="T991" s="62"/>
      <c r="U991" s="62"/>
      <c r="V991" s="62"/>
      <c r="W991" s="62"/>
      <c r="X991" s="62"/>
      <c r="Y991" s="62"/>
      <c r="Z991" s="62"/>
      <c r="AA991" s="62"/>
      <c r="AB991" s="62"/>
      <c r="AC991" s="62"/>
      <c r="AD991" s="62"/>
      <c r="AE991" s="62"/>
      <c r="AF991" s="62"/>
      <c r="AG991" s="62"/>
      <c r="AH991" s="62"/>
      <c r="AI991" s="62"/>
      <c r="AJ991" s="62"/>
      <c r="AK991" s="62"/>
      <c r="AL991" s="62"/>
      <c r="AM991" s="62"/>
      <c r="AN991" s="62"/>
      <c r="AO991" s="62"/>
      <c r="AP991" s="62"/>
      <c r="AQ991" s="62"/>
      <c r="AR991" s="62"/>
      <c r="AS991" s="62"/>
      <c r="AT991" s="62"/>
      <c r="AU991" s="62"/>
      <c r="AV991" s="62"/>
      <c r="AW991" s="62"/>
      <c r="AX991" s="62"/>
    </row>
    <row r="992" spans="1:50" ht="14.25" customHeight="1" x14ac:dyDescent="0.3">
      <c r="A992" s="58"/>
      <c r="B992" s="58"/>
      <c r="C992" s="58"/>
      <c r="D992" s="58"/>
      <c r="E992" s="58"/>
      <c r="F992" s="58"/>
      <c r="G992" s="59"/>
      <c r="H992" s="60"/>
      <c r="I992" s="60"/>
      <c r="J992" s="59"/>
      <c r="K992" s="61"/>
      <c r="M992" s="62"/>
      <c r="N992" s="62"/>
      <c r="O992" s="62"/>
      <c r="P992" s="62"/>
      <c r="Q992" s="62"/>
      <c r="R992" s="62"/>
      <c r="S992" s="62"/>
      <c r="T992" s="62"/>
      <c r="U992" s="62"/>
      <c r="V992" s="62"/>
      <c r="W992" s="62"/>
      <c r="X992" s="62"/>
      <c r="Y992" s="62"/>
      <c r="Z992" s="62"/>
      <c r="AA992" s="62"/>
      <c r="AB992" s="62"/>
      <c r="AC992" s="62"/>
      <c r="AD992" s="62"/>
      <c r="AE992" s="62"/>
      <c r="AF992" s="62"/>
      <c r="AG992" s="62"/>
      <c r="AH992" s="62"/>
      <c r="AI992" s="62"/>
      <c r="AJ992" s="62"/>
      <c r="AK992" s="62"/>
      <c r="AL992" s="62"/>
      <c r="AM992" s="62"/>
      <c r="AN992" s="62"/>
      <c r="AO992" s="62"/>
      <c r="AP992" s="62"/>
      <c r="AQ992" s="62"/>
      <c r="AR992" s="62"/>
      <c r="AS992" s="62"/>
      <c r="AT992" s="62"/>
      <c r="AU992" s="62"/>
      <c r="AV992" s="62"/>
      <c r="AW992" s="62"/>
      <c r="AX992" s="62"/>
    </row>
    <row r="993" spans="1:50" ht="14.25" customHeight="1" x14ac:dyDescent="0.3">
      <c r="A993" s="58"/>
      <c r="B993" s="58"/>
      <c r="C993" s="58"/>
      <c r="D993" s="58"/>
      <c r="E993" s="58"/>
      <c r="F993" s="58"/>
      <c r="G993" s="59"/>
      <c r="H993" s="60"/>
      <c r="I993" s="60"/>
      <c r="J993" s="59"/>
      <c r="K993" s="61"/>
      <c r="M993" s="62"/>
      <c r="N993" s="62"/>
      <c r="O993" s="62"/>
      <c r="P993" s="62"/>
      <c r="Q993" s="62"/>
      <c r="R993" s="62"/>
      <c r="S993" s="62"/>
      <c r="T993" s="62"/>
      <c r="U993" s="62"/>
      <c r="V993" s="62"/>
      <c r="W993" s="62"/>
      <c r="X993" s="62"/>
      <c r="Y993" s="62"/>
      <c r="Z993" s="62"/>
      <c r="AA993" s="62"/>
      <c r="AB993" s="62"/>
      <c r="AC993" s="62"/>
      <c r="AD993" s="62"/>
      <c r="AE993" s="62"/>
      <c r="AF993" s="62"/>
      <c r="AG993" s="62"/>
      <c r="AH993" s="62"/>
      <c r="AI993" s="62"/>
      <c r="AJ993" s="62"/>
      <c r="AK993" s="62"/>
      <c r="AL993" s="62"/>
      <c r="AM993" s="62"/>
      <c r="AN993" s="62"/>
      <c r="AO993" s="62"/>
      <c r="AP993" s="62"/>
      <c r="AQ993" s="62"/>
      <c r="AR993" s="62"/>
      <c r="AS993" s="62"/>
      <c r="AT993" s="62"/>
      <c r="AU993" s="62"/>
      <c r="AV993" s="62"/>
      <c r="AW993" s="62"/>
      <c r="AX993" s="62"/>
    </row>
    <row r="994" spans="1:50" ht="14.25" customHeight="1" x14ac:dyDescent="0.3">
      <c r="A994" s="58"/>
      <c r="B994" s="58"/>
      <c r="C994" s="58"/>
      <c r="D994" s="58"/>
      <c r="E994" s="58"/>
      <c r="F994" s="58"/>
      <c r="G994" s="59"/>
      <c r="H994" s="60"/>
      <c r="I994" s="60"/>
      <c r="J994" s="59"/>
      <c r="K994" s="61"/>
      <c r="M994" s="62"/>
      <c r="N994" s="62"/>
      <c r="O994" s="62"/>
      <c r="P994" s="62"/>
      <c r="Q994" s="62"/>
      <c r="R994" s="62"/>
      <c r="S994" s="62"/>
      <c r="T994" s="62"/>
      <c r="U994" s="62"/>
      <c r="V994" s="62"/>
      <c r="W994" s="62"/>
      <c r="X994" s="62"/>
      <c r="Y994" s="62"/>
      <c r="Z994" s="62"/>
      <c r="AA994" s="62"/>
      <c r="AB994" s="62"/>
      <c r="AC994" s="62"/>
      <c r="AD994" s="62"/>
      <c r="AE994" s="62"/>
      <c r="AF994" s="62"/>
      <c r="AG994" s="62"/>
      <c r="AH994" s="62"/>
      <c r="AI994" s="62"/>
      <c r="AJ994" s="62"/>
      <c r="AK994" s="62"/>
      <c r="AL994" s="62"/>
      <c r="AM994" s="62"/>
      <c r="AN994" s="62"/>
      <c r="AO994" s="62"/>
      <c r="AP994" s="62"/>
      <c r="AQ994" s="62"/>
      <c r="AR994" s="62"/>
      <c r="AS994" s="62"/>
      <c r="AT994" s="62"/>
      <c r="AU994" s="62"/>
      <c r="AV994" s="62"/>
      <c r="AW994" s="62"/>
      <c r="AX994" s="62"/>
    </row>
    <row r="995" spans="1:50" ht="14.25" customHeight="1" x14ac:dyDescent="0.3">
      <c r="A995" s="58"/>
      <c r="B995" s="58"/>
      <c r="C995" s="58"/>
      <c r="D995" s="58"/>
      <c r="E995" s="58"/>
      <c r="F995" s="58"/>
      <c r="G995" s="59"/>
      <c r="H995" s="60"/>
      <c r="I995" s="60"/>
      <c r="J995" s="59"/>
      <c r="K995" s="61"/>
      <c r="M995" s="62"/>
      <c r="N995" s="62"/>
      <c r="O995" s="62"/>
      <c r="P995" s="62"/>
      <c r="Q995" s="62"/>
      <c r="R995" s="62"/>
      <c r="S995" s="62"/>
      <c r="T995" s="62"/>
      <c r="U995" s="62"/>
      <c r="V995" s="62"/>
      <c r="W995" s="62"/>
      <c r="X995" s="62"/>
      <c r="Y995" s="62"/>
      <c r="Z995" s="62"/>
      <c r="AA995" s="62"/>
      <c r="AB995" s="62"/>
      <c r="AC995" s="62"/>
      <c r="AD995" s="62"/>
      <c r="AE995" s="62"/>
      <c r="AF995" s="62"/>
      <c r="AG995" s="62"/>
      <c r="AH995" s="62"/>
      <c r="AI995" s="62"/>
      <c r="AJ995" s="62"/>
      <c r="AK995" s="62"/>
      <c r="AL995" s="62"/>
      <c r="AM995" s="62"/>
      <c r="AN995" s="62"/>
      <c r="AO995" s="62"/>
      <c r="AP995" s="62"/>
      <c r="AQ995" s="62"/>
      <c r="AR995" s="62"/>
      <c r="AS995" s="62"/>
      <c r="AT995" s="62"/>
      <c r="AU995" s="62"/>
      <c r="AV995" s="62"/>
      <c r="AW995" s="62"/>
      <c r="AX995" s="62"/>
    </row>
    <row r="996" spans="1:50" ht="14.25" customHeight="1" x14ac:dyDescent="0.3">
      <c r="A996" s="58"/>
      <c r="B996" s="58"/>
      <c r="C996" s="58"/>
      <c r="D996" s="58"/>
      <c r="E996" s="58"/>
      <c r="F996" s="58"/>
      <c r="G996" s="59"/>
      <c r="H996" s="60"/>
      <c r="I996" s="60"/>
      <c r="J996" s="59"/>
      <c r="K996" s="61"/>
      <c r="M996" s="62"/>
      <c r="N996" s="62"/>
      <c r="O996" s="62"/>
      <c r="P996" s="62"/>
      <c r="Q996" s="62"/>
      <c r="R996" s="62"/>
      <c r="S996" s="62"/>
      <c r="T996" s="62"/>
      <c r="U996" s="62"/>
      <c r="V996" s="62"/>
      <c r="W996" s="62"/>
      <c r="X996" s="62"/>
      <c r="Y996" s="62"/>
      <c r="Z996" s="62"/>
      <c r="AA996" s="62"/>
      <c r="AB996" s="62"/>
      <c r="AC996" s="62"/>
      <c r="AD996" s="62"/>
      <c r="AE996" s="62"/>
      <c r="AF996" s="62"/>
      <c r="AG996" s="62"/>
      <c r="AH996" s="62"/>
      <c r="AI996" s="62"/>
      <c r="AJ996" s="62"/>
      <c r="AK996" s="62"/>
      <c r="AL996" s="62"/>
      <c r="AM996" s="62"/>
      <c r="AN996" s="62"/>
      <c r="AO996" s="62"/>
      <c r="AP996" s="62"/>
      <c r="AQ996" s="62"/>
      <c r="AR996" s="62"/>
      <c r="AS996" s="62"/>
      <c r="AT996" s="62"/>
      <c r="AU996" s="62"/>
      <c r="AV996" s="62"/>
      <c r="AW996" s="62"/>
      <c r="AX996" s="62"/>
    </row>
    <row r="997" spans="1:50" ht="14.25" customHeight="1" x14ac:dyDescent="0.3">
      <c r="A997" s="58"/>
      <c r="B997" s="58"/>
      <c r="C997" s="58"/>
      <c r="D997" s="58"/>
      <c r="E997" s="58"/>
      <c r="F997" s="58"/>
      <c r="G997" s="59"/>
      <c r="H997" s="60"/>
      <c r="I997" s="60"/>
      <c r="J997" s="59"/>
      <c r="K997" s="61"/>
      <c r="M997" s="62"/>
      <c r="N997" s="62"/>
      <c r="O997" s="62"/>
      <c r="P997" s="62"/>
      <c r="Q997" s="62"/>
      <c r="R997" s="62"/>
      <c r="S997" s="62"/>
      <c r="T997" s="62"/>
      <c r="U997" s="62"/>
      <c r="V997" s="62"/>
      <c r="W997" s="62"/>
      <c r="X997" s="62"/>
      <c r="Y997" s="62"/>
      <c r="Z997" s="62"/>
      <c r="AA997" s="62"/>
      <c r="AB997" s="62"/>
      <c r="AC997" s="62"/>
      <c r="AD997" s="62"/>
      <c r="AE997" s="62"/>
      <c r="AF997" s="62"/>
      <c r="AG997" s="62"/>
      <c r="AH997" s="62"/>
      <c r="AI997" s="62"/>
      <c r="AJ997" s="62"/>
      <c r="AK997" s="62"/>
      <c r="AL997" s="62"/>
      <c r="AM997" s="62"/>
      <c r="AN997" s="62"/>
      <c r="AO997" s="62"/>
      <c r="AP997" s="62"/>
      <c r="AQ997" s="62"/>
      <c r="AR997" s="62"/>
      <c r="AS997" s="62"/>
      <c r="AT997" s="62"/>
      <c r="AU997" s="62"/>
      <c r="AV997" s="62"/>
      <c r="AW997" s="62"/>
      <c r="AX997" s="62"/>
    </row>
    <row r="998" spans="1:50" ht="14.25" customHeight="1" x14ac:dyDescent="0.3">
      <c r="A998" s="58"/>
      <c r="B998" s="58"/>
      <c r="C998" s="58"/>
      <c r="D998" s="58"/>
      <c r="E998" s="58"/>
      <c r="F998" s="58"/>
      <c r="G998" s="59"/>
      <c r="H998" s="60"/>
      <c r="I998" s="60"/>
      <c r="J998" s="59"/>
      <c r="K998" s="61"/>
      <c r="M998" s="62"/>
      <c r="N998" s="62"/>
      <c r="O998" s="62"/>
      <c r="P998" s="62"/>
      <c r="Q998" s="62"/>
      <c r="R998" s="62"/>
      <c r="S998" s="62"/>
      <c r="T998" s="62"/>
      <c r="U998" s="62"/>
      <c r="V998" s="62"/>
      <c r="W998" s="62"/>
      <c r="X998" s="62"/>
      <c r="Y998" s="62"/>
      <c r="Z998" s="62"/>
      <c r="AA998" s="62"/>
      <c r="AB998" s="62"/>
      <c r="AC998" s="62"/>
      <c r="AD998" s="62"/>
      <c r="AE998" s="62"/>
      <c r="AF998" s="62"/>
      <c r="AG998" s="62"/>
      <c r="AH998" s="62"/>
      <c r="AI998" s="62"/>
      <c r="AJ998" s="62"/>
      <c r="AK998" s="62"/>
      <c r="AL998" s="62"/>
      <c r="AM998" s="62"/>
      <c r="AN998" s="62"/>
      <c r="AO998" s="62"/>
      <c r="AP998" s="62"/>
      <c r="AQ998" s="62"/>
      <c r="AR998" s="62"/>
      <c r="AS998" s="62"/>
      <c r="AT998" s="62"/>
      <c r="AU998" s="62"/>
      <c r="AV998" s="62"/>
      <c r="AW998" s="62"/>
      <c r="AX998" s="62"/>
    </row>
    <row r="999" spans="1:50" ht="14.25" customHeight="1" x14ac:dyDescent="0.3">
      <c r="A999" s="58"/>
      <c r="B999" s="58"/>
      <c r="C999" s="58"/>
      <c r="D999" s="58"/>
      <c r="E999" s="58"/>
      <c r="F999" s="58"/>
      <c r="G999" s="59"/>
      <c r="H999" s="60"/>
      <c r="I999" s="60"/>
      <c r="J999" s="59"/>
      <c r="K999" s="61"/>
      <c r="M999" s="62"/>
      <c r="N999" s="62"/>
      <c r="O999" s="62"/>
      <c r="P999" s="62"/>
      <c r="Q999" s="62"/>
      <c r="R999" s="62"/>
      <c r="S999" s="62"/>
      <c r="T999" s="62"/>
      <c r="U999" s="62"/>
      <c r="V999" s="62"/>
      <c r="W999" s="62"/>
      <c r="X999" s="62"/>
      <c r="Y999" s="62"/>
      <c r="Z999" s="62"/>
      <c r="AA999" s="62"/>
      <c r="AB999" s="62"/>
      <c r="AC999" s="62"/>
      <c r="AD999" s="62"/>
      <c r="AE999" s="62"/>
      <c r="AF999" s="62"/>
      <c r="AG999" s="62"/>
      <c r="AH999" s="62"/>
      <c r="AI999" s="62"/>
      <c r="AJ999" s="62"/>
      <c r="AK999" s="62"/>
      <c r="AL999" s="62"/>
      <c r="AM999" s="62"/>
      <c r="AN999" s="62"/>
      <c r="AO999" s="62"/>
      <c r="AP999" s="62"/>
      <c r="AQ999" s="62"/>
      <c r="AR999" s="62"/>
      <c r="AS999" s="62"/>
      <c r="AT999" s="62"/>
      <c r="AU999" s="62"/>
      <c r="AV999" s="62"/>
      <c r="AW999" s="62"/>
      <c r="AX999" s="62"/>
    </row>
    <row r="1000" spans="1:50" ht="14.25" customHeight="1" x14ac:dyDescent="0.3">
      <c r="A1000" s="58"/>
      <c r="B1000" s="58"/>
      <c r="C1000" s="58"/>
      <c r="D1000" s="58"/>
      <c r="E1000" s="58"/>
      <c r="F1000" s="58"/>
      <c r="G1000" s="59"/>
      <c r="H1000" s="60"/>
      <c r="I1000" s="60"/>
      <c r="J1000" s="59"/>
      <c r="K1000" s="61"/>
      <c r="M1000" s="62"/>
      <c r="N1000" s="62"/>
      <c r="O1000" s="62"/>
      <c r="P1000" s="62"/>
      <c r="Q1000" s="62"/>
      <c r="R1000" s="62"/>
      <c r="S1000" s="62"/>
      <c r="T1000" s="62"/>
      <c r="U1000" s="62"/>
      <c r="V1000" s="62"/>
      <c r="W1000" s="62"/>
      <c r="X1000" s="62"/>
      <c r="Y1000" s="62"/>
      <c r="Z1000" s="62"/>
      <c r="AA1000" s="62"/>
      <c r="AB1000" s="62"/>
      <c r="AC1000" s="62"/>
      <c r="AD1000" s="62"/>
      <c r="AE1000" s="62"/>
      <c r="AF1000" s="62"/>
      <c r="AG1000" s="62"/>
      <c r="AH1000" s="62"/>
      <c r="AI1000" s="62"/>
      <c r="AJ1000" s="62"/>
      <c r="AK1000" s="62"/>
      <c r="AL1000" s="62"/>
      <c r="AM1000" s="62"/>
      <c r="AN1000" s="62"/>
      <c r="AO1000" s="62"/>
      <c r="AP1000" s="62"/>
      <c r="AQ1000" s="62"/>
      <c r="AR1000" s="62"/>
      <c r="AS1000" s="62"/>
      <c r="AT1000" s="62"/>
      <c r="AU1000" s="62"/>
      <c r="AV1000" s="62"/>
      <c r="AW1000" s="62"/>
      <c r="AX1000" s="62"/>
    </row>
  </sheetData>
  <dataValidations count="1">
    <dataValidation type="list" allowBlank="1" showDropDown="1" showErrorMessage="1" sqref="D2:D109">
      <formula1>"3 ساعات,ساعتين,-,ساعة واحدة,30 دقيقة,ساعة ونصف,ساعتين ونص,ساعة,ساعتين ونصف,45 دقيقة,ساعة,نص ساعة,نصف ساعة,ربع ساعة"</formula1>
    </dataValidation>
  </dataValidations>
  <pageMargins left="0.25" right="0.25" top="0.75" bottom="0.75"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3"/>
  <sheetViews>
    <sheetView workbookViewId="0">
      <pane ySplit="1" topLeftCell="A2" activePane="bottomLeft" state="frozen"/>
      <selection pane="bottomLeft" activeCell="B3" sqref="B3"/>
    </sheetView>
  </sheetViews>
  <sheetFormatPr defaultColWidth="14.44140625" defaultRowHeight="15" customHeight="1" x14ac:dyDescent="0.3"/>
  <cols>
    <col min="4" max="4" width="51.33203125" customWidth="1"/>
  </cols>
  <sheetData>
    <row r="1" spans="1:4" ht="91.5" customHeight="1" x14ac:dyDescent="0.3">
      <c r="A1" s="63" t="s">
        <v>0</v>
      </c>
      <c r="B1" s="64" t="s">
        <v>573</v>
      </c>
      <c r="C1" s="64" t="s">
        <v>574</v>
      </c>
      <c r="D1" s="64" t="s">
        <v>575</v>
      </c>
    </row>
    <row r="2" spans="1:4" ht="91.5" customHeight="1" x14ac:dyDescent="0.3">
      <c r="A2" s="63">
        <v>1</v>
      </c>
      <c r="B2" s="65" t="s">
        <v>576</v>
      </c>
      <c r="C2" s="65" t="s">
        <v>577</v>
      </c>
      <c r="D2" s="65" t="s">
        <v>578</v>
      </c>
    </row>
    <row r="3" spans="1:4" ht="91.5" customHeight="1" x14ac:dyDescent="0.3"/>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2</vt:i4>
      </vt:variant>
      <vt:variant>
        <vt:lpstr>نطاقات تمت تسميتها</vt:lpstr>
      </vt:variant>
      <vt:variant>
        <vt:i4>2</vt:i4>
      </vt:variant>
    </vt:vector>
  </HeadingPairs>
  <TitlesOfParts>
    <vt:vector size="4" baseType="lpstr">
      <vt:lpstr>Ask Data</vt:lpstr>
      <vt:lpstr>ِAbout</vt:lpstr>
      <vt:lpstr>'Ask Data'!Z_B7C02389_6B3E_4C03_AAD1_3EA19B65B692_.wvu.PrintArea</vt:lpstr>
      <vt:lpstr>'Ask Data'!Z_B7C02389_6B3E_4C03_AAD1_3EA19B65B692_.wvu.PrintTitles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Sofia Akkou</dc:creator>
  <cp:lastModifiedBy>Sofia Akkou</cp:lastModifiedBy>
  <dcterms:created xsi:type="dcterms:W3CDTF">2026-03-25T18:32:04Z</dcterms:created>
  <dcterms:modified xsi:type="dcterms:W3CDTF">2026-03-25T18:32:04Z</dcterms:modified>
</cp:coreProperties>
</file>